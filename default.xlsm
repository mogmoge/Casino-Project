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 yWindow="-12" windowWidth="23064" windowHeight="10212"/>
  </bookViews>
  <sheets>
    <sheet name="使い方" sheetId="242" r:id="rId1"/>
    <sheet name="元データ" sheetId="31" r:id="rId2"/>
    <sheet name="出力設定" sheetId="244" r:id="rId3"/>
    <sheet name="全一覧" sheetId="245" r:id="rId4"/>
    <sheet name="高速化データ" sheetId="247" state="hidden" r:id="rId5"/>
    <sheet name="Myリゾート" sheetId="263" r:id="rId6"/>
  </sheets>
  <definedNames>
    <definedName name="_xlnm._FilterDatabase" localSheetId="5" hidden="1">Myリゾート!$B$43:$U$119</definedName>
    <definedName name="_xlnm._FilterDatabase" localSheetId="3" hidden="1">全一覧!$B$5:$EJ$180</definedName>
    <definedName name="「Myリゾート」の使い方">使い方!$B$53</definedName>
    <definedName name="「元データ」の使い方">使い方!$B$325</definedName>
    <definedName name="「全一覧」の使い方">使い方!$B$316</definedName>
    <definedName name="その他">使い方!$B$42</definedName>
    <definedName name="はじめに">使い方!$B$21</definedName>
    <definedName name="動作環境">使い方!$B$31</definedName>
  </definedNames>
  <calcPr calcId="145621"/>
</workbook>
</file>

<file path=xl/calcChain.xml><?xml version="1.0" encoding="utf-8"?>
<calcChain xmlns="http://schemas.openxmlformats.org/spreadsheetml/2006/main">
  <c r="CO8" i="245" l="1"/>
  <c r="CO12" i="245"/>
  <c r="CO16" i="245"/>
  <c r="CO20" i="245"/>
  <c r="CO24" i="245"/>
  <c r="CO28" i="245"/>
  <c r="CO32" i="245"/>
  <c r="CO36" i="245"/>
  <c r="CO40" i="245"/>
  <c r="CO44" i="245"/>
  <c r="CO48" i="245"/>
  <c r="CO52" i="245"/>
  <c r="CO56" i="245"/>
  <c r="CO60" i="245"/>
  <c r="CO64" i="245"/>
  <c r="CO68" i="245"/>
  <c r="CO72" i="245"/>
  <c r="CO76" i="245"/>
  <c r="CO80" i="245"/>
  <c r="CO84" i="245"/>
  <c r="CO88" i="245"/>
  <c r="CO92" i="245"/>
  <c r="CO96" i="245"/>
  <c r="CO100" i="245"/>
  <c r="CO104" i="245"/>
  <c r="CO108" i="245"/>
  <c r="CO112" i="245"/>
  <c r="CO116" i="245"/>
  <c r="CO120" i="245"/>
  <c r="CO124" i="245"/>
  <c r="CO128" i="245"/>
  <c r="CO132" i="245"/>
  <c r="CO136" i="245"/>
  <c r="CO140" i="245"/>
  <c r="CO144" i="245"/>
  <c r="CO148" i="245"/>
  <c r="CO152" i="245"/>
  <c r="CO156" i="245"/>
  <c r="CO160" i="245"/>
  <c r="CO164" i="245"/>
  <c r="CO168" i="245"/>
  <c r="CO172" i="245"/>
  <c r="CO176" i="245"/>
  <c r="CO180" i="245"/>
  <c r="CN6" i="245"/>
  <c r="CO6" i="245" s="1"/>
  <c r="CN7" i="245"/>
  <c r="CO7" i="245" s="1"/>
  <c r="CN8" i="245"/>
  <c r="CN9" i="245"/>
  <c r="CO9" i="245" s="1"/>
  <c r="CN10" i="245"/>
  <c r="CO10" i="245" s="1"/>
  <c r="CN11" i="245"/>
  <c r="CO11" i="245" s="1"/>
  <c r="CN12" i="245"/>
  <c r="CN13" i="245"/>
  <c r="CO13" i="245" s="1"/>
  <c r="CN14" i="245"/>
  <c r="CO14" i="245" s="1"/>
  <c r="CN15" i="245"/>
  <c r="CO15" i="245" s="1"/>
  <c r="CN16" i="245"/>
  <c r="CN17" i="245"/>
  <c r="CO17" i="245" s="1"/>
  <c r="CN18" i="245"/>
  <c r="CO18" i="245" s="1"/>
  <c r="CN19" i="245"/>
  <c r="CO19" i="245" s="1"/>
  <c r="CN20" i="245"/>
  <c r="CN21" i="245"/>
  <c r="CO21" i="245" s="1"/>
  <c r="CN22" i="245"/>
  <c r="CO22" i="245" s="1"/>
  <c r="CN23" i="245"/>
  <c r="CO23" i="245" s="1"/>
  <c r="CN24" i="245"/>
  <c r="CN25" i="245"/>
  <c r="CO25" i="245" s="1"/>
  <c r="CN26" i="245"/>
  <c r="CO26" i="245" s="1"/>
  <c r="CN27" i="245"/>
  <c r="CO27" i="245" s="1"/>
  <c r="CN28" i="245"/>
  <c r="CN29" i="245"/>
  <c r="CO29" i="245" s="1"/>
  <c r="CN30" i="245"/>
  <c r="CO30" i="245" s="1"/>
  <c r="CN31" i="245"/>
  <c r="CO31" i="245" s="1"/>
  <c r="CN32" i="245"/>
  <c r="CN33" i="245"/>
  <c r="CO33" i="245" s="1"/>
  <c r="CN34" i="245"/>
  <c r="CO34" i="245" s="1"/>
  <c r="CN35" i="245"/>
  <c r="CO35" i="245" s="1"/>
  <c r="CN36" i="245"/>
  <c r="CN37" i="245"/>
  <c r="CO37" i="245" s="1"/>
  <c r="CN38" i="245"/>
  <c r="CO38" i="245" s="1"/>
  <c r="CN39" i="245"/>
  <c r="CO39" i="245" s="1"/>
  <c r="CN40" i="245"/>
  <c r="CN41" i="245"/>
  <c r="CO41" i="245" s="1"/>
  <c r="CN42" i="245"/>
  <c r="CO42" i="245" s="1"/>
  <c r="CN43" i="245"/>
  <c r="CO43" i="245" s="1"/>
  <c r="CN44" i="245"/>
  <c r="CN45" i="245"/>
  <c r="CO45" i="245" s="1"/>
  <c r="CN46" i="245"/>
  <c r="CO46" i="245" s="1"/>
  <c r="CN47" i="245"/>
  <c r="CO47" i="245" s="1"/>
  <c r="CN48" i="245"/>
  <c r="CN49" i="245"/>
  <c r="CO49" i="245" s="1"/>
  <c r="CN50" i="245"/>
  <c r="CO50" i="245" s="1"/>
  <c r="CN51" i="245"/>
  <c r="CO51" i="245" s="1"/>
  <c r="CN52" i="245"/>
  <c r="CN53" i="245"/>
  <c r="CO53" i="245" s="1"/>
  <c r="CN54" i="245"/>
  <c r="CO54" i="245" s="1"/>
  <c r="CN55" i="245"/>
  <c r="CO55" i="245" s="1"/>
  <c r="CN56" i="245"/>
  <c r="CN57" i="245"/>
  <c r="CO57" i="245" s="1"/>
  <c r="CN58" i="245"/>
  <c r="CO58" i="245" s="1"/>
  <c r="CN59" i="245"/>
  <c r="CO59" i="245" s="1"/>
  <c r="CN60" i="245"/>
  <c r="CN61" i="245"/>
  <c r="CO61" i="245" s="1"/>
  <c r="CN62" i="245"/>
  <c r="CO62" i="245" s="1"/>
  <c r="CN63" i="245"/>
  <c r="CO63" i="245" s="1"/>
  <c r="CN64" i="245"/>
  <c r="CN65" i="245"/>
  <c r="CO65" i="245" s="1"/>
  <c r="CN66" i="245"/>
  <c r="CO66" i="245" s="1"/>
  <c r="CN67" i="245"/>
  <c r="CO67" i="245" s="1"/>
  <c r="CN68" i="245"/>
  <c r="CN69" i="245"/>
  <c r="CO69" i="245" s="1"/>
  <c r="CN70" i="245"/>
  <c r="CO70" i="245" s="1"/>
  <c r="CN71" i="245"/>
  <c r="CO71" i="245" s="1"/>
  <c r="CN72" i="245"/>
  <c r="CN73" i="245"/>
  <c r="CO73" i="245" s="1"/>
  <c r="CN74" i="245"/>
  <c r="CO74" i="245" s="1"/>
  <c r="CN75" i="245"/>
  <c r="CO75" i="245" s="1"/>
  <c r="CN76" i="245"/>
  <c r="CN77" i="245"/>
  <c r="CO77" i="245" s="1"/>
  <c r="CN78" i="245"/>
  <c r="CO78" i="245" s="1"/>
  <c r="CN79" i="245"/>
  <c r="CO79" i="245" s="1"/>
  <c r="CN80" i="245"/>
  <c r="CN81" i="245"/>
  <c r="CO81" i="245" s="1"/>
  <c r="CN82" i="245"/>
  <c r="CO82" i="245" s="1"/>
  <c r="CN83" i="245"/>
  <c r="CO83" i="245" s="1"/>
  <c r="CN84" i="245"/>
  <c r="CN85" i="245"/>
  <c r="CO85" i="245" s="1"/>
  <c r="CN86" i="245"/>
  <c r="CO86" i="245" s="1"/>
  <c r="CN87" i="245"/>
  <c r="CO87" i="245" s="1"/>
  <c r="CN88" i="245"/>
  <c r="CN89" i="245"/>
  <c r="CO89" i="245" s="1"/>
  <c r="CN90" i="245"/>
  <c r="CO90" i="245" s="1"/>
  <c r="CN91" i="245"/>
  <c r="CO91" i="245" s="1"/>
  <c r="CN92" i="245"/>
  <c r="CN93" i="245"/>
  <c r="CO93" i="245" s="1"/>
  <c r="CN94" i="245"/>
  <c r="CO94" i="245" s="1"/>
  <c r="CN95" i="245"/>
  <c r="CO95" i="245" s="1"/>
  <c r="CN96" i="245"/>
  <c r="CN97" i="245"/>
  <c r="CO97" i="245" s="1"/>
  <c r="CN98" i="245"/>
  <c r="CO98" i="245" s="1"/>
  <c r="CN99" i="245"/>
  <c r="CO99" i="245" s="1"/>
  <c r="CN100" i="245"/>
  <c r="CN101" i="245"/>
  <c r="CO101" i="245" s="1"/>
  <c r="CN102" i="245"/>
  <c r="CO102" i="245" s="1"/>
  <c r="CN103" i="245"/>
  <c r="CO103" i="245" s="1"/>
  <c r="CN104" i="245"/>
  <c r="CN105" i="245"/>
  <c r="CO105" i="245" s="1"/>
  <c r="CN106" i="245"/>
  <c r="CO106" i="245" s="1"/>
  <c r="CN107" i="245"/>
  <c r="CO107" i="245" s="1"/>
  <c r="CN108" i="245"/>
  <c r="CN109" i="245"/>
  <c r="CO109" i="245" s="1"/>
  <c r="CN110" i="245"/>
  <c r="CO110" i="245" s="1"/>
  <c r="CN111" i="245"/>
  <c r="CO111" i="245" s="1"/>
  <c r="CN112" i="245"/>
  <c r="CN113" i="245"/>
  <c r="CO113" i="245" s="1"/>
  <c r="CN114" i="245"/>
  <c r="CO114" i="245" s="1"/>
  <c r="CN115" i="245"/>
  <c r="CO115" i="245" s="1"/>
  <c r="CN116" i="245"/>
  <c r="CN117" i="245"/>
  <c r="CO117" i="245" s="1"/>
  <c r="CN118" i="245"/>
  <c r="CO118" i="245" s="1"/>
  <c r="CN119" i="245"/>
  <c r="CO119" i="245" s="1"/>
  <c r="CN120" i="245"/>
  <c r="CN121" i="245"/>
  <c r="CO121" i="245" s="1"/>
  <c r="CN122" i="245"/>
  <c r="CO122" i="245" s="1"/>
  <c r="CN123" i="245"/>
  <c r="CO123" i="245" s="1"/>
  <c r="CN124" i="245"/>
  <c r="CN125" i="245"/>
  <c r="CO125" i="245" s="1"/>
  <c r="CN126" i="245"/>
  <c r="CO126" i="245" s="1"/>
  <c r="CN127" i="245"/>
  <c r="CO127" i="245" s="1"/>
  <c r="CN128" i="245"/>
  <c r="CN129" i="245"/>
  <c r="CO129" i="245" s="1"/>
  <c r="CN130" i="245"/>
  <c r="CO130" i="245" s="1"/>
  <c r="CN131" i="245"/>
  <c r="CO131" i="245" s="1"/>
  <c r="CN132" i="245"/>
  <c r="CN133" i="245"/>
  <c r="CO133" i="245" s="1"/>
  <c r="CN134" i="245"/>
  <c r="CO134" i="245" s="1"/>
  <c r="CN135" i="245"/>
  <c r="CO135" i="245" s="1"/>
  <c r="CN136" i="245"/>
  <c r="CN137" i="245"/>
  <c r="CO137" i="245" s="1"/>
  <c r="CN138" i="245"/>
  <c r="CO138" i="245" s="1"/>
  <c r="CN139" i="245"/>
  <c r="CO139" i="245" s="1"/>
  <c r="CN140" i="245"/>
  <c r="CN141" i="245"/>
  <c r="CO141" i="245" s="1"/>
  <c r="CN142" i="245"/>
  <c r="CO142" i="245" s="1"/>
  <c r="CN143" i="245"/>
  <c r="CO143" i="245" s="1"/>
  <c r="CN144" i="245"/>
  <c r="CN145" i="245"/>
  <c r="CO145" i="245" s="1"/>
  <c r="CN146" i="245"/>
  <c r="CO146" i="245" s="1"/>
  <c r="CN147" i="245"/>
  <c r="CO147" i="245" s="1"/>
  <c r="CN148" i="245"/>
  <c r="CN149" i="245"/>
  <c r="CO149" i="245" s="1"/>
  <c r="CN150" i="245"/>
  <c r="CO150" i="245" s="1"/>
  <c r="CN151" i="245"/>
  <c r="CO151" i="245" s="1"/>
  <c r="CN152" i="245"/>
  <c r="CN153" i="245"/>
  <c r="CO153" i="245" s="1"/>
  <c r="CN154" i="245"/>
  <c r="CO154" i="245" s="1"/>
  <c r="CN155" i="245"/>
  <c r="CO155" i="245" s="1"/>
  <c r="CN156" i="245"/>
  <c r="CN157" i="245"/>
  <c r="CO157" i="245" s="1"/>
  <c r="CN158" i="245"/>
  <c r="CO158" i="245" s="1"/>
  <c r="CN159" i="245"/>
  <c r="CO159" i="245" s="1"/>
  <c r="CN160" i="245"/>
  <c r="CN161" i="245"/>
  <c r="CO161" i="245" s="1"/>
  <c r="CN162" i="245"/>
  <c r="CO162" i="245" s="1"/>
  <c r="CN163" i="245"/>
  <c r="CO163" i="245" s="1"/>
  <c r="CN164" i="245"/>
  <c r="CN165" i="245"/>
  <c r="CO165" i="245" s="1"/>
  <c r="CN166" i="245"/>
  <c r="CO166" i="245" s="1"/>
  <c r="CN167" i="245"/>
  <c r="CO167" i="245" s="1"/>
  <c r="CN168" i="245"/>
  <c r="CN169" i="245"/>
  <c r="CO169" i="245" s="1"/>
  <c r="CN170" i="245"/>
  <c r="CO170" i="245" s="1"/>
  <c r="CN171" i="245"/>
  <c r="CO171" i="245" s="1"/>
  <c r="CN172" i="245"/>
  <c r="CN173" i="245"/>
  <c r="CO173" i="245" s="1"/>
  <c r="CN174" i="245"/>
  <c r="CO174" i="245" s="1"/>
  <c r="CN175" i="245"/>
  <c r="CO175" i="245" s="1"/>
  <c r="CN176" i="245"/>
  <c r="CN177" i="245"/>
  <c r="CO177" i="245" s="1"/>
  <c r="CN178" i="245"/>
  <c r="CO178" i="245" s="1"/>
  <c r="CN179" i="245"/>
  <c r="CO179" i="245" s="1"/>
  <c r="CN180" i="245"/>
  <c r="BX6" i="245"/>
  <c r="BX7" i="245"/>
  <c r="BX15" i="245"/>
  <c r="BX23" i="245"/>
  <c r="BX26" i="245"/>
  <c r="BX31" i="245"/>
  <c r="BX38" i="245"/>
  <c r="BX39" i="245"/>
  <c r="BX47" i="245"/>
  <c r="BX55" i="245"/>
  <c r="BX58" i="245"/>
  <c r="BX63" i="245"/>
  <c r="BX70" i="245"/>
  <c r="BX71" i="245"/>
  <c r="BX79" i="245"/>
  <c r="BX87" i="245"/>
  <c r="BX90" i="245"/>
  <c r="BX95" i="245"/>
  <c r="BX102" i="245"/>
  <c r="BX103" i="245"/>
  <c r="BX111" i="245"/>
  <c r="BX119" i="245"/>
  <c r="BX122" i="245"/>
  <c r="BX127" i="245"/>
  <c r="BX134" i="245"/>
  <c r="BX135" i="245"/>
  <c r="BX143" i="245"/>
  <c r="BX151" i="245"/>
  <c r="BX154" i="245"/>
  <c r="BX159" i="245"/>
  <c r="BX166" i="245"/>
  <c r="BX167" i="245"/>
  <c r="BX168" i="245"/>
  <c r="BX171" i="245"/>
  <c r="BX172" i="245"/>
  <c r="BX175" i="245"/>
  <c r="BX176" i="245"/>
  <c r="BX177" i="245"/>
  <c r="BX179" i="245"/>
  <c r="BX180" i="245"/>
  <c r="BW6" i="245"/>
  <c r="BW7" i="245"/>
  <c r="BW8" i="245"/>
  <c r="BX8" i="245" s="1"/>
  <c r="BW9" i="245"/>
  <c r="BX9" i="245" s="1"/>
  <c r="BW10" i="245"/>
  <c r="BX10" i="245" s="1"/>
  <c r="BW11" i="245"/>
  <c r="BX11" i="245" s="1"/>
  <c r="BW12" i="245"/>
  <c r="BX12" i="245" s="1"/>
  <c r="BW13" i="245"/>
  <c r="BX13" i="245" s="1"/>
  <c r="BW14" i="245"/>
  <c r="BX14" i="245" s="1"/>
  <c r="BW15" i="245"/>
  <c r="BW16" i="245"/>
  <c r="BX16" i="245" s="1"/>
  <c r="BW17" i="245"/>
  <c r="BX17" i="245" s="1"/>
  <c r="BW18" i="245"/>
  <c r="BX18" i="245" s="1"/>
  <c r="BW19" i="245"/>
  <c r="BX19" i="245" s="1"/>
  <c r="BW20" i="245"/>
  <c r="BX20" i="245" s="1"/>
  <c r="BW21" i="245"/>
  <c r="BX21" i="245" s="1"/>
  <c r="BW22" i="245"/>
  <c r="BX22" i="245" s="1"/>
  <c r="BW23" i="245"/>
  <c r="BW24" i="245"/>
  <c r="BX24" i="245" s="1"/>
  <c r="BW25" i="245"/>
  <c r="BX25" i="245" s="1"/>
  <c r="BW26" i="245"/>
  <c r="BW27" i="245"/>
  <c r="BX27" i="245" s="1"/>
  <c r="BW28" i="245"/>
  <c r="BX28" i="245" s="1"/>
  <c r="BW29" i="245"/>
  <c r="BX29" i="245" s="1"/>
  <c r="BW30" i="245"/>
  <c r="BX30" i="245" s="1"/>
  <c r="BW31" i="245"/>
  <c r="BW32" i="245"/>
  <c r="BX32" i="245" s="1"/>
  <c r="BW33" i="245"/>
  <c r="BX33" i="245" s="1"/>
  <c r="BW34" i="245"/>
  <c r="BX34" i="245" s="1"/>
  <c r="BW35" i="245"/>
  <c r="BX35" i="245" s="1"/>
  <c r="BW36" i="245"/>
  <c r="BX36" i="245" s="1"/>
  <c r="BW37" i="245"/>
  <c r="BX37" i="245" s="1"/>
  <c r="BW38" i="245"/>
  <c r="BW39" i="245"/>
  <c r="BW40" i="245"/>
  <c r="BX40" i="245" s="1"/>
  <c r="BW41" i="245"/>
  <c r="BX41" i="245" s="1"/>
  <c r="BW42" i="245"/>
  <c r="BX42" i="245" s="1"/>
  <c r="BW43" i="245"/>
  <c r="BX43" i="245" s="1"/>
  <c r="BW44" i="245"/>
  <c r="BX44" i="245" s="1"/>
  <c r="BW45" i="245"/>
  <c r="BX45" i="245" s="1"/>
  <c r="BW46" i="245"/>
  <c r="BX46" i="245" s="1"/>
  <c r="BW47" i="245"/>
  <c r="BW48" i="245"/>
  <c r="BX48" i="245" s="1"/>
  <c r="BW49" i="245"/>
  <c r="BX49" i="245" s="1"/>
  <c r="BW50" i="245"/>
  <c r="BX50" i="245" s="1"/>
  <c r="BW51" i="245"/>
  <c r="BX51" i="245" s="1"/>
  <c r="BW52" i="245"/>
  <c r="BX52" i="245" s="1"/>
  <c r="BW53" i="245"/>
  <c r="BX53" i="245" s="1"/>
  <c r="BW54" i="245"/>
  <c r="BX54" i="245" s="1"/>
  <c r="BW55" i="245"/>
  <c r="BW56" i="245"/>
  <c r="BX56" i="245" s="1"/>
  <c r="BW57" i="245"/>
  <c r="BX57" i="245" s="1"/>
  <c r="BW58" i="245"/>
  <c r="BW59" i="245"/>
  <c r="BX59" i="245" s="1"/>
  <c r="BW60" i="245"/>
  <c r="BX60" i="245" s="1"/>
  <c r="BW61" i="245"/>
  <c r="BX61" i="245" s="1"/>
  <c r="BW62" i="245"/>
  <c r="BX62" i="245" s="1"/>
  <c r="BW63" i="245"/>
  <c r="BW64" i="245"/>
  <c r="BX64" i="245" s="1"/>
  <c r="BW65" i="245"/>
  <c r="BX65" i="245" s="1"/>
  <c r="BW66" i="245"/>
  <c r="BX66" i="245" s="1"/>
  <c r="BW67" i="245"/>
  <c r="BX67" i="245" s="1"/>
  <c r="BW68" i="245"/>
  <c r="BX68" i="245" s="1"/>
  <c r="BW69" i="245"/>
  <c r="BX69" i="245" s="1"/>
  <c r="BW70" i="245"/>
  <c r="BW71" i="245"/>
  <c r="BW72" i="245"/>
  <c r="BX72" i="245" s="1"/>
  <c r="BW73" i="245"/>
  <c r="BX73" i="245" s="1"/>
  <c r="BW74" i="245"/>
  <c r="BX74" i="245" s="1"/>
  <c r="BW75" i="245"/>
  <c r="BX75" i="245" s="1"/>
  <c r="BW76" i="245"/>
  <c r="BX76" i="245" s="1"/>
  <c r="BW77" i="245"/>
  <c r="BX77" i="245" s="1"/>
  <c r="BW78" i="245"/>
  <c r="BX78" i="245" s="1"/>
  <c r="BW79" i="245"/>
  <c r="BW80" i="245"/>
  <c r="BX80" i="245" s="1"/>
  <c r="BW81" i="245"/>
  <c r="BX81" i="245" s="1"/>
  <c r="BW82" i="245"/>
  <c r="BX82" i="245" s="1"/>
  <c r="BW83" i="245"/>
  <c r="BX83" i="245" s="1"/>
  <c r="BW84" i="245"/>
  <c r="BX84" i="245" s="1"/>
  <c r="BW85" i="245"/>
  <c r="BX85" i="245" s="1"/>
  <c r="BW86" i="245"/>
  <c r="BX86" i="245" s="1"/>
  <c r="BW87" i="245"/>
  <c r="BW88" i="245"/>
  <c r="BX88" i="245" s="1"/>
  <c r="BW89" i="245"/>
  <c r="BX89" i="245" s="1"/>
  <c r="BW90" i="245"/>
  <c r="BW91" i="245"/>
  <c r="BX91" i="245" s="1"/>
  <c r="BW92" i="245"/>
  <c r="BX92" i="245" s="1"/>
  <c r="BW93" i="245"/>
  <c r="BX93" i="245" s="1"/>
  <c r="BW94" i="245"/>
  <c r="BX94" i="245" s="1"/>
  <c r="BW95" i="245"/>
  <c r="BW96" i="245"/>
  <c r="BX96" i="245" s="1"/>
  <c r="BW97" i="245"/>
  <c r="BX97" i="245" s="1"/>
  <c r="BW98" i="245"/>
  <c r="BX98" i="245" s="1"/>
  <c r="BW99" i="245"/>
  <c r="BX99" i="245" s="1"/>
  <c r="BW100" i="245"/>
  <c r="BX100" i="245" s="1"/>
  <c r="BW101" i="245"/>
  <c r="BX101" i="245" s="1"/>
  <c r="BW102" i="245"/>
  <c r="BW103" i="245"/>
  <c r="BW104" i="245"/>
  <c r="BX104" i="245" s="1"/>
  <c r="BW105" i="245"/>
  <c r="BX105" i="245" s="1"/>
  <c r="BW106" i="245"/>
  <c r="BX106" i="245" s="1"/>
  <c r="BW107" i="245"/>
  <c r="BX107" i="245" s="1"/>
  <c r="BW108" i="245"/>
  <c r="BX108" i="245" s="1"/>
  <c r="BW109" i="245"/>
  <c r="BX109" i="245" s="1"/>
  <c r="BW110" i="245"/>
  <c r="BX110" i="245" s="1"/>
  <c r="BW111" i="245"/>
  <c r="BW112" i="245"/>
  <c r="BX112" i="245" s="1"/>
  <c r="BW113" i="245"/>
  <c r="BX113" i="245" s="1"/>
  <c r="BW114" i="245"/>
  <c r="BX114" i="245" s="1"/>
  <c r="BW115" i="245"/>
  <c r="BX115" i="245" s="1"/>
  <c r="BW116" i="245"/>
  <c r="BX116" i="245" s="1"/>
  <c r="BW117" i="245"/>
  <c r="BX117" i="245" s="1"/>
  <c r="BW118" i="245"/>
  <c r="BX118" i="245" s="1"/>
  <c r="BW119" i="245"/>
  <c r="BW120" i="245"/>
  <c r="BX120" i="245" s="1"/>
  <c r="BW121" i="245"/>
  <c r="BX121" i="245" s="1"/>
  <c r="BW122" i="245"/>
  <c r="BW123" i="245"/>
  <c r="BX123" i="245" s="1"/>
  <c r="BW124" i="245"/>
  <c r="BX124" i="245" s="1"/>
  <c r="BW125" i="245"/>
  <c r="BX125" i="245" s="1"/>
  <c r="BW126" i="245"/>
  <c r="BX126" i="245" s="1"/>
  <c r="BW127" i="245"/>
  <c r="BW128" i="245"/>
  <c r="BX128" i="245" s="1"/>
  <c r="BW129" i="245"/>
  <c r="BX129" i="245" s="1"/>
  <c r="BW130" i="245"/>
  <c r="BX130" i="245" s="1"/>
  <c r="BW131" i="245"/>
  <c r="BX131" i="245" s="1"/>
  <c r="BW132" i="245"/>
  <c r="BX132" i="245" s="1"/>
  <c r="BW133" i="245"/>
  <c r="BX133" i="245" s="1"/>
  <c r="BW134" i="245"/>
  <c r="BW135" i="245"/>
  <c r="BW136" i="245"/>
  <c r="BX136" i="245" s="1"/>
  <c r="BW137" i="245"/>
  <c r="BX137" i="245" s="1"/>
  <c r="BW138" i="245"/>
  <c r="BX138" i="245" s="1"/>
  <c r="BW139" i="245"/>
  <c r="BX139" i="245" s="1"/>
  <c r="BW140" i="245"/>
  <c r="BX140" i="245" s="1"/>
  <c r="BW141" i="245"/>
  <c r="BX141" i="245" s="1"/>
  <c r="BW142" i="245"/>
  <c r="BX142" i="245" s="1"/>
  <c r="BW143" i="245"/>
  <c r="BW144" i="245"/>
  <c r="BX144" i="245" s="1"/>
  <c r="BW145" i="245"/>
  <c r="BX145" i="245" s="1"/>
  <c r="BW146" i="245"/>
  <c r="BX146" i="245" s="1"/>
  <c r="BW147" i="245"/>
  <c r="BX147" i="245" s="1"/>
  <c r="BW148" i="245"/>
  <c r="BX148" i="245" s="1"/>
  <c r="BW149" i="245"/>
  <c r="BX149" i="245" s="1"/>
  <c r="BW150" i="245"/>
  <c r="BX150" i="245" s="1"/>
  <c r="BW151" i="245"/>
  <c r="BW152" i="245"/>
  <c r="BX152" i="245" s="1"/>
  <c r="BW153" i="245"/>
  <c r="BX153" i="245" s="1"/>
  <c r="BW154" i="245"/>
  <c r="BW155" i="245"/>
  <c r="BX155" i="245" s="1"/>
  <c r="BW156" i="245"/>
  <c r="BX156" i="245" s="1"/>
  <c r="BW157" i="245"/>
  <c r="BX157" i="245" s="1"/>
  <c r="BW158" i="245"/>
  <c r="BX158" i="245" s="1"/>
  <c r="BW159" i="245"/>
  <c r="BW160" i="245"/>
  <c r="BX160" i="245" s="1"/>
  <c r="BW161" i="245"/>
  <c r="BX161" i="245" s="1"/>
  <c r="BW162" i="245"/>
  <c r="BX162" i="245" s="1"/>
  <c r="BW163" i="245"/>
  <c r="BX163" i="245" s="1"/>
  <c r="BW164" i="245"/>
  <c r="BX164" i="245" s="1"/>
  <c r="BW165" i="245"/>
  <c r="BX165" i="245" s="1"/>
  <c r="BW166" i="245"/>
  <c r="BW167" i="245"/>
  <c r="BW168" i="245"/>
  <c r="BW169" i="245"/>
  <c r="BX169" i="245" s="1"/>
  <c r="BW170" i="245"/>
  <c r="BX170" i="245" s="1"/>
  <c r="BW171" i="245"/>
  <c r="BW172" i="245"/>
  <c r="BW173" i="245"/>
  <c r="BX173" i="245" s="1"/>
  <c r="BW174" i="245"/>
  <c r="BX174" i="245" s="1"/>
  <c r="BW175" i="245"/>
  <c r="BW176" i="245"/>
  <c r="BW177" i="245"/>
  <c r="BW178" i="245"/>
  <c r="BX178" i="245" s="1"/>
  <c r="BW179" i="245"/>
  <c r="BW180" i="245"/>
  <c r="BG6" i="245"/>
  <c r="BG7" i="245"/>
  <c r="BG9" i="245"/>
  <c r="BG13" i="245"/>
  <c r="BG14" i="245"/>
  <c r="BG17" i="245"/>
  <c r="BG18" i="245"/>
  <c r="BG19" i="245"/>
  <c r="BG21" i="245"/>
  <c r="BG22" i="245"/>
  <c r="BG23" i="245"/>
  <c r="BG25" i="245"/>
  <c r="BG29" i="245"/>
  <c r="BG30" i="245"/>
  <c r="BG33" i="245"/>
  <c r="BG34" i="245"/>
  <c r="BG35" i="245"/>
  <c r="BG37" i="245"/>
  <c r="BG38" i="245"/>
  <c r="BG39" i="245"/>
  <c r="BG41" i="245"/>
  <c r="BG45" i="245"/>
  <c r="BG46" i="245"/>
  <c r="BG49" i="245"/>
  <c r="BG50" i="245"/>
  <c r="BG51" i="245"/>
  <c r="BG53" i="245"/>
  <c r="BG54" i="245"/>
  <c r="BG55" i="245"/>
  <c r="BG57" i="245"/>
  <c r="BG61" i="245"/>
  <c r="BG62" i="245"/>
  <c r="BG65" i="245"/>
  <c r="BG66" i="245"/>
  <c r="BG67" i="245"/>
  <c r="BG69" i="245"/>
  <c r="BG70" i="245"/>
  <c r="BG71" i="245"/>
  <c r="BG73" i="245"/>
  <c r="BG77" i="245"/>
  <c r="BG78" i="245"/>
  <c r="BG81" i="245"/>
  <c r="BG82" i="245"/>
  <c r="BG83" i="245"/>
  <c r="BG85" i="245"/>
  <c r="BG86" i="245"/>
  <c r="BG87" i="245"/>
  <c r="BG89" i="245"/>
  <c r="BG93" i="245"/>
  <c r="BG94" i="245"/>
  <c r="BG97" i="245"/>
  <c r="BG98" i="245"/>
  <c r="BG99" i="245"/>
  <c r="BG101" i="245"/>
  <c r="BG102" i="245"/>
  <c r="BG103" i="245"/>
  <c r="BG105" i="245"/>
  <c r="BG109" i="245"/>
  <c r="BG110" i="245"/>
  <c r="BG113" i="245"/>
  <c r="BG114" i="245"/>
  <c r="BG115" i="245"/>
  <c r="BG117" i="245"/>
  <c r="BG118" i="245"/>
  <c r="BG119" i="245"/>
  <c r="BG121" i="245"/>
  <c r="BG125" i="245"/>
  <c r="BG126" i="245"/>
  <c r="BG129" i="245"/>
  <c r="BG130" i="245"/>
  <c r="BG131" i="245"/>
  <c r="BG133" i="245"/>
  <c r="BG134" i="245"/>
  <c r="BG135" i="245"/>
  <c r="BG137" i="245"/>
  <c r="BG141" i="245"/>
  <c r="BG142" i="245"/>
  <c r="BG145" i="245"/>
  <c r="BG146" i="245"/>
  <c r="BG147" i="245"/>
  <c r="BG149" i="245"/>
  <c r="BG150" i="245"/>
  <c r="BG151" i="245"/>
  <c r="BG153" i="245"/>
  <c r="BG157" i="245"/>
  <c r="BG158" i="245"/>
  <c r="BG161" i="245"/>
  <c r="BG162" i="245"/>
  <c r="BG163" i="245"/>
  <c r="BG165" i="245"/>
  <c r="BG166" i="245"/>
  <c r="BG167" i="245"/>
  <c r="BG169" i="245"/>
  <c r="BG173" i="245"/>
  <c r="BG174" i="245"/>
  <c r="BG177" i="245"/>
  <c r="BG178" i="245"/>
  <c r="BG179" i="245"/>
  <c r="BF6" i="245"/>
  <c r="BF7" i="245"/>
  <c r="BF8" i="245"/>
  <c r="BG8" i="245" s="1"/>
  <c r="BF9" i="245"/>
  <c r="BF10" i="245"/>
  <c r="BG10" i="245" s="1"/>
  <c r="BF11" i="245"/>
  <c r="BG11" i="245" s="1"/>
  <c r="BF12" i="245"/>
  <c r="BG12" i="245" s="1"/>
  <c r="BF13" i="245"/>
  <c r="BF14" i="245"/>
  <c r="BF15" i="245"/>
  <c r="BG15" i="245" s="1"/>
  <c r="BF16" i="245"/>
  <c r="BG16" i="245" s="1"/>
  <c r="BF17" i="245"/>
  <c r="BF18" i="245"/>
  <c r="BF19" i="245"/>
  <c r="BF20" i="245"/>
  <c r="BG20" i="245" s="1"/>
  <c r="BF21" i="245"/>
  <c r="BF22" i="245"/>
  <c r="BF23" i="245"/>
  <c r="BF24" i="245"/>
  <c r="BG24" i="245" s="1"/>
  <c r="BF25" i="245"/>
  <c r="BF26" i="245"/>
  <c r="BG26" i="245" s="1"/>
  <c r="BF27" i="245"/>
  <c r="BG27" i="245" s="1"/>
  <c r="BF28" i="245"/>
  <c r="BG28" i="245" s="1"/>
  <c r="BF29" i="245"/>
  <c r="BF30" i="245"/>
  <c r="BF31" i="245"/>
  <c r="BG31" i="245" s="1"/>
  <c r="BF32" i="245"/>
  <c r="BG32" i="245" s="1"/>
  <c r="BF33" i="245"/>
  <c r="BF34" i="245"/>
  <c r="BF35" i="245"/>
  <c r="BF36" i="245"/>
  <c r="BG36" i="245" s="1"/>
  <c r="BF37" i="245"/>
  <c r="BF38" i="245"/>
  <c r="BF39" i="245"/>
  <c r="BF40" i="245"/>
  <c r="BG40" i="245" s="1"/>
  <c r="BF41" i="245"/>
  <c r="BF42" i="245"/>
  <c r="BG42" i="245" s="1"/>
  <c r="BF43" i="245"/>
  <c r="BG43" i="245" s="1"/>
  <c r="BF44" i="245"/>
  <c r="BG44" i="245" s="1"/>
  <c r="BF45" i="245"/>
  <c r="BF46" i="245"/>
  <c r="BF47" i="245"/>
  <c r="BG47" i="245" s="1"/>
  <c r="BF48" i="245"/>
  <c r="BG48" i="245" s="1"/>
  <c r="BF49" i="245"/>
  <c r="BF50" i="245"/>
  <c r="BF51" i="245"/>
  <c r="BF52" i="245"/>
  <c r="BG52" i="245" s="1"/>
  <c r="BF53" i="245"/>
  <c r="BF54" i="245"/>
  <c r="BF55" i="245"/>
  <c r="BF56" i="245"/>
  <c r="BG56" i="245" s="1"/>
  <c r="BF57" i="245"/>
  <c r="BF58" i="245"/>
  <c r="BG58" i="245" s="1"/>
  <c r="BF59" i="245"/>
  <c r="BG59" i="245" s="1"/>
  <c r="BF60" i="245"/>
  <c r="BG60" i="245" s="1"/>
  <c r="BF61" i="245"/>
  <c r="BF62" i="245"/>
  <c r="BF63" i="245"/>
  <c r="BG63" i="245" s="1"/>
  <c r="BF64" i="245"/>
  <c r="BG64" i="245" s="1"/>
  <c r="BF65" i="245"/>
  <c r="BF66" i="245"/>
  <c r="BF67" i="245"/>
  <c r="BF68" i="245"/>
  <c r="BG68" i="245" s="1"/>
  <c r="BF69" i="245"/>
  <c r="BF70" i="245"/>
  <c r="BF71" i="245"/>
  <c r="BF72" i="245"/>
  <c r="BG72" i="245" s="1"/>
  <c r="BF73" i="245"/>
  <c r="BF74" i="245"/>
  <c r="BG74" i="245" s="1"/>
  <c r="BF75" i="245"/>
  <c r="BG75" i="245" s="1"/>
  <c r="BF76" i="245"/>
  <c r="BG76" i="245" s="1"/>
  <c r="BF77" i="245"/>
  <c r="BF78" i="245"/>
  <c r="BF79" i="245"/>
  <c r="BG79" i="245" s="1"/>
  <c r="BF80" i="245"/>
  <c r="BG80" i="245" s="1"/>
  <c r="BF81" i="245"/>
  <c r="BF82" i="245"/>
  <c r="BF83" i="245"/>
  <c r="BF84" i="245"/>
  <c r="BG84" i="245" s="1"/>
  <c r="BF85" i="245"/>
  <c r="BF86" i="245"/>
  <c r="BF87" i="245"/>
  <c r="BF88" i="245"/>
  <c r="BG88" i="245" s="1"/>
  <c r="BF89" i="245"/>
  <c r="BF90" i="245"/>
  <c r="BG90" i="245" s="1"/>
  <c r="BF91" i="245"/>
  <c r="BG91" i="245" s="1"/>
  <c r="BF92" i="245"/>
  <c r="BG92" i="245" s="1"/>
  <c r="BF93" i="245"/>
  <c r="BF94" i="245"/>
  <c r="BF95" i="245"/>
  <c r="BG95" i="245" s="1"/>
  <c r="BF96" i="245"/>
  <c r="BG96" i="245" s="1"/>
  <c r="BF97" i="245"/>
  <c r="BF98" i="245"/>
  <c r="BF99" i="245"/>
  <c r="BF100" i="245"/>
  <c r="BG100" i="245" s="1"/>
  <c r="BF101" i="245"/>
  <c r="BF102" i="245"/>
  <c r="BF103" i="245"/>
  <c r="BF104" i="245"/>
  <c r="BG104" i="245" s="1"/>
  <c r="BF105" i="245"/>
  <c r="BF106" i="245"/>
  <c r="BG106" i="245" s="1"/>
  <c r="BF107" i="245"/>
  <c r="BG107" i="245" s="1"/>
  <c r="BF108" i="245"/>
  <c r="BG108" i="245" s="1"/>
  <c r="BF109" i="245"/>
  <c r="BF110" i="245"/>
  <c r="BF111" i="245"/>
  <c r="BG111" i="245" s="1"/>
  <c r="BF112" i="245"/>
  <c r="BG112" i="245" s="1"/>
  <c r="BF113" i="245"/>
  <c r="BF114" i="245"/>
  <c r="BF115" i="245"/>
  <c r="BF116" i="245"/>
  <c r="BG116" i="245" s="1"/>
  <c r="BF117" i="245"/>
  <c r="BF118" i="245"/>
  <c r="BF119" i="245"/>
  <c r="BF120" i="245"/>
  <c r="BG120" i="245" s="1"/>
  <c r="BF121" i="245"/>
  <c r="BF122" i="245"/>
  <c r="BG122" i="245" s="1"/>
  <c r="BF123" i="245"/>
  <c r="BG123" i="245" s="1"/>
  <c r="BF124" i="245"/>
  <c r="BG124" i="245" s="1"/>
  <c r="BF125" i="245"/>
  <c r="BF126" i="245"/>
  <c r="BF127" i="245"/>
  <c r="BG127" i="245" s="1"/>
  <c r="BF128" i="245"/>
  <c r="BG128" i="245" s="1"/>
  <c r="BF129" i="245"/>
  <c r="BF130" i="245"/>
  <c r="BF131" i="245"/>
  <c r="BF132" i="245"/>
  <c r="BG132" i="245" s="1"/>
  <c r="BF133" i="245"/>
  <c r="BF134" i="245"/>
  <c r="BF135" i="245"/>
  <c r="BF136" i="245"/>
  <c r="BG136" i="245" s="1"/>
  <c r="BF137" i="245"/>
  <c r="BF138" i="245"/>
  <c r="BG138" i="245" s="1"/>
  <c r="BF139" i="245"/>
  <c r="BG139" i="245" s="1"/>
  <c r="BF140" i="245"/>
  <c r="BG140" i="245" s="1"/>
  <c r="BF141" i="245"/>
  <c r="BF142" i="245"/>
  <c r="BF143" i="245"/>
  <c r="BG143" i="245" s="1"/>
  <c r="BF144" i="245"/>
  <c r="BG144" i="245" s="1"/>
  <c r="BF145" i="245"/>
  <c r="BF146" i="245"/>
  <c r="BF147" i="245"/>
  <c r="BF148" i="245"/>
  <c r="BG148" i="245" s="1"/>
  <c r="BF149" i="245"/>
  <c r="BF150" i="245"/>
  <c r="BF151" i="245"/>
  <c r="BF152" i="245"/>
  <c r="BG152" i="245" s="1"/>
  <c r="BF153" i="245"/>
  <c r="BF154" i="245"/>
  <c r="BG154" i="245" s="1"/>
  <c r="BF155" i="245"/>
  <c r="BG155" i="245" s="1"/>
  <c r="BF156" i="245"/>
  <c r="BG156" i="245" s="1"/>
  <c r="BF157" i="245"/>
  <c r="BF158" i="245"/>
  <c r="BF159" i="245"/>
  <c r="BG159" i="245" s="1"/>
  <c r="BF160" i="245"/>
  <c r="BG160" i="245" s="1"/>
  <c r="BF161" i="245"/>
  <c r="BF162" i="245"/>
  <c r="BF163" i="245"/>
  <c r="BF164" i="245"/>
  <c r="BG164" i="245" s="1"/>
  <c r="BF165" i="245"/>
  <c r="BF166" i="245"/>
  <c r="BF167" i="245"/>
  <c r="BF168" i="245"/>
  <c r="BG168" i="245" s="1"/>
  <c r="BF169" i="245"/>
  <c r="BF170" i="245"/>
  <c r="BG170" i="245" s="1"/>
  <c r="BF171" i="245"/>
  <c r="BG171" i="245" s="1"/>
  <c r="BF172" i="245"/>
  <c r="BG172" i="245" s="1"/>
  <c r="BF173" i="245"/>
  <c r="BF174" i="245"/>
  <c r="BF175" i="245"/>
  <c r="BG175" i="245" s="1"/>
  <c r="BF176" i="245"/>
  <c r="BG176" i="245" s="1"/>
  <c r="BF177" i="245"/>
  <c r="BF178" i="245"/>
  <c r="BF179" i="245"/>
  <c r="BF180" i="245"/>
  <c r="BG180" i="245" s="1"/>
  <c r="AP7" i="245"/>
  <c r="AP11" i="245"/>
  <c r="AP12" i="245"/>
  <c r="AP15" i="245"/>
  <c r="AP16" i="245"/>
  <c r="AP17" i="245"/>
  <c r="AP19" i="245"/>
  <c r="AP20" i="245"/>
  <c r="AP21" i="245"/>
  <c r="AP23" i="245"/>
  <c r="AP27" i="245"/>
  <c r="AP28" i="245"/>
  <c r="AP31" i="245"/>
  <c r="AP32" i="245"/>
  <c r="AP33" i="245"/>
  <c r="AP35" i="245"/>
  <c r="AP36" i="245"/>
  <c r="AP37" i="245"/>
  <c r="AP39" i="245"/>
  <c r="AP43" i="245"/>
  <c r="AP44" i="245"/>
  <c r="AP47" i="245"/>
  <c r="AP48" i="245"/>
  <c r="AP49" i="245"/>
  <c r="AP51" i="245"/>
  <c r="AP52" i="245"/>
  <c r="AP53" i="245"/>
  <c r="AP55" i="245"/>
  <c r="AP59" i="245"/>
  <c r="AP60" i="245"/>
  <c r="AP63" i="245"/>
  <c r="AP64" i="245"/>
  <c r="AP65" i="245"/>
  <c r="AP67" i="245"/>
  <c r="AP68" i="245"/>
  <c r="AP69" i="245"/>
  <c r="AP71" i="245"/>
  <c r="AP75" i="245"/>
  <c r="AP76" i="245"/>
  <c r="AP79" i="245"/>
  <c r="AP80" i="245"/>
  <c r="AP81" i="245"/>
  <c r="AP83" i="245"/>
  <c r="AP84" i="245"/>
  <c r="AP85" i="245"/>
  <c r="AP87" i="245"/>
  <c r="AP91" i="245"/>
  <c r="AP92" i="245"/>
  <c r="AP95" i="245"/>
  <c r="AP96" i="245"/>
  <c r="AP97" i="245"/>
  <c r="AP99" i="245"/>
  <c r="AP100" i="245"/>
  <c r="AP101" i="245"/>
  <c r="AP103" i="245"/>
  <c r="AP107" i="245"/>
  <c r="AP108" i="245"/>
  <c r="AP111" i="245"/>
  <c r="AP112" i="245"/>
  <c r="AP113" i="245"/>
  <c r="AP115" i="245"/>
  <c r="AP116" i="245"/>
  <c r="AP117" i="245"/>
  <c r="AP119" i="245"/>
  <c r="AP123" i="245"/>
  <c r="AP124" i="245"/>
  <c r="AP127" i="245"/>
  <c r="AP128" i="245"/>
  <c r="AP129" i="245"/>
  <c r="AP131" i="245"/>
  <c r="AP132" i="245"/>
  <c r="AP133" i="245"/>
  <c r="AP135" i="245"/>
  <c r="AP139" i="245"/>
  <c r="AP140" i="245"/>
  <c r="AP143" i="245"/>
  <c r="AP144" i="245"/>
  <c r="AP145" i="245"/>
  <c r="AP147" i="245"/>
  <c r="AP148" i="245"/>
  <c r="AP149" i="245"/>
  <c r="AP151" i="245"/>
  <c r="AP155" i="245"/>
  <c r="AP156" i="245"/>
  <c r="AP159" i="245"/>
  <c r="AP160" i="245"/>
  <c r="AP161" i="245"/>
  <c r="AP163" i="245"/>
  <c r="AP164" i="245"/>
  <c r="AP165" i="245"/>
  <c r="AP167" i="245"/>
  <c r="AP171" i="245"/>
  <c r="AP172" i="245"/>
  <c r="AP175" i="245"/>
  <c r="AP176" i="245"/>
  <c r="AP177" i="245"/>
  <c r="AP179" i="245"/>
  <c r="AP180" i="245"/>
  <c r="AO6" i="245"/>
  <c r="AP6" i="245" s="1"/>
  <c r="AO7" i="245"/>
  <c r="AO8" i="245"/>
  <c r="AP8" i="245" s="1"/>
  <c r="AO9" i="245"/>
  <c r="AP9" i="245" s="1"/>
  <c r="AO10" i="245"/>
  <c r="AP10" i="245" s="1"/>
  <c r="AO11" i="245"/>
  <c r="AO12" i="245"/>
  <c r="AO13" i="245"/>
  <c r="AP13" i="245" s="1"/>
  <c r="AO14" i="245"/>
  <c r="AP14" i="245" s="1"/>
  <c r="AO15" i="245"/>
  <c r="AO16" i="245"/>
  <c r="AO17" i="245"/>
  <c r="AO18" i="245"/>
  <c r="AP18" i="245" s="1"/>
  <c r="AO19" i="245"/>
  <c r="AO20" i="245"/>
  <c r="AO21" i="245"/>
  <c r="AO22" i="245"/>
  <c r="AP22" i="245" s="1"/>
  <c r="AO23" i="245"/>
  <c r="AO24" i="245"/>
  <c r="AP24" i="245" s="1"/>
  <c r="AO25" i="245"/>
  <c r="AP25" i="245" s="1"/>
  <c r="AO26" i="245"/>
  <c r="AP26" i="245" s="1"/>
  <c r="AO27" i="245"/>
  <c r="AO28" i="245"/>
  <c r="AO29" i="245"/>
  <c r="AP29" i="245" s="1"/>
  <c r="AO30" i="245"/>
  <c r="AP30" i="245" s="1"/>
  <c r="AO31" i="245"/>
  <c r="AO32" i="245"/>
  <c r="AO33" i="245"/>
  <c r="AO34" i="245"/>
  <c r="AP34" i="245" s="1"/>
  <c r="AO35" i="245"/>
  <c r="AO36" i="245"/>
  <c r="AO37" i="245"/>
  <c r="AO38" i="245"/>
  <c r="AP38" i="245" s="1"/>
  <c r="AO39" i="245"/>
  <c r="AO40" i="245"/>
  <c r="AP40" i="245" s="1"/>
  <c r="AO41" i="245"/>
  <c r="AP41" i="245" s="1"/>
  <c r="AO42" i="245"/>
  <c r="AP42" i="245" s="1"/>
  <c r="AO43" i="245"/>
  <c r="AO44" i="245"/>
  <c r="AO45" i="245"/>
  <c r="AP45" i="245" s="1"/>
  <c r="AO46" i="245"/>
  <c r="AP46" i="245" s="1"/>
  <c r="AO47" i="245"/>
  <c r="AO48" i="245"/>
  <c r="AO49" i="245"/>
  <c r="AO50" i="245"/>
  <c r="AP50" i="245" s="1"/>
  <c r="AO51" i="245"/>
  <c r="AO52" i="245"/>
  <c r="AO53" i="245"/>
  <c r="AO54" i="245"/>
  <c r="AP54" i="245" s="1"/>
  <c r="AO55" i="245"/>
  <c r="AO56" i="245"/>
  <c r="AP56" i="245" s="1"/>
  <c r="AO57" i="245"/>
  <c r="AP57" i="245" s="1"/>
  <c r="AO58" i="245"/>
  <c r="AP58" i="245" s="1"/>
  <c r="AO59" i="245"/>
  <c r="AO60" i="245"/>
  <c r="AO61" i="245"/>
  <c r="AP61" i="245" s="1"/>
  <c r="AO62" i="245"/>
  <c r="AP62" i="245" s="1"/>
  <c r="AO63" i="245"/>
  <c r="AO64" i="245"/>
  <c r="AO65" i="245"/>
  <c r="AO66" i="245"/>
  <c r="AP66" i="245" s="1"/>
  <c r="AO67" i="245"/>
  <c r="AO68" i="245"/>
  <c r="AO69" i="245"/>
  <c r="AO70" i="245"/>
  <c r="AP70" i="245" s="1"/>
  <c r="AO71" i="245"/>
  <c r="AO72" i="245"/>
  <c r="AP72" i="245" s="1"/>
  <c r="AO73" i="245"/>
  <c r="AP73" i="245" s="1"/>
  <c r="AO74" i="245"/>
  <c r="AP74" i="245" s="1"/>
  <c r="AO75" i="245"/>
  <c r="AO76" i="245"/>
  <c r="AO77" i="245"/>
  <c r="AP77" i="245" s="1"/>
  <c r="AO78" i="245"/>
  <c r="AP78" i="245" s="1"/>
  <c r="AO79" i="245"/>
  <c r="AO80" i="245"/>
  <c r="AO81" i="245"/>
  <c r="AO82" i="245"/>
  <c r="AP82" i="245" s="1"/>
  <c r="AO83" i="245"/>
  <c r="AO84" i="245"/>
  <c r="AO85" i="245"/>
  <c r="AO86" i="245"/>
  <c r="AP86" i="245" s="1"/>
  <c r="AO87" i="245"/>
  <c r="AO88" i="245"/>
  <c r="AP88" i="245" s="1"/>
  <c r="AO89" i="245"/>
  <c r="AP89" i="245" s="1"/>
  <c r="AO90" i="245"/>
  <c r="AP90" i="245" s="1"/>
  <c r="AO91" i="245"/>
  <c r="AO92" i="245"/>
  <c r="AO93" i="245"/>
  <c r="AP93" i="245" s="1"/>
  <c r="AO94" i="245"/>
  <c r="AP94" i="245" s="1"/>
  <c r="AO95" i="245"/>
  <c r="AO96" i="245"/>
  <c r="AO97" i="245"/>
  <c r="AO98" i="245"/>
  <c r="AP98" i="245" s="1"/>
  <c r="AO99" i="245"/>
  <c r="AO100" i="245"/>
  <c r="AO101" i="245"/>
  <c r="AO102" i="245"/>
  <c r="AP102" i="245" s="1"/>
  <c r="AO103" i="245"/>
  <c r="AO104" i="245"/>
  <c r="AP104" i="245" s="1"/>
  <c r="AO105" i="245"/>
  <c r="AP105" i="245" s="1"/>
  <c r="AO106" i="245"/>
  <c r="AP106" i="245" s="1"/>
  <c r="AO107" i="245"/>
  <c r="AO108" i="245"/>
  <c r="AO109" i="245"/>
  <c r="AP109" i="245" s="1"/>
  <c r="AO110" i="245"/>
  <c r="AP110" i="245" s="1"/>
  <c r="AO111" i="245"/>
  <c r="AO112" i="245"/>
  <c r="AO113" i="245"/>
  <c r="AO114" i="245"/>
  <c r="AP114" i="245" s="1"/>
  <c r="AO115" i="245"/>
  <c r="AO116" i="245"/>
  <c r="AO117" i="245"/>
  <c r="AO118" i="245"/>
  <c r="AP118" i="245" s="1"/>
  <c r="AO119" i="245"/>
  <c r="AO120" i="245"/>
  <c r="AP120" i="245" s="1"/>
  <c r="AO121" i="245"/>
  <c r="AP121" i="245" s="1"/>
  <c r="AO122" i="245"/>
  <c r="AP122" i="245" s="1"/>
  <c r="AO123" i="245"/>
  <c r="AO124" i="245"/>
  <c r="AO125" i="245"/>
  <c r="AP125" i="245" s="1"/>
  <c r="AO126" i="245"/>
  <c r="AP126" i="245" s="1"/>
  <c r="AO127" i="245"/>
  <c r="AO128" i="245"/>
  <c r="AO129" i="245"/>
  <c r="AO130" i="245"/>
  <c r="AP130" i="245" s="1"/>
  <c r="AO131" i="245"/>
  <c r="AO132" i="245"/>
  <c r="AO133" i="245"/>
  <c r="AO134" i="245"/>
  <c r="AP134" i="245" s="1"/>
  <c r="AO135" i="245"/>
  <c r="AO136" i="245"/>
  <c r="AP136" i="245" s="1"/>
  <c r="AO137" i="245"/>
  <c r="AP137" i="245" s="1"/>
  <c r="AO138" i="245"/>
  <c r="AP138" i="245" s="1"/>
  <c r="AO139" i="245"/>
  <c r="AO140" i="245"/>
  <c r="AO141" i="245"/>
  <c r="AP141" i="245" s="1"/>
  <c r="AO142" i="245"/>
  <c r="AP142" i="245" s="1"/>
  <c r="AO143" i="245"/>
  <c r="AO144" i="245"/>
  <c r="AO145" i="245"/>
  <c r="AO146" i="245"/>
  <c r="AP146" i="245" s="1"/>
  <c r="AO147" i="245"/>
  <c r="AO148" i="245"/>
  <c r="AO149" i="245"/>
  <c r="AO150" i="245"/>
  <c r="AP150" i="245" s="1"/>
  <c r="AO151" i="245"/>
  <c r="AO152" i="245"/>
  <c r="AP152" i="245" s="1"/>
  <c r="AO153" i="245"/>
  <c r="AP153" i="245" s="1"/>
  <c r="AO154" i="245"/>
  <c r="AP154" i="245" s="1"/>
  <c r="AO155" i="245"/>
  <c r="AO156" i="245"/>
  <c r="AO157" i="245"/>
  <c r="AP157" i="245" s="1"/>
  <c r="AO158" i="245"/>
  <c r="AP158" i="245" s="1"/>
  <c r="AO159" i="245"/>
  <c r="AO160" i="245"/>
  <c r="AO161" i="245"/>
  <c r="AO162" i="245"/>
  <c r="AP162" i="245" s="1"/>
  <c r="AO163" i="245"/>
  <c r="AO164" i="245"/>
  <c r="AO165" i="245"/>
  <c r="AO166" i="245"/>
  <c r="AP166" i="245" s="1"/>
  <c r="AO167" i="245"/>
  <c r="AO168" i="245"/>
  <c r="AP168" i="245" s="1"/>
  <c r="AO169" i="245"/>
  <c r="AP169" i="245" s="1"/>
  <c r="AO170" i="245"/>
  <c r="AP170" i="245" s="1"/>
  <c r="AO171" i="245"/>
  <c r="AO172" i="245"/>
  <c r="AO173" i="245"/>
  <c r="AP173" i="245" s="1"/>
  <c r="AO174" i="245"/>
  <c r="AP174" i="245" s="1"/>
  <c r="AO175" i="245"/>
  <c r="AO176" i="245"/>
  <c r="AO177" i="245"/>
  <c r="AO178" i="245"/>
  <c r="AP178" i="245" s="1"/>
  <c r="AO179" i="245"/>
  <c r="AO180" i="245"/>
  <c r="Y7" i="245"/>
  <c r="Y9" i="245"/>
  <c r="Y11" i="245"/>
  <c r="Y19" i="245"/>
  <c r="Y23" i="245"/>
  <c r="Y25" i="245"/>
  <c r="Y27" i="245"/>
  <c r="Y35" i="245"/>
  <c r="Y39" i="245"/>
  <c r="Y41" i="245"/>
  <c r="Y43" i="245"/>
  <c r="Y51" i="245"/>
  <c r="Y55" i="245"/>
  <c r="Y57" i="245"/>
  <c r="Y59" i="245"/>
  <c r="Y67" i="245"/>
  <c r="Y71" i="245"/>
  <c r="Y73" i="245"/>
  <c r="Y75" i="245"/>
  <c r="Y83" i="245"/>
  <c r="Y87" i="245"/>
  <c r="Y89" i="245"/>
  <c r="Y91" i="245"/>
  <c r="Y99" i="245"/>
  <c r="Y103" i="245"/>
  <c r="Y105" i="245"/>
  <c r="Y107" i="245"/>
  <c r="Y115" i="245"/>
  <c r="Y119" i="245"/>
  <c r="Y121" i="245"/>
  <c r="Y123" i="245"/>
  <c r="Y131" i="245"/>
  <c r="Y135" i="245"/>
  <c r="Y137" i="245"/>
  <c r="Y139" i="245"/>
  <c r="Y147" i="245"/>
  <c r="Y151" i="245"/>
  <c r="Y153" i="245"/>
  <c r="Y155" i="245"/>
  <c r="Y156" i="245"/>
  <c r="Y157" i="245"/>
  <c r="Y159" i="245"/>
  <c r="Y160" i="245"/>
  <c r="Y161" i="245"/>
  <c r="Y163" i="245"/>
  <c r="Y164" i="245"/>
  <c r="Y165" i="245"/>
  <c r="Y167" i="245"/>
  <c r="Y168" i="245"/>
  <c r="Y169" i="245"/>
  <c r="Y171" i="245"/>
  <c r="Y172" i="245"/>
  <c r="Y173" i="245"/>
  <c r="Y175" i="245"/>
  <c r="Y176" i="245"/>
  <c r="Y177" i="245"/>
  <c r="Y179" i="245"/>
  <c r="Y180" i="245"/>
  <c r="X6" i="245"/>
  <c r="Y6" i="245" s="1"/>
  <c r="X7" i="245"/>
  <c r="X8" i="245"/>
  <c r="Y8" i="245" s="1"/>
  <c r="X9" i="245"/>
  <c r="X10" i="245"/>
  <c r="Y10" i="245" s="1"/>
  <c r="X11" i="245"/>
  <c r="X12" i="245"/>
  <c r="Y12" i="245" s="1"/>
  <c r="X13" i="245"/>
  <c r="Y13" i="245" s="1"/>
  <c r="X14" i="245"/>
  <c r="Y14" i="245" s="1"/>
  <c r="X15" i="245"/>
  <c r="Y15" i="245" s="1"/>
  <c r="X16" i="245"/>
  <c r="Y16" i="245" s="1"/>
  <c r="X17" i="245"/>
  <c r="Y17" i="245" s="1"/>
  <c r="X18" i="245"/>
  <c r="Y18" i="245" s="1"/>
  <c r="X19" i="245"/>
  <c r="X20" i="245"/>
  <c r="Y20" i="245" s="1"/>
  <c r="X21" i="245"/>
  <c r="Y21" i="245" s="1"/>
  <c r="X22" i="245"/>
  <c r="Y22" i="245" s="1"/>
  <c r="X23" i="245"/>
  <c r="X24" i="245"/>
  <c r="Y24" i="245" s="1"/>
  <c r="X25" i="245"/>
  <c r="X26" i="245"/>
  <c r="Y26" i="245" s="1"/>
  <c r="X27" i="245"/>
  <c r="X28" i="245"/>
  <c r="Y28" i="245" s="1"/>
  <c r="X29" i="245"/>
  <c r="Y29" i="245" s="1"/>
  <c r="X30" i="245"/>
  <c r="Y30" i="245" s="1"/>
  <c r="X31" i="245"/>
  <c r="Y31" i="245" s="1"/>
  <c r="X32" i="245"/>
  <c r="Y32" i="245" s="1"/>
  <c r="X33" i="245"/>
  <c r="Y33" i="245" s="1"/>
  <c r="X34" i="245"/>
  <c r="Y34" i="245" s="1"/>
  <c r="X35" i="245"/>
  <c r="X36" i="245"/>
  <c r="Y36" i="245" s="1"/>
  <c r="X37" i="245"/>
  <c r="Y37" i="245" s="1"/>
  <c r="X38" i="245"/>
  <c r="Y38" i="245" s="1"/>
  <c r="X39" i="245"/>
  <c r="X40" i="245"/>
  <c r="Y40" i="245" s="1"/>
  <c r="X41" i="245"/>
  <c r="X42" i="245"/>
  <c r="Y42" i="245" s="1"/>
  <c r="X43" i="245"/>
  <c r="X44" i="245"/>
  <c r="Y44" i="245" s="1"/>
  <c r="X45" i="245"/>
  <c r="Y45" i="245" s="1"/>
  <c r="X46" i="245"/>
  <c r="Y46" i="245" s="1"/>
  <c r="X47" i="245"/>
  <c r="Y47" i="245" s="1"/>
  <c r="X48" i="245"/>
  <c r="Y48" i="245" s="1"/>
  <c r="X49" i="245"/>
  <c r="Y49" i="245" s="1"/>
  <c r="X50" i="245"/>
  <c r="Y50" i="245" s="1"/>
  <c r="X51" i="245"/>
  <c r="X52" i="245"/>
  <c r="Y52" i="245" s="1"/>
  <c r="X53" i="245"/>
  <c r="Y53" i="245" s="1"/>
  <c r="X54" i="245"/>
  <c r="Y54" i="245" s="1"/>
  <c r="X55" i="245"/>
  <c r="X56" i="245"/>
  <c r="Y56" i="245" s="1"/>
  <c r="X57" i="245"/>
  <c r="X58" i="245"/>
  <c r="Y58" i="245" s="1"/>
  <c r="X59" i="245"/>
  <c r="X60" i="245"/>
  <c r="Y60" i="245" s="1"/>
  <c r="X61" i="245"/>
  <c r="Y61" i="245" s="1"/>
  <c r="X62" i="245"/>
  <c r="Y62" i="245" s="1"/>
  <c r="X63" i="245"/>
  <c r="Y63" i="245" s="1"/>
  <c r="X64" i="245"/>
  <c r="Y64" i="245" s="1"/>
  <c r="X65" i="245"/>
  <c r="Y65" i="245" s="1"/>
  <c r="X66" i="245"/>
  <c r="Y66" i="245" s="1"/>
  <c r="X67" i="245"/>
  <c r="X68" i="245"/>
  <c r="Y68" i="245" s="1"/>
  <c r="X69" i="245"/>
  <c r="Y69" i="245" s="1"/>
  <c r="X70" i="245"/>
  <c r="Y70" i="245" s="1"/>
  <c r="X71" i="245"/>
  <c r="X72" i="245"/>
  <c r="Y72" i="245" s="1"/>
  <c r="X73" i="245"/>
  <c r="X74" i="245"/>
  <c r="Y74" i="245" s="1"/>
  <c r="X75" i="245"/>
  <c r="X76" i="245"/>
  <c r="Y76" i="245" s="1"/>
  <c r="X77" i="245"/>
  <c r="Y77" i="245" s="1"/>
  <c r="X78" i="245"/>
  <c r="Y78" i="245" s="1"/>
  <c r="X79" i="245"/>
  <c r="Y79" i="245" s="1"/>
  <c r="X80" i="245"/>
  <c r="Y80" i="245" s="1"/>
  <c r="X81" i="245"/>
  <c r="Y81" i="245" s="1"/>
  <c r="X82" i="245"/>
  <c r="Y82" i="245" s="1"/>
  <c r="X83" i="245"/>
  <c r="X84" i="245"/>
  <c r="Y84" i="245" s="1"/>
  <c r="X85" i="245"/>
  <c r="Y85" i="245" s="1"/>
  <c r="X86" i="245"/>
  <c r="Y86" i="245" s="1"/>
  <c r="X87" i="245"/>
  <c r="X88" i="245"/>
  <c r="Y88" i="245" s="1"/>
  <c r="X89" i="245"/>
  <c r="X90" i="245"/>
  <c r="Y90" i="245" s="1"/>
  <c r="X91" i="245"/>
  <c r="X92" i="245"/>
  <c r="Y92" i="245" s="1"/>
  <c r="X93" i="245"/>
  <c r="Y93" i="245" s="1"/>
  <c r="X94" i="245"/>
  <c r="Y94" i="245" s="1"/>
  <c r="X95" i="245"/>
  <c r="Y95" i="245" s="1"/>
  <c r="X96" i="245"/>
  <c r="Y96" i="245" s="1"/>
  <c r="X97" i="245"/>
  <c r="Y97" i="245" s="1"/>
  <c r="X98" i="245"/>
  <c r="Y98" i="245" s="1"/>
  <c r="X99" i="245"/>
  <c r="X100" i="245"/>
  <c r="Y100" i="245" s="1"/>
  <c r="X101" i="245"/>
  <c r="Y101" i="245" s="1"/>
  <c r="X102" i="245"/>
  <c r="Y102" i="245" s="1"/>
  <c r="X103" i="245"/>
  <c r="X104" i="245"/>
  <c r="Y104" i="245" s="1"/>
  <c r="X105" i="245"/>
  <c r="X106" i="245"/>
  <c r="Y106" i="245" s="1"/>
  <c r="X107" i="245"/>
  <c r="X108" i="245"/>
  <c r="Y108" i="245" s="1"/>
  <c r="X109" i="245"/>
  <c r="Y109" i="245" s="1"/>
  <c r="X110" i="245"/>
  <c r="Y110" i="245" s="1"/>
  <c r="X111" i="245"/>
  <c r="Y111" i="245" s="1"/>
  <c r="X112" i="245"/>
  <c r="Y112" i="245" s="1"/>
  <c r="X113" i="245"/>
  <c r="Y113" i="245" s="1"/>
  <c r="X114" i="245"/>
  <c r="Y114" i="245" s="1"/>
  <c r="X115" i="245"/>
  <c r="X116" i="245"/>
  <c r="Y116" i="245" s="1"/>
  <c r="X117" i="245"/>
  <c r="Y117" i="245" s="1"/>
  <c r="X118" i="245"/>
  <c r="Y118" i="245" s="1"/>
  <c r="X119" i="245"/>
  <c r="X120" i="245"/>
  <c r="Y120" i="245" s="1"/>
  <c r="X121" i="245"/>
  <c r="X122" i="245"/>
  <c r="Y122" i="245" s="1"/>
  <c r="X123" i="245"/>
  <c r="X124" i="245"/>
  <c r="Y124" i="245" s="1"/>
  <c r="X125" i="245"/>
  <c r="Y125" i="245" s="1"/>
  <c r="X126" i="245"/>
  <c r="Y126" i="245" s="1"/>
  <c r="X127" i="245"/>
  <c r="Y127" i="245" s="1"/>
  <c r="X128" i="245"/>
  <c r="Y128" i="245" s="1"/>
  <c r="X129" i="245"/>
  <c r="Y129" i="245" s="1"/>
  <c r="X130" i="245"/>
  <c r="Y130" i="245" s="1"/>
  <c r="X131" i="245"/>
  <c r="X132" i="245"/>
  <c r="Y132" i="245" s="1"/>
  <c r="X133" i="245"/>
  <c r="Y133" i="245" s="1"/>
  <c r="X134" i="245"/>
  <c r="Y134" i="245" s="1"/>
  <c r="X135" i="245"/>
  <c r="X136" i="245"/>
  <c r="Y136" i="245" s="1"/>
  <c r="X137" i="245"/>
  <c r="X138" i="245"/>
  <c r="Y138" i="245" s="1"/>
  <c r="X139" i="245"/>
  <c r="X140" i="245"/>
  <c r="Y140" i="245" s="1"/>
  <c r="X141" i="245"/>
  <c r="Y141" i="245" s="1"/>
  <c r="X142" i="245"/>
  <c r="Y142" i="245" s="1"/>
  <c r="X143" i="245"/>
  <c r="Y143" i="245" s="1"/>
  <c r="X144" i="245"/>
  <c r="Y144" i="245" s="1"/>
  <c r="X145" i="245"/>
  <c r="Y145" i="245" s="1"/>
  <c r="X146" i="245"/>
  <c r="Y146" i="245" s="1"/>
  <c r="X147" i="245"/>
  <c r="X148" i="245"/>
  <c r="Y148" i="245" s="1"/>
  <c r="X149" i="245"/>
  <c r="Y149" i="245" s="1"/>
  <c r="X150" i="245"/>
  <c r="Y150" i="245" s="1"/>
  <c r="X151" i="245"/>
  <c r="X152" i="245"/>
  <c r="Y152" i="245" s="1"/>
  <c r="X153" i="245"/>
  <c r="X154" i="245"/>
  <c r="Y154" i="245" s="1"/>
  <c r="X155" i="245"/>
  <c r="X156" i="245"/>
  <c r="X157" i="245"/>
  <c r="X158" i="245"/>
  <c r="Y158" i="245" s="1"/>
  <c r="X159" i="245"/>
  <c r="X160" i="245"/>
  <c r="X161" i="245"/>
  <c r="X162" i="245"/>
  <c r="Y162" i="245" s="1"/>
  <c r="X163" i="245"/>
  <c r="X164" i="245"/>
  <c r="X165" i="245"/>
  <c r="X166" i="245"/>
  <c r="Y166" i="245" s="1"/>
  <c r="X167" i="245"/>
  <c r="X168" i="245"/>
  <c r="X169" i="245"/>
  <c r="X170" i="245"/>
  <c r="Y170" i="245" s="1"/>
  <c r="X171" i="245"/>
  <c r="X172" i="245"/>
  <c r="X173" i="245"/>
  <c r="X174" i="245"/>
  <c r="Y174" i="245" s="1"/>
  <c r="X175" i="245"/>
  <c r="X176" i="245"/>
  <c r="X177" i="245"/>
  <c r="X178" i="245"/>
  <c r="Y178" i="245" s="1"/>
  <c r="X179" i="245"/>
  <c r="X180" i="245"/>
  <c r="BT122" i="31"/>
  <c r="BS91" i="31"/>
  <c r="BQ159" i="31" l="1"/>
  <c r="BR159" i="31" s="1"/>
  <c r="BF159" i="31"/>
  <c r="BG159" i="31" s="1"/>
  <c r="AU159" i="31"/>
  <c r="AV159" i="31" s="1"/>
  <c r="AJ159" i="31"/>
  <c r="AK159" i="31" s="1"/>
  <c r="Y159" i="31"/>
  <c r="Z159" i="31" s="1"/>
  <c r="L159" i="31"/>
  <c r="BS60" i="31"/>
  <c r="BR143" i="31" l="1"/>
  <c r="BQ143" i="31"/>
  <c r="BF143" i="31"/>
  <c r="BG143" i="31" s="1"/>
  <c r="AV143" i="31"/>
  <c r="AU143" i="31"/>
  <c r="AJ143" i="31"/>
  <c r="AK143" i="31" s="1"/>
  <c r="Z143" i="31"/>
  <c r="Y143" i="31"/>
  <c r="L143" i="31"/>
  <c r="BR77" i="31"/>
  <c r="BQ77" i="31"/>
  <c r="BF77" i="31"/>
  <c r="BG77" i="31" s="1"/>
  <c r="AU77" i="31"/>
  <c r="AV77" i="31" s="1"/>
  <c r="AJ77" i="31"/>
  <c r="AK77" i="31" s="1"/>
  <c r="Y77" i="31"/>
  <c r="Z77" i="31" s="1"/>
  <c r="L77" i="31"/>
  <c r="BQ109" i="31"/>
  <c r="BR109" i="31" s="1"/>
  <c r="BG109" i="31"/>
  <c r="BF109" i="31"/>
  <c r="AU109" i="31"/>
  <c r="AV109" i="31" s="1"/>
  <c r="AK109" i="31"/>
  <c r="AJ109" i="31"/>
  <c r="Y109" i="31"/>
  <c r="Z109" i="31" s="1"/>
  <c r="L109" i="31"/>
  <c r="BQ43" i="31"/>
  <c r="BR43" i="31" s="1"/>
  <c r="BG43" i="31"/>
  <c r="BF43" i="31"/>
  <c r="AU43" i="31"/>
  <c r="AV43" i="31" s="1"/>
  <c r="AK43" i="31"/>
  <c r="AJ43" i="31"/>
  <c r="Y43" i="31"/>
  <c r="Z43" i="31" s="1"/>
  <c r="L43" i="31"/>
  <c r="AW92" i="31" l="1"/>
  <c r="AL92" i="31"/>
  <c r="AX60" i="31"/>
  <c r="AW60" i="31"/>
  <c r="BH60" i="31"/>
  <c r="AW107" i="31"/>
  <c r="BJ118" i="263" l="1"/>
  <c r="BI118" i="263"/>
  <c r="BH118" i="263"/>
  <c r="BG118" i="263"/>
  <c r="BF118" i="263"/>
  <c r="BE118" i="263"/>
  <c r="C118" i="263"/>
  <c r="AQ118" i="263" s="1"/>
  <c r="C117" i="263"/>
  <c r="AN117" i="263" s="1"/>
  <c r="C116" i="263"/>
  <c r="AO116" i="263" s="1"/>
  <c r="C115" i="263"/>
  <c r="D115" i="263" s="1"/>
  <c r="C114" i="263"/>
  <c r="AV114" i="263" s="1"/>
  <c r="C113" i="263"/>
  <c r="AU113" i="263" s="1"/>
  <c r="C112" i="263"/>
  <c r="AK112" i="263" s="1"/>
  <c r="BH112" i="263" s="1"/>
  <c r="C111" i="263"/>
  <c r="AN111" i="263" s="1"/>
  <c r="C110" i="263"/>
  <c r="AT110" i="263" s="1"/>
  <c r="C109" i="263"/>
  <c r="AL109" i="263" s="1"/>
  <c r="BI109" i="263" s="1"/>
  <c r="C108" i="263"/>
  <c r="D108" i="263" s="1"/>
  <c r="BJ107" i="263"/>
  <c r="BI107" i="263"/>
  <c r="BH107" i="263"/>
  <c r="BG107" i="263"/>
  <c r="BF107" i="263"/>
  <c r="BE107" i="263"/>
  <c r="C107" i="263"/>
  <c r="AW107" i="263" s="1"/>
  <c r="C106" i="263"/>
  <c r="AR106" i="263" s="1"/>
  <c r="C105" i="263"/>
  <c r="AT105" i="263" s="1"/>
  <c r="C104" i="263"/>
  <c r="AO104" i="263" s="1"/>
  <c r="C103" i="263"/>
  <c r="AX103" i="263" s="1"/>
  <c r="BA102" i="263"/>
  <c r="AZ102" i="263"/>
  <c r="AY102" i="263"/>
  <c r="AX102" i="263"/>
  <c r="AW102" i="263"/>
  <c r="AV102" i="263"/>
  <c r="AU102" i="263"/>
  <c r="AT102" i="263"/>
  <c r="AS102" i="263"/>
  <c r="AR102" i="263"/>
  <c r="C102" i="263"/>
  <c r="E102" i="263" s="1"/>
  <c r="C101" i="263"/>
  <c r="AJ101" i="263" s="1"/>
  <c r="BG101" i="263" s="1"/>
  <c r="C100" i="263"/>
  <c r="AV100" i="263" s="1"/>
  <c r="BJ99" i="263"/>
  <c r="BI99" i="263"/>
  <c r="BH99" i="263"/>
  <c r="BG99" i="263"/>
  <c r="BF99" i="263"/>
  <c r="BE99" i="263"/>
  <c r="C99" i="263"/>
  <c r="AX99" i="263" s="1"/>
  <c r="C98" i="263"/>
  <c r="U98" i="263" s="1"/>
  <c r="C97" i="263"/>
  <c r="K97" i="263" s="1"/>
  <c r="C96" i="263"/>
  <c r="C95" i="263"/>
  <c r="AK95" i="263" s="1"/>
  <c r="BH95" i="263" s="1"/>
  <c r="C94" i="263"/>
  <c r="AQ94" i="263" s="1"/>
  <c r="BA93" i="263"/>
  <c r="AZ93" i="263"/>
  <c r="AY93" i="263"/>
  <c r="AX93" i="263"/>
  <c r="AW93" i="263"/>
  <c r="AV93" i="263"/>
  <c r="AU93" i="263"/>
  <c r="AT93" i="263"/>
  <c r="AS93" i="263"/>
  <c r="AR93" i="263"/>
  <c r="C93" i="263"/>
  <c r="V93" i="263" s="1"/>
  <c r="C92" i="263"/>
  <c r="AW92" i="263" s="1"/>
  <c r="C91" i="263"/>
  <c r="AO91" i="263" s="1"/>
  <c r="C90" i="263"/>
  <c r="AB90" i="263" s="1"/>
  <c r="C89" i="263"/>
  <c r="AL89" i="263" s="1"/>
  <c r="BI89" i="263" s="1"/>
  <c r="C88" i="263"/>
  <c r="AX88" i="263" s="1"/>
  <c r="C87" i="263"/>
  <c r="AD87" i="263" s="1"/>
  <c r="C86" i="263"/>
  <c r="AL86" i="263" s="1"/>
  <c r="BI86" i="263" s="1"/>
  <c r="C85" i="263"/>
  <c r="V85" i="263" s="1"/>
  <c r="C84" i="263"/>
  <c r="AK84" i="263" s="1"/>
  <c r="BH84" i="263" s="1"/>
  <c r="C83" i="263"/>
  <c r="AV83" i="263" s="1"/>
  <c r="C82" i="263"/>
  <c r="AA82" i="263" s="1"/>
  <c r="C81" i="263"/>
  <c r="AT81" i="263" s="1"/>
  <c r="C80" i="263"/>
  <c r="C79" i="263"/>
  <c r="AN79" i="263" s="1"/>
  <c r="C78" i="263"/>
  <c r="W78" i="263" s="1"/>
  <c r="X78" i="263" s="1"/>
  <c r="BA77" i="263"/>
  <c r="AZ77" i="263"/>
  <c r="AY77" i="263"/>
  <c r="AX77" i="263"/>
  <c r="AW77" i="263"/>
  <c r="AV77" i="263"/>
  <c r="AU77" i="263"/>
  <c r="AT77" i="263"/>
  <c r="AS77" i="263"/>
  <c r="AR77" i="263"/>
  <c r="C77" i="263"/>
  <c r="AA77" i="263" s="1"/>
  <c r="BA76" i="263"/>
  <c r="AZ76" i="263"/>
  <c r="AY76" i="263"/>
  <c r="AX76" i="263"/>
  <c r="AW76" i="263"/>
  <c r="AV76" i="263"/>
  <c r="AU76" i="263"/>
  <c r="AT76" i="263"/>
  <c r="AS76" i="263"/>
  <c r="AR76" i="263"/>
  <c r="C76" i="263"/>
  <c r="BJ75" i="263"/>
  <c r="BI75" i="263"/>
  <c r="BH75" i="263"/>
  <c r="BG75" i="263"/>
  <c r="BF75" i="263"/>
  <c r="BE75" i="263"/>
  <c r="C75" i="263"/>
  <c r="AS75" i="263" s="1"/>
  <c r="C74" i="263"/>
  <c r="W74" i="263" s="1"/>
  <c r="X74" i="263" s="1"/>
  <c r="C73" i="263"/>
  <c r="AL73" i="263" s="1"/>
  <c r="BI73" i="263" s="1"/>
  <c r="C72" i="263"/>
  <c r="AW72" i="263" s="1"/>
  <c r="C71" i="263"/>
  <c r="AM71" i="263" s="1"/>
  <c r="BJ71" i="263" s="1"/>
  <c r="C70" i="263"/>
  <c r="W70" i="263" s="1"/>
  <c r="X70" i="263" s="1"/>
  <c r="C69" i="263"/>
  <c r="AA69" i="263" s="1"/>
  <c r="C68" i="263"/>
  <c r="H68" i="263" s="1"/>
  <c r="C67" i="263"/>
  <c r="AM67" i="263" s="1"/>
  <c r="BJ67" i="263" s="1"/>
  <c r="C66" i="263"/>
  <c r="AT66" i="263" s="1"/>
  <c r="C65" i="263"/>
  <c r="AB65" i="263" s="1"/>
  <c r="C64" i="263"/>
  <c r="AL64" i="263" s="1"/>
  <c r="BI64" i="263" s="1"/>
  <c r="C63" i="263"/>
  <c r="AA63" i="263" s="1"/>
  <c r="C62" i="263"/>
  <c r="AX62" i="263" s="1"/>
  <c r="C61" i="263"/>
  <c r="Q61" i="263" s="1"/>
  <c r="C60" i="263"/>
  <c r="AX60" i="263" s="1"/>
  <c r="C59" i="263"/>
  <c r="AX59" i="263" s="1"/>
  <c r="C58" i="263"/>
  <c r="AW58" i="263" s="1"/>
  <c r="C57" i="263"/>
  <c r="AI57" i="263" s="1"/>
  <c r="C56" i="263"/>
  <c r="AV56" i="263" s="1"/>
  <c r="BA55" i="263"/>
  <c r="AZ55" i="263"/>
  <c r="AY55" i="263"/>
  <c r="AX55" i="263"/>
  <c r="AW55" i="263"/>
  <c r="AV55" i="263"/>
  <c r="AU55" i="263"/>
  <c r="AT55" i="263"/>
  <c r="AS55" i="263"/>
  <c r="AR55" i="263"/>
  <c r="C55" i="263"/>
  <c r="AQ55" i="263" s="1"/>
  <c r="BJ54" i="263"/>
  <c r="BI54" i="263"/>
  <c r="BH54" i="263"/>
  <c r="BG54" i="263"/>
  <c r="BF54" i="263"/>
  <c r="BE54" i="263"/>
  <c r="C54" i="263"/>
  <c r="C53" i="263"/>
  <c r="AI53" i="263" s="1"/>
  <c r="C52" i="263"/>
  <c r="AP52" i="263" s="1"/>
  <c r="C51" i="263"/>
  <c r="AO51" i="263" s="1"/>
  <c r="C50" i="263"/>
  <c r="Q50" i="263" s="1"/>
  <c r="BA49" i="263"/>
  <c r="AZ49" i="263"/>
  <c r="AY49" i="263"/>
  <c r="AX49" i="263"/>
  <c r="AW49" i="263"/>
  <c r="AV49" i="263"/>
  <c r="AU49" i="263"/>
  <c r="AT49" i="263"/>
  <c r="AS49" i="263"/>
  <c r="AR49" i="263"/>
  <c r="C49" i="263"/>
  <c r="AK49" i="263" s="1"/>
  <c r="BH49" i="263" s="1"/>
  <c r="C48" i="263"/>
  <c r="AO48" i="263" s="1"/>
  <c r="C47" i="263"/>
  <c r="AO47" i="263" s="1"/>
  <c r="C46" i="263"/>
  <c r="AX46" i="263" s="1"/>
  <c r="C45" i="263"/>
  <c r="AJ45" i="263" s="1"/>
  <c r="BG45" i="263" s="1"/>
  <c r="AV118" i="263" l="1"/>
  <c r="AR118" i="263"/>
  <c r="AX118" i="263"/>
  <c r="AS116" i="263"/>
  <c r="AT118" i="263"/>
  <c r="AT116" i="263"/>
  <c r="AS118" i="263"/>
  <c r="AW118" i="263"/>
  <c r="AU118" i="263"/>
  <c r="AU117" i="263"/>
  <c r="AR117" i="263"/>
  <c r="AV117" i="263"/>
  <c r="AW116" i="263"/>
  <c r="AS117" i="263"/>
  <c r="AW117" i="263"/>
  <c r="AX116" i="263"/>
  <c r="AT117" i="263"/>
  <c r="AX117" i="263"/>
  <c r="AU116" i="263"/>
  <c r="AR116" i="263"/>
  <c r="AV116" i="263"/>
  <c r="AV111" i="263"/>
  <c r="AR111" i="263"/>
  <c r="AS111" i="263"/>
  <c r="AW111" i="263"/>
  <c r="AT111" i="263"/>
  <c r="AX111" i="263"/>
  <c r="AU111" i="263"/>
  <c r="AX109" i="263"/>
  <c r="AR109" i="263"/>
  <c r="AT109" i="263"/>
  <c r="AV109" i="263"/>
  <c r="AW108" i="263"/>
  <c r="AS109" i="263"/>
  <c r="AW109" i="263"/>
  <c r="AX108" i="263"/>
  <c r="AS108" i="263"/>
  <c r="AU109" i="263"/>
  <c r="AT108" i="263"/>
  <c r="AR108" i="263"/>
  <c r="AV108" i="263"/>
  <c r="AU108" i="263"/>
  <c r="AR104" i="263"/>
  <c r="AV104" i="263"/>
  <c r="AT103" i="263"/>
  <c r="AS104" i="263"/>
  <c r="AW104" i="263"/>
  <c r="AT104" i="263"/>
  <c r="AX104" i="263"/>
  <c r="AU104" i="263"/>
  <c r="AR101" i="263"/>
  <c r="AX101" i="263"/>
  <c r="AU103" i="263"/>
  <c r="AS101" i="263"/>
  <c r="AR103" i="263"/>
  <c r="AV103" i="263"/>
  <c r="AT101" i="263"/>
  <c r="AS103" i="263"/>
  <c r="AW103" i="263"/>
  <c r="AW101" i="263"/>
  <c r="AT99" i="263"/>
  <c r="AS97" i="263"/>
  <c r="AV101" i="263"/>
  <c r="AZ95" i="263"/>
  <c r="AT97" i="263"/>
  <c r="AR100" i="263"/>
  <c r="AU101" i="263"/>
  <c r="AY101" i="263"/>
  <c r="AS100" i="263"/>
  <c r="AW100" i="263"/>
  <c r="AT100" i="263"/>
  <c r="AX100" i="263"/>
  <c r="AU100" i="263"/>
  <c r="AR97" i="263"/>
  <c r="AX97" i="263"/>
  <c r="AS99" i="263"/>
  <c r="AW99" i="263"/>
  <c r="AU99" i="263"/>
  <c r="AW97" i="263"/>
  <c r="AR99" i="263"/>
  <c r="AV99" i="263"/>
  <c r="AV97" i="263"/>
  <c r="AR95" i="263"/>
  <c r="AU97" i="263"/>
  <c r="AS95" i="263"/>
  <c r="AV95" i="263"/>
  <c r="AW95" i="263"/>
  <c r="AT95" i="263"/>
  <c r="AX95" i="263"/>
  <c r="AU95" i="263"/>
  <c r="AX91" i="263"/>
  <c r="AS90" i="263"/>
  <c r="AX90" i="263"/>
  <c r="AT91" i="263"/>
  <c r="AR90" i="263"/>
  <c r="AW90" i="263"/>
  <c r="AS91" i="263"/>
  <c r="AW91" i="263"/>
  <c r="AT90" i="263"/>
  <c r="AU91" i="263"/>
  <c r="AV90" i="263"/>
  <c r="AR91" i="263"/>
  <c r="AV91" i="263"/>
  <c r="AV89" i="263"/>
  <c r="AR89" i="263"/>
  <c r="AW89" i="263"/>
  <c r="AS89" i="263"/>
  <c r="AX89" i="263"/>
  <c r="AT89" i="263"/>
  <c r="AU90" i="263"/>
  <c r="AU89" i="263"/>
  <c r="AT88" i="263"/>
  <c r="AX87" i="263"/>
  <c r="AT87" i="263"/>
  <c r="AR88" i="263"/>
  <c r="AV88" i="263"/>
  <c r="AR87" i="263"/>
  <c r="AU88" i="263"/>
  <c r="AV87" i="263"/>
  <c r="AS88" i="263"/>
  <c r="AW88" i="263"/>
  <c r="AV86" i="263"/>
  <c r="AS87" i="263"/>
  <c r="AW87" i="263"/>
  <c r="AW86" i="263"/>
  <c r="AR86" i="263"/>
  <c r="AU87" i="263"/>
  <c r="AS86" i="263"/>
  <c r="AS85" i="263"/>
  <c r="AX85" i="263"/>
  <c r="AT86" i="263"/>
  <c r="AX86" i="263"/>
  <c r="AV85" i="263"/>
  <c r="AV82" i="263"/>
  <c r="AR85" i="263"/>
  <c r="AW85" i="263"/>
  <c r="AT85" i="263"/>
  <c r="AU86" i="263"/>
  <c r="AU85" i="263"/>
  <c r="AR79" i="263"/>
  <c r="AW82" i="263"/>
  <c r="AS79" i="263"/>
  <c r="AR82" i="263"/>
  <c r="AS82" i="263"/>
  <c r="AR81" i="263"/>
  <c r="AX79" i="263"/>
  <c r="AS81" i="263"/>
  <c r="AX81" i="263"/>
  <c r="AT82" i="263"/>
  <c r="AX82" i="263"/>
  <c r="AV81" i="263"/>
  <c r="AW81" i="263"/>
  <c r="AU82" i="263"/>
  <c r="AX78" i="263"/>
  <c r="AT79" i="263"/>
  <c r="AU81" i="263"/>
  <c r="AW79" i="263"/>
  <c r="AV79" i="263"/>
  <c r="AU79" i="263"/>
  <c r="AT78" i="263"/>
  <c r="AU78" i="263"/>
  <c r="AR78" i="263"/>
  <c r="AV78" i="263"/>
  <c r="AS78" i="263"/>
  <c r="AW78" i="263"/>
  <c r="AR73" i="263"/>
  <c r="AV71" i="263"/>
  <c r="AV73" i="263"/>
  <c r="AS74" i="263"/>
  <c r="AX70" i="263"/>
  <c r="AV72" i="263"/>
  <c r="AW74" i="263"/>
  <c r="AW73" i="263"/>
  <c r="AT74" i="263"/>
  <c r="AX74" i="263"/>
  <c r="AR71" i="263"/>
  <c r="AR72" i="263"/>
  <c r="AU74" i="263"/>
  <c r="AS70" i="263"/>
  <c r="AT71" i="263"/>
  <c r="AS72" i="263"/>
  <c r="AS73" i="263"/>
  <c r="AR74" i="263"/>
  <c r="AV74" i="263"/>
  <c r="AT73" i="263"/>
  <c r="AX73" i="263"/>
  <c r="AU73" i="263"/>
  <c r="AR69" i="263"/>
  <c r="AW69" i="263"/>
  <c r="AX71" i="263"/>
  <c r="AT72" i="263"/>
  <c r="AX72" i="263"/>
  <c r="AU72" i="263"/>
  <c r="AX69" i="263"/>
  <c r="AT70" i="263"/>
  <c r="AU71" i="263"/>
  <c r="AV70" i="263"/>
  <c r="AT67" i="263"/>
  <c r="AS69" i="263"/>
  <c r="AR70" i="263"/>
  <c r="AW70" i="263"/>
  <c r="AS71" i="263"/>
  <c r="AW71" i="263"/>
  <c r="AT69" i="263"/>
  <c r="AU70" i="263"/>
  <c r="AV69" i="263"/>
  <c r="AR68" i="263"/>
  <c r="AW68" i="263"/>
  <c r="AS68" i="263"/>
  <c r="AX68" i="263"/>
  <c r="AV67" i="263"/>
  <c r="AT68" i="263"/>
  <c r="AU69" i="263"/>
  <c r="AV68" i="263"/>
  <c r="AX66" i="263"/>
  <c r="AX67" i="263"/>
  <c r="AR67" i="263"/>
  <c r="AU68" i="263"/>
  <c r="AU67" i="263"/>
  <c r="AS67" i="263"/>
  <c r="AW67" i="263"/>
  <c r="AV64" i="263"/>
  <c r="AU66" i="263"/>
  <c r="AR66" i="263"/>
  <c r="AV66" i="263"/>
  <c r="AS66" i="263"/>
  <c r="AW66" i="263"/>
  <c r="AW64" i="263"/>
  <c r="AR64" i="263"/>
  <c r="AS64" i="263"/>
  <c r="AT64" i="263"/>
  <c r="AX64" i="263"/>
  <c r="AU64" i="263"/>
  <c r="AS63" i="263"/>
  <c r="AW63" i="263"/>
  <c r="AU63" i="263"/>
  <c r="AR63" i="263"/>
  <c r="AV63" i="263"/>
  <c r="AT63" i="263"/>
  <c r="AX63" i="263"/>
  <c r="AV61" i="263"/>
  <c r="AT59" i="263"/>
  <c r="AR61" i="263"/>
  <c r="AW61" i="263"/>
  <c r="AV59" i="263"/>
  <c r="AS61" i="263"/>
  <c r="AX61" i="263"/>
  <c r="AT61" i="263"/>
  <c r="AW52" i="263"/>
  <c r="AR59" i="263"/>
  <c r="AU61" i="263"/>
  <c r="AU59" i="263"/>
  <c r="AS59" i="263"/>
  <c r="AW59" i="263"/>
  <c r="AT57" i="263"/>
  <c r="AX57" i="263"/>
  <c r="AU57" i="263"/>
  <c r="AR57" i="263"/>
  <c r="AV57" i="263"/>
  <c r="AS57" i="263"/>
  <c r="AW57" i="263"/>
  <c r="AW51" i="263"/>
  <c r="AS51" i="263"/>
  <c r="AR53" i="263"/>
  <c r="AW53" i="263"/>
  <c r="AT52" i="263"/>
  <c r="AS53" i="263"/>
  <c r="AV53" i="263"/>
  <c r="AX52" i="263"/>
  <c r="AT53" i="263"/>
  <c r="AX53" i="263"/>
  <c r="AS52" i="263"/>
  <c r="AU53" i="263"/>
  <c r="AR52" i="263"/>
  <c r="AV52" i="263"/>
  <c r="AU52" i="263"/>
  <c r="AU51" i="263"/>
  <c r="AR51" i="263"/>
  <c r="AV51" i="263"/>
  <c r="AT51" i="263"/>
  <c r="AX51" i="263"/>
  <c r="AU50" i="263"/>
  <c r="AR50" i="263"/>
  <c r="AV50" i="263"/>
  <c r="AS50" i="263"/>
  <c r="AW50" i="263"/>
  <c r="AT50" i="263"/>
  <c r="AX50" i="263"/>
  <c r="AU48" i="263"/>
  <c r="AS46" i="263"/>
  <c r="AR48" i="263"/>
  <c r="AV48" i="263"/>
  <c r="AT46" i="263"/>
  <c r="AS48" i="263"/>
  <c r="AW48" i="263"/>
  <c r="AT48" i="263"/>
  <c r="AX48" i="263"/>
  <c r="AR47" i="263"/>
  <c r="AV47" i="263"/>
  <c r="AT45" i="263"/>
  <c r="AW46" i="263"/>
  <c r="AS47" i="263"/>
  <c r="AW47" i="263"/>
  <c r="AU47" i="263"/>
  <c r="AT47" i="263"/>
  <c r="AX47" i="263"/>
  <c r="AX45" i="263"/>
  <c r="AU46" i="263"/>
  <c r="AR46" i="263"/>
  <c r="AV46" i="263"/>
  <c r="AV45" i="263"/>
  <c r="AS45" i="263"/>
  <c r="AW45" i="263"/>
  <c r="AU45" i="263"/>
  <c r="AY45" i="263"/>
  <c r="AR45" i="263"/>
  <c r="S78" i="263"/>
  <c r="H78" i="263"/>
  <c r="AD116" i="263"/>
  <c r="K77" i="263"/>
  <c r="D78" i="263"/>
  <c r="Q58" i="263"/>
  <c r="L58" i="263"/>
  <c r="W75" i="263"/>
  <c r="X75" i="263" s="1"/>
  <c r="AI79" i="263"/>
  <c r="L89" i="263"/>
  <c r="L90" i="263"/>
  <c r="L113" i="263"/>
  <c r="N116" i="263"/>
  <c r="O116" i="263" s="1"/>
  <c r="L118" i="263"/>
  <c r="H86" i="263"/>
  <c r="AL104" i="263"/>
  <c r="BI104" i="263" s="1"/>
  <c r="H105" i="263"/>
  <c r="K48" i="263"/>
  <c r="Z60" i="263"/>
  <c r="D85" i="263"/>
  <c r="F114" i="263"/>
  <c r="AE48" i="263"/>
  <c r="BE48" i="263" s="1"/>
  <c r="AD62" i="263"/>
  <c r="F71" i="263"/>
  <c r="AP78" i="263"/>
  <c r="E79" i="263"/>
  <c r="Q102" i="263"/>
  <c r="S111" i="263"/>
  <c r="L79" i="263"/>
  <c r="AJ47" i="263"/>
  <c r="BG47" i="263" s="1"/>
  <c r="AA92" i="263"/>
  <c r="S109" i="263"/>
  <c r="AW114" i="263"/>
  <c r="Q45" i="263"/>
  <c r="W109" i="263"/>
  <c r="X109" i="263" s="1"/>
  <c r="S71" i="263"/>
  <c r="AE86" i="263"/>
  <c r="BE86" i="263" s="1"/>
  <c r="AJ87" i="263"/>
  <c r="BG87" i="263" s="1"/>
  <c r="AC90" i="263"/>
  <c r="D92" i="263"/>
  <c r="K106" i="263"/>
  <c r="E109" i="263"/>
  <c r="AM109" i="263"/>
  <c r="BJ109" i="263" s="1"/>
  <c r="AF113" i="263"/>
  <c r="AG113" i="263" s="1"/>
  <c r="G114" i="263"/>
  <c r="AM116" i="263"/>
  <c r="BJ116" i="263" s="1"/>
  <c r="AF118" i="263"/>
  <c r="AG118" i="263" s="1"/>
  <c r="E47" i="263"/>
  <c r="AE49" i="263"/>
  <c r="BK49" i="263" s="1"/>
  <c r="AQ92" i="263"/>
  <c r="AO45" i="263"/>
  <c r="K47" i="263"/>
  <c r="AR58" i="263"/>
  <c r="AE47" i="263"/>
  <c r="BE47" i="263" s="1"/>
  <c r="D58" i="263"/>
  <c r="L60" i="263"/>
  <c r="G77" i="263"/>
  <c r="AI78" i="263"/>
  <c r="AO79" i="263"/>
  <c r="L82" i="263"/>
  <c r="K92" i="263"/>
  <c r="AF94" i="263"/>
  <c r="BF94" i="263" s="1"/>
  <c r="Q104" i="263"/>
  <c r="G109" i="263"/>
  <c r="AO109" i="263"/>
  <c r="AV113" i="263"/>
  <c r="Q114" i="263"/>
  <c r="E116" i="263"/>
  <c r="V50" i="263"/>
  <c r="W51" i="263"/>
  <c r="X51" i="263" s="1"/>
  <c r="M57" i="263"/>
  <c r="AQ63" i="263"/>
  <c r="AJ67" i="263"/>
  <c r="BG67" i="263" s="1"/>
  <c r="V73" i="263"/>
  <c r="AQ73" i="263"/>
  <c r="AI110" i="263"/>
  <c r="S47" i="263"/>
  <c r="AQ47" i="263"/>
  <c r="E48" i="263"/>
  <c r="W48" i="263"/>
  <c r="X48" i="263" s="1"/>
  <c r="AJ48" i="263"/>
  <c r="BG48" i="263" s="1"/>
  <c r="G49" i="263"/>
  <c r="G51" i="263"/>
  <c r="AD51" i="263"/>
  <c r="AN53" i="263"/>
  <c r="S57" i="263"/>
  <c r="AL58" i="263"/>
  <c r="BI58" i="263" s="1"/>
  <c r="AL60" i="263"/>
  <c r="BI60" i="263" s="1"/>
  <c r="H63" i="263"/>
  <c r="F67" i="263"/>
  <c r="AE71" i="263"/>
  <c r="BK71" i="263" s="1"/>
  <c r="E73" i="263"/>
  <c r="W73" i="263"/>
  <c r="X73" i="263" s="1"/>
  <c r="W77" i="263"/>
  <c r="X77" i="263" s="1"/>
  <c r="AE78" i="263"/>
  <c r="BK78" i="263" s="1"/>
  <c r="T79" i="263"/>
  <c r="AD82" i="263"/>
  <c r="F83" i="263"/>
  <c r="M92" i="263"/>
  <c r="AF105" i="263"/>
  <c r="AG105" i="263" s="1"/>
  <c r="AB106" i="263"/>
  <c r="M107" i="263"/>
  <c r="N109" i="263"/>
  <c r="O109" i="263" s="1"/>
  <c r="AC109" i="263"/>
  <c r="AQ109" i="263"/>
  <c r="F110" i="263"/>
  <c r="AP110" i="263"/>
  <c r="AQ111" i="263"/>
  <c r="V116" i="263"/>
  <c r="AP116" i="263"/>
  <c r="W117" i="263"/>
  <c r="X117" i="263" s="1"/>
  <c r="S51" i="263"/>
  <c r="T48" i="263"/>
  <c r="AI48" i="263"/>
  <c r="AJ49" i="263"/>
  <c r="BG49" i="263" s="1"/>
  <c r="E51" i="263"/>
  <c r="W47" i="263"/>
  <c r="X47" i="263" s="1"/>
  <c r="F48" i="263"/>
  <c r="AA48" i="263"/>
  <c r="M49" i="263"/>
  <c r="M51" i="263"/>
  <c r="AM51" i="263"/>
  <c r="BJ51" i="263" s="1"/>
  <c r="AJ57" i="263"/>
  <c r="BG57" i="263" s="1"/>
  <c r="AV60" i="263"/>
  <c r="K63" i="263"/>
  <c r="Q67" i="263"/>
  <c r="AO71" i="263"/>
  <c r="G73" i="263"/>
  <c r="AD73" i="263"/>
  <c r="AQ77" i="263"/>
  <c r="AC79" i="263"/>
  <c r="AB83" i="263"/>
  <c r="W92" i="263"/>
  <c r="X92" i="263" s="1"/>
  <c r="D104" i="263"/>
  <c r="AV105" i="263"/>
  <c r="AM106" i="263"/>
  <c r="BJ106" i="263" s="1"/>
  <c r="AS107" i="263"/>
  <c r="D109" i="263"/>
  <c r="Q109" i="263"/>
  <c r="AD109" i="263"/>
  <c r="R110" i="263"/>
  <c r="AX110" i="263"/>
  <c r="AO114" i="263"/>
  <c r="D116" i="263"/>
  <c r="W116" i="263"/>
  <c r="X116" i="263" s="1"/>
  <c r="F118" i="263"/>
  <c r="Z63" i="263"/>
  <c r="AB67" i="263"/>
  <c r="N73" i="263"/>
  <c r="O73" i="263" s="1"/>
  <c r="AO73" i="263"/>
  <c r="AR83" i="263"/>
  <c r="AV106" i="263"/>
  <c r="Z110" i="263"/>
  <c r="AK81" i="263"/>
  <c r="AE81" i="263"/>
  <c r="BK81" i="263" s="1"/>
  <c r="U81" i="263"/>
  <c r="H81" i="263"/>
  <c r="AN97" i="263"/>
  <c r="AL97" i="263"/>
  <c r="BI97" i="263" s="1"/>
  <c r="AD97" i="263"/>
  <c r="S97" i="263"/>
  <c r="F97" i="263"/>
  <c r="AJ97" i="263"/>
  <c r="BG97" i="263" s="1"/>
  <c r="AA97" i="263"/>
  <c r="N97" i="263"/>
  <c r="O97" i="263" s="1"/>
  <c r="E97" i="263"/>
  <c r="AQ97" i="263"/>
  <c r="AI97" i="263"/>
  <c r="V97" i="263"/>
  <c r="L97" i="263"/>
  <c r="D97" i="263"/>
  <c r="AP97" i="263"/>
  <c r="W69" i="263"/>
  <c r="X69" i="263" s="1"/>
  <c r="K69" i="263"/>
  <c r="AQ69" i="263"/>
  <c r="G69" i="263"/>
  <c r="AP70" i="263"/>
  <c r="S70" i="263"/>
  <c r="AI70" i="263"/>
  <c r="H70" i="263"/>
  <c r="AE70" i="263"/>
  <c r="BE70" i="263" s="1"/>
  <c r="D70" i="263"/>
  <c r="AM93" i="263"/>
  <c r="BJ93" i="263" s="1"/>
  <c r="AN93" i="263"/>
  <c r="T93" i="263"/>
  <c r="AF93" i="263"/>
  <c r="AG93" i="263" s="1"/>
  <c r="L93" i="263"/>
  <c r="AE93" i="263"/>
  <c r="BE93" i="263" s="1"/>
  <c r="F93" i="263"/>
  <c r="T97" i="263"/>
  <c r="AP117" i="263"/>
  <c r="AM117" i="263"/>
  <c r="BJ117" i="263" s="1"/>
  <c r="T117" i="263"/>
  <c r="AF117" i="263"/>
  <c r="BF117" i="263" s="1"/>
  <c r="K117" i="263"/>
  <c r="AE117" i="263"/>
  <c r="BE117" i="263" s="1"/>
  <c r="F117" i="263"/>
  <c r="N103" i="263"/>
  <c r="O103" i="263" s="1"/>
  <c r="AD103" i="263"/>
  <c r="T103" i="263"/>
  <c r="AP46" i="263"/>
  <c r="AL46" i="263"/>
  <c r="BI46" i="263" s="1"/>
  <c r="N46" i="263"/>
  <c r="O46" i="263" s="1"/>
  <c r="D46" i="263"/>
  <c r="V74" i="263"/>
  <c r="Y74" i="263" s="1"/>
  <c r="H74" i="263"/>
  <c r="AI74" i="263"/>
  <c r="F74" i="263"/>
  <c r="AN75" i="263"/>
  <c r="M75" i="263"/>
  <c r="L75" i="263"/>
  <c r="AE75" i="263"/>
  <c r="BK75" i="263" s="1"/>
  <c r="AU75" i="263"/>
  <c r="AC75" i="263"/>
  <c r="E75" i="263"/>
  <c r="T91" i="263"/>
  <c r="AD91" i="263"/>
  <c r="N91" i="263"/>
  <c r="O91" i="263" s="1"/>
  <c r="G91" i="263"/>
  <c r="AT96" i="263"/>
  <c r="AW96" i="263"/>
  <c r="V96" i="263"/>
  <c r="Q96" i="263"/>
  <c r="AE97" i="263"/>
  <c r="BE97" i="263" s="1"/>
  <c r="N60" i="263"/>
  <c r="O60" i="263" s="1"/>
  <c r="AD60" i="263"/>
  <c r="AP60" i="263"/>
  <c r="AL62" i="263"/>
  <c r="BI62" i="263" s="1"/>
  <c r="S67" i="263"/>
  <c r="AO67" i="263"/>
  <c r="G71" i="263"/>
  <c r="W71" i="263"/>
  <c r="X71" i="263" s="1"/>
  <c r="AI71" i="263"/>
  <c r="Q79" i="263"/>
  <c r="AE79" i="263"/>
  <c r="BK79" i="263" s="1"/>
  <c r="N82" i="263"/>
  <c r="O82" i="263" s="1"/>
  <c r="AL82" i="263"/>
  <c r="BI82" i="263" s="1"/>
  <c r="AJ83" i="263"/>
  <c r="BG83" i="263" s="1"/>
  <c r="R86" i="263"/>
  <c r="AI86" i="263"/>
  <c r="AB89" i="263"/>
  <c r="M90" i="263"/>
  <c r="AN90" i="263"/>
  <c r="W102" i="263"/>
  <c r="X102" i="263" s="1"/>
  <c r="AA104" i="263"/>
  <c r="R105" i="263"/>
  <c r="AM105" i="263"/>
  <c r="BJ105" i="263" s="1"/>
  <c r="AJ106" i="263"/>
  <c r="BG106" i="263" s="1"/>
  <c r="S110" i="263"/>
  <c r="AN110" i="263"/>
  <c r="AM113" i="263"/>
  <c r="BJ113" i="263" s="1"/>
  <c r="AN49" i="263"/>
  <c r="E60" i="263"/>
  <c r="S60" i="263"/>
  <c r="AE60" i="263"/>
  <c r="BE60" i="263" s="1"/>
  <c r="AQ60" i="263"/>
  <c r="T61" i="263"/>
  <c r="G62" i="263"/>
  <c r="AW62" i="263"/>
  <c r="M71" i="263"/>
  <c r="V82" i="263"/>
  <c r="AQ82" i="263"/>
  <c r="W90" i="263"/>
  <c r="X90" i="263" s="1"/>
  <c r="W105" i="263"/>
  <c r="X105" i="263" s="1"/>
  <c r="AN105" i="263"/>
  <c r="L47" i="263"/>
  <c r="Z47" i="263"/>
  <c r="AL47" i="263"/>
  <c r="BI47" i="263" s="1"/>
  <c r="T49" i="263"/>
  <c r="AE57" i="263"/>
  <c r="BK57" i="263" s="1"/>
  <c r="AJ71" i="263"/>
  <c r="BG71" i="263" s="1"/>
  <c r="W86" i="263"/>
  <c r="X86" i="263" s="1"/>
  <c r="AN86" i="263"/>
  <c r="AD89" i="263"/>
  <c r="D47" i="263"/>
  <c r="R47" i="263"/>
  <c r="AD47" i="263"/>
  <c r="AP47" i="263"/>
  <c r="S48" i="263"/>
  <c r="AB48" i="263"/>
  <c r="AM48" i="263"/>
  <c r="BJ48" i="263" s="1"/>
  <c r="F49" i="263"/>
  <c r="AC49" i="263"/>
  <c r="AO49" i="263"/>
  <c r="R51" i="263"/>
  <c r="AI51" i="263"/>
  <c r="S53" i="263"/>
  <c r="F57" i="263"/>
  <c r="AB58" i="263"/>
  <c r="F60" i="263"/>
  <c r="T60" i="263"/>
  <c r="AJ60" i="263"/>
  <c r="BG60" i="263" s="1"/>
  <c r="AU60" i="263"/>
  <c r="N62" i="263"/>
  <c r="O62" i="263" s="1"/>
  <c r="AN65" i="263"/>
  <c r="G67" i="263"/>
  <c r="AI67" i="263"/>
  <c r="E71" i="263"/>
  <c r="Q71" i="263"/>
  <c r="AB71" i="263"/>
  <c r="AN71" i="263"/>
  <c r="Q73" i="263"/>
  <c r="AI73" i="263"/>
  <c r="F79" i="263"/>
  <c r="W79" i="263"/>
  <c r="X79" i="263" s="1"/>
  <c r="E82" i="263"/>
  <c r="L83" i="263"/>
  <c r="E86" i="263"/>
  <c r="Z86" i="263"/>
  <c r="AQ86" i="263"/>
  <c r="K89" i="263"/>
  <c r="AQ89" i="263"/>
  <c r="E90" i="263"/>
  <c r="V92" i="263"/>
  <c r="K94" i="263"/>
  <c r="AL101" i="263"/>
  <c r="BI101" i="263" s="1"/>
  <c r="K104" i="263"/>
  <c r="AQ104" i="263"/>
  <c r="F105" i="263"/>
  <c r="AA105" i="263"/>
  <c r="L106" i="263"/>
  <c r="AU106" i="263"/>
  <c r="AC107" i="263"/>
  <c r="M109" i="263"/>
  <c r="V109" i="263"/>
  <c r="AI109" i="263"/>
  <c r="H110" i="263"/>
  <c r="AB110" i="263"/>
  <c r="AU110" i="263"/>
  <c r="AB111" i="263"/>
  <c r="W113" i="263"/>
  <c r="X113" i="263" s="1"/>
  <c r="AN114" i="263"/>
  <c r="AE116" i="263"/>
  <c r="BE116" i="263" s="1"/>
  <c r="AJ118" i="263"/>
  <c r="AY118" i="263" s="1"/>
  <c r="AR54" i="263"/>
  <c r="Q54" i="263"/>
  <c r="AB54" i="263"/>
  <c r="AO59" i="263"/>
  <c r="AQ59" i="263"/>
  <c r="Q59" i="263"/>
  <c r="AA59" i="263"/>
  <c r="Q66" i="263"/>
  <c r="G66" i="263"/>
  <c r="AO66" i="263"/>
  <c r="AO88" i="263"/>
  <c r="AA88" i="263"/>
  <c r="D88" i="263"/>
  <c r="Q88" i="263"/>
  <c r="V88" i="263"/>
  <c r="AO100" i="263"/>
  <c r="AA100" i="263"/>
  <c r="D100" i="263"/>
  <c r="V100" i="263"/>
  <c r="K100" i="263"/>
  <c r="Q100" i="263"/>
  <c r="AL50" i="263"/>
  <c r="BI50" i="263" s="1"/>
  <c r="E52" i="263"/>
  <c r="N52" i="263"/>
  <c r="O52" i="263" s="1"/>
  <c r="W52" i="263"/>
  <c r="X52" i="263" s="1"/>
  <c r="AE52" i="263"/>
  <c r="AL52" i="263"/>
  <c r="BI52" i="263" s="1"/>
  <c r="AC53" i="263"/>
  <c r="D54" i="263"/>
  <c r="E56" i="263"/>
  <c r="V56" i="263"/>
  <c r="AD56" i="263"/>
  <c r="AR56" i="263"/>
  <c r="F64" i="263"/>
  <c r="T64" i="263"/>
  <c r="AE64" i="263"/>
  <c r="AQ64" i="263"/>
  <c r="AR65" i="263"/>
  <c r="AL100" i="263"/>
  <c r="BI100" i="263" s="1"/>
  <c r="G45" i="263"/>
  <c r="AN45" i="263"/>
  <c r="AD46" i="263"/>
  <c r="H47" i="263"/>
  <c r="V47" i="263"/>
  <c r="AB47" i="263"/>
  <c r="AI47" i="263"/>
  <c r="AN47" i="263"/>
  <c r="H52" i="263"/>
  <c r="T52" i="263"/>
  <c r="AA52" i="263"/>
  <c r="M53" i="263"/>
  <c r="V54" i="263"/>
  <c r="H56" i="263"/>
  <c r="S56" i="263"/>
  <c r="Z56" i="263"/>
  <c r="AF56" i="263"/>
  <c r="AP56" i="263"/>
  <c r="V59" i="263"/>
  <c r="AO63" i="263"/>
  <c r="AM63" i="263"/>
  <c r="BJ63" i="263" s="1"/>
  <c r="AD63" i="263"/>
  <c r="V63" i="263"/>
  <c r="N63" i="263"/>
  <c r="O63" i="263" s="1"/>
  <c r="D63" i="263"/>
  <c r="AP63" i="263"/>
  <c r="AE63" i="263"/>
  <c r="W63" i="263"/>
  <c r="X63" i="263" s="1"/>
  <c r="E63" i="263"/>
  <c r="S63" i="263"/>
  <c r="AL63" i="263"/>
  <c r="BI63" i="263" s="1"/>
  <c r="N64" i="263"/>
  <c r="O64" i="263" s="1"/>
  <c r="Z64" i="263"/>
  <c r="AP68" i="263"/>
  <c r="AF68" i="263"/>
  <c r="BF68" i="263" s="1"/>
  <c r="AM69" i="263"/>
  <c r="BJ69" i="263" s="1"/>
  <c r="AC69" i="263"/>
  <c r="S69" i="263"/>
  <c r="M69" i="263"/>
  <c r="D69" i="263"/>
  <c r="AO69" i="263"/>
  <c r="AD69" i="263"/>
  <c r="V69" i="263"/>
  <c r="N69" i="263"/>
  <c r="O69" i="263" s="1"/>
  <c r="E69" i="263"/>
  <c r="R69" i="263"/>
  <c r="AL69" i="263"/>
  <c r="BI69" i="263" s="1"/>
  <c r="AO70" i="263"/>
  <c r="AQ70" i="263"/>
  <c r="AL70" i="263"/>
  <c r="BI70" i="263" s="1"/>
  <c r="AF70" i="263"/>
  <c r="AA70" i="263"/>
  <c r="T70" i="263"/>
  <c r="L70" i="263"/>
  <c r="E70" i="263"/>
  <c r="AM70" i="263"/>
  <c r="BJ70" i="263" s="1"/>
  <c r="AB70" i="263"/>
  <c r="V70" i="263"/>
  <c r="Y70" i="263" s="1"/>
  <c r="N70" i="263"/>
  <c r="O70" i="263" s="1"/>
  <c r="F70" i="263"/>
  <c r="R70" i="263"/>
  <c r="AD70" i="263"/>
  <c r="AN70" i="263"/>
  <c r="AO74" i="263"/>
  <c r="AP74" i="263"/>
  <c r="AJ74" i="263"/>
  <c r="BG74" i="263" s="1"/>
  <c r="AE74" i="263"/>
  <c r="Z74" i="263"/>
  <c r="S74" i="263"/>
  <c r="K74" i="263"/>
  <c r="D74" i="263"/>
  <c r="AQ74" i="263"/>
  <c r="AL74" i="263"/>
  <c r="BI74" i="263" s="1"/>
  <c r="AF74" i="263"/>
  <c r="AA74" i="263"/>
  <c r="T74" i="263"/>
  <c r="L74" i="263"/>
  <c r="E74" i="263"/>
  <c r="R74" i="263"/>
  <c r="AD74" i="263"/>
  <c r="AN74" i="263"/>
  <c r="AM77" i="263"/>
  <c r="BJ77" i="263" s="1"/>
  <c r="AC77" i="263"/>
  <c r="S77" i="263"/>
  <c r="M77" i="263"/>
  <c r="D77" i="263"/>
  <c r="AO77" i="263"/>
  <c r="AD77" i="263"/>
  <c r="V77" i="263"/>
  <c r="N77" i="263"/>
  <c r="O77" i="263" s="1"/>
  <c r="E77" i="263"/>
  <c r="R77" i="263"/>
  <c r="AL77" i="263"/>
  <c r="BI77" i="263" s="1"/>
  <c r="AO78" i="263"/>
  <c r="AQ78" i="263"/>
  <c r="AL78" i="263"/>
  <c r="BI78" i="263" s="1"/>
  <c r="AF78" i="263"/>
  <c r="AA78" i="263"/>
  <c r="T78" i="263"/>
  <c r="L78" i="263"/>
  <c r="E78" i="263"/>
  <c r="AM78" i="263"/>
  <c r="BJ78" i="263" s="1"/>
  <c r="AB78" i="263"/>
  <c r="V78" i="263"/>
  <c r="Y78" i="263" s="1"/>
  <c r="N78" i="263"/>
  <c r="O78" i="263" s="1"/>
  <c r="F78" i="263"/>
  <c r="R78" i="263"/>
  <c r="AD78" i="263"/>
  <c r="AN78" i="263"/>
  <c r="AO85" i="263"/>
  <c r="AD85" i="263"/>
  <c r="N85" i="263"/>
  <c r="O85" i="263" s="1"/>
  <c r="AL85" i="263"/>
  <c r="BI85" i="263" s="1"/>
  <c r="H85" i="263"/>
  <c r="AP85" i="263"/>
  <c r="R85" i="263"/>
  <c r="AO87" i="263"/>
  <c r="N87" i="263"/>
  <c r="O87" i="263" s="1"/>
  <c r="G87" i="263"/>
  <c r="T87" i="263"/>
  <c r="AQ88" i="263"/>
  <c r="D89" i="263"/>
  <c r="V89" i="263"/>
  <c r="L101" i="263"/>
  <c r="AN108" i="263"/>
  <c r="AK108" i="263"/>
  <c r="BH108" i="263" s="1"/>
  <c r="H108" i="263"/>
  <c r="U108" i="263"/>
  <c r="Z108" i="263"/>
  <c r="AF108" i="263"/>
  <c r="BF108" i="263" s="1"/>
  <c r="AP108" i="263"/>
  <c r="AO52" i="263"/>
  <c r="AN52" i="263"/>
  <c r="AI52" i="263"/>
  <c r="AD52" i="263"/>
  <c r="S52" i="263"/>
  <c r="K52" i="263"/>
  <c r="D52" i="263"/>
  <c r="L52" i="263"/>
  <c r="V52" i="263"/>
  <c r="AB52" i="263"/>
  <c r="AJ52" i="263"/>
  <c r="BG52" i="263" s="1"/>
  <c r="AQ52" i="263"/>
  <c r="AT56" i="263"/>
  <c r="AN56" i="263"/>
  <c r="AI56" i="263"/>
  <c r="AB56" i="263"/>
  <c r="W56" i="263"/>
  <c r="X56" i="263" s="1"/>
  <c r="R56" i="263"/>
  <c r="K56" i="263"/>
  <c r="D56" i="263"/>
  <c r="L56" i="263"/>
  <c r="T56" i="263"/>
  <c r="AA56" i="263"/>
  <c r="AJ56" i="263"/>
  <c r="AY56" i="263" s="1"/>
  <c r="AQ56" i="263"/>
  <c r="AX56" i="263"/>
  <c r="AO64" i="263"/>
  <c r="AN64" i="263"/>
  <c r="AI64" i="263"/>
  <c r="AB64" i="263"/>
  <c r="W64" i="263"/>
  <c r="X64" i="263" s="1"/>
  <c r="R64" i="263"/>
  <c r="K64" i="263"/>
  <c r="D64" i="263"/>
  <c r="AP64" i="263"/>
  <c r="AJ64" i="263"/>
  <c r="BG64" i="263" s="1"/>
  <c r="AD64" i="263"/>
  <c r="S64" i="263"/>
  <c r="L64" i="263"/>
  <c r="E64" i="263"/>
  <c r="AA64" i="263"/>
  <c r="AM64" i="263"/>
  <c r="BJ64" i="263" s="1"/>
  <c r="AF45" i="263"/>
  <c r="AO50" i="263"/>
  <c r="AB50" i="263"/>
  <c r="D50" i="263"/>
  <c r="AJ53" i="263"/>
  <c r="BG53" i="263" s="1"/>
  <c r="T53" i="263"/>
  <c r="F53" i="263"/>
  <c r="AO53" i="263"/>
  <c r="AL54" i="263"/>
  <c r="N56" i="263"/>
  <c r="O56" i="263" s="1"/>
  <c r="AL56" i="263"/>
  <c r="BI56" i="263" s="1"/>
  <c r="D59" i="263"/>
  <c r="AL59" i="263"/>
  <c r="BI59" i="263" s="1"/>
  <c r="AN61" i="263"/>
  <c r="AB61" i="263"/>
  <c r="G61" i="263"/>
  <c r="AO61" i="263"/>
  <c r="AF61" i="263"/>
  <c r="L61" i="263"/>
  <c r="AV65" i="263"/>
  <c r="AF65" i="263"/>
  <c r="F65" i="263"/>
  <c r="AJ65" i="263"/>
  <c r="L65" i="263"/>
  <c r="K88" i="263"/>
  <c r="AO101" i="263"/>
  <c r="AM101" i="263"/>
  <c r="BJ101" i="263" s="1"/>
  <c r="AF101" i="263"/>
  <c r="AG101" i="263" s="1"/>
  <c r="AA101" i="263"/>
  <c r="T101" i="263"/>
  <c r="N101" i="263"/>
  <c r="O101" i="263" s="1"/>
  <c r="F101" i="263"/>
  <c r="AP101" i="263"/>
  <c r="AI101" i="263"/>
  <c r="Z101" i="263"/>
  <c r="R101" i="263"/>
  <c r="BB101" i="263" s="1"/>
  <c r="H101" i="263"/>
  <c r="AN101" i="263"/>
  <c r="AD101" i="263"/>
  <c r="S101" i="263"/>
  <c r="E101" i="263"/>
  <c r="AQ101" i="263"/>
  <c r="AE101" i="263"/>
  <c r="BE101" i="263" s="1"/>
  <c r="V101" i="263"/>
  <c r="K101" i="263"/>
  <c r="W101" i="263"/>
  <c r="X101" i="263" s="1"/>
  <c r="F45" i="263"/>
  <c r="V46" i="263"/>
  <c r="F47" i="263"/>
  <c r="N47" i="263"/>
  <c r="O47" i="263" s="1"/>
  <c r="T47" i="263"/>
  <c r="AA47" i="263"/>
  <c r="AF47" i="263"/>
  <c r="AM47" i="263"/>
  <c r="BJ47" i="263" s="1"/>
  <c r="L48" i="263"/>
  <c r="AF48" i="263"/>
  <c r="AG48" i="263" s="1"/>
  <c r="AN48" i="263"/>
  <c r="S49" i="263"/>
  <c r="BC49" i="263" s="1"/>
  <c r="AI49" i="263"/>
  <c r="L50" i="263"/>
  <c r="F52" i="263"/>
  <c r="R52" i="263"/>
  <c r="Z52" i="263"/>
  <c r="AF52" i="263"/>
  <c r="AM52" i="263"/>
  <c r="BJ52" i="263" s="1"/>
  <c r="G53" i="263"/>
  <c r="AE53" i="263"/>
  <c r="BE53" i="263" s="1"/>
  <c r="L54" i="263"/>
  <c r="AW54" i="263"/>
  <c r="F56" i="263"/>
  <c r="AE56" i="263"/>
  <c r="BE56" i="263" s="1"/>
  <c r="AM56" i="263"/>
  <c r="BJ56" i="263" s="1"/>
  <c r="AU56" i="263"/>
  <c r="AN57" i="263"/>
  <c r="AC57" i="263"/>
  <c r="G57" i="263"/>
  <c r="T57" i="263"/>
  <c r="AO57" i="263"/>
  <c r="K59" i="263"/>
  <c r="F61" i="263"/>
  <c r="AJ61" i="263"/>
  <c r="BG61" i="263" s="1"/>
  <c r="R63" i="263"/>
  <c r="AI63" i="263"/>
  <c r="H64" i="263"/>
  <c r="V64" i="263"/>
  <c r="AF64" i="263"/>
  <c r="BF64" i="263" s="1"/>
  <c r="T65" i="263"/>
  <c r="Q69" i="263"/>
  <c r="AI69" i="263"/>
  <c r="K70" i="263"/>
  <c r="Z70" i="263"/>
  <c r="AJ70" i="263"/>
  <c r="BG70" i="263" s="1"/>
  <c r="AP72" i="263"/>
  <c r="H72" i="263"/>
  <c r="AF72" i="263"/>
  <c r="BF72" i="263" s="1"/>
  <c r="N74" i="263"/>
  <c r="O74" i="263" s="1"/>
  <c r="AB74" i="263"/>
  <c r="AM74" i="263"/>
  <c r="BJ74" i="263" s="1"/>
  <c r="AW75" i="263"/>
  <c r="AO75" i="263"/>
  <c r="AI75" i="263"/>
  <c r="Q75" i="263"/>
  <c r="F75" i="263"/>
  <c r="AR75" i="263"/>
  <c r="AJ75" i="263"/>
  <c r="AY75" i="263" s="1"/>
  <c r="AB75" i="263"/>
  <c r="S75" i="263"/>
  <c r="G75" i="263"/>
  <c r="T75" i="263"/>
  <c r="AM75" i="263"/>
  <c r="Q77" i="263"/>
  <c r="AI77" i="263"/>
  <c r="K78" i="263"/>
  <c r="Z78" i="263"/>
  <c r="AJ78" i="263"/>
  <c r="BG78" i="263" s="1"/>
  <c r="AO82" i="263"/>
  <c r="AN82" i="263"/>
  <c r="AI82" i="263"/>
  <c r="AB82" i="263"/>
  <c r="W82" i="263"/>
  <c r="X82" i="263" s="1"/>
  <c r="R82" i="263"/>
  <c r="K82" i="263"/>
  <c r="D82" i="263"/>
  <c r="AM82" i="263"/>
  <c r="BJ82" i="263" s="1"/>
  <c r="AE82" i="263"/>
  <c r="BE82" i="263" s="1"/>
  <c r="F82" i="263"/>
  <c r="AP82" i="263"/>
  <c r="AF82" i="263"/>
  <c r="BF82" i="263" s="1"/>
  <c r="Z82" i="263"/>
  <c r="S82" i="263"/>
  <c r="H82" i="263"/>
  <c r="T82" i="263"/>
  <c r="AJ82" i="263"/>
  <c r="BG82" i="263" s="1"/>
  <c r="Z85" i="263"/>
  <c r="AL88" i="263"/>
  <c r="BI88" i="263" s="1"/>
  <c r="AO89" i="263"/>
  <c r="AM89" i="263"/>
  <c r="BJ89" i="263" s="1"/>
  <c r="AF89" i="263"/>
  <c r="AG89" i="263" s="1"/>
  <c r="AA89" i="263"/>
  <c r="T89" i="263"/>
  <c r="N89" i="263"/>
  <c r="O89" i="263" s="1"/>
  <c r="F89" i="263"/>
  <c r="AN89" i="263"/>
  <c r="AE89" i="263"/>
  <c r="BE89" i="263" s="1"/>
  <c r="W89" i="263"/>
  <c r="X89" i="263" s="1"/>
  <c r="E89" i="263"/>
  <c r="AP89" i="263"/>
  <c r="AI89" i="263"/>
  <c r="Z89" i="263"/>
  <c r="R89" i="263"/>
  <c r="H89" i="263"/>
  <c r="S89" i="263"/>
  <c r="AJ89" i="263"/>
  <c r="BG89" i="263" s="1"/>
  <c r="AQ100" i="263"/>
  <c r="D101" i="263"/>
  <c r="AB101" i="263"/>
  <c r="N51" i="263"/>
  <c r="O51" i="263" s="1"/>
  <c r="AC51" i="263"/>
  <c r="V58" i="263"/>
  <c r="D60" i="263"/>
  <c r="K60" i="263"/>
  <c r="R60" i="263"/>
  <c r="W60" i="263"/>
  <c r="X60" i="263" s="1"/>
  <c r="AB60" i="263"/>
  <c r="AI60" i="263"/>
  <c r="AN60" i="263"/>
  <c r="AT60" i="263"/>
  <c r="D62" i="263"/>
  <c r="V62" i="263"/>
  <c r="AT62" i="263"/>
  <c r="E67" i="263"/>
  <c r="M67" i="263"/>
  <c r="W67" i="263"/>
  <c r="X67" i="263" s="1"/>
  <c r="AE67" i="263"/>
  <c r="BK67" i="263" s="1"/>
  <c r="AN67" i="263"/>
  <c r="L71" i="263"/>
  <c r="T71" i="263"/>
  <c r="AC71" i="263"/>
  <c r="D73" i="263"/>
  <c r="M73" i="263"/>
  <c r="S73" i="263"/>
  <c r="AC73" i="263"/>
  <c r="AM73" i="263"/>
  <c r="BJ73" i="263" s="1"/>
  <c r="AJ79" i="263"/>
  <c r="BG79" i="263" s="1"/>
  <c r="AB79" i="263"/>
  <c r="S79" i="263"/>
  <c r="G79" i="263"/>
  <c r="M79" i="263"/>
  <c r="AM79" i="263"/>
  <c r="BJ79" i="263" s="1"/>
  <c r="AN83" i="263"/>
  <c r="T83" i="263"/>
  <c r="AF83" i="263"/>
  <c r="BF83" i="263" s="1"/>
  <c r="D86" i="263"/>
  <c r="L86" i="263"/>
  <c r="V86" i="263"/>
  <c r="AD86" i="263"/>
  <c r="AO90" i="263"/>
  <c r="AI90" i="263"/>
  <c r="S90" i="263"/>
  <c r="F90" i="263"/>
  <c r="Q90" i="263"/>
  <c r="AM90" i="263"/>
  <c r="BJ90" i="263" s="1"/>
  <c r="AJ91" i="263"/>
  <c r="BG91" i="263" s="1"/>
  <c r="AS92" i="263"/>
  <c r="AC92" i="263"/>
  <c r="AX92" i="263"/>
  <c r="AL92" i="263"/>
  <c r="BI92" i="263" s="1"/>
  <c r="R92" i="263"/>
  <c r="E92" i="263"/>
  <c r="Q92" i="263"/>
  <c r="AM92" i="263"/>
  <c r="BJ92" i="263" s="1"/>
  <c r="E93" i="263"/>
  <c r="AB93" i="263"/>
  <c r="G96" i="263"/>
  <c r="AQ98" i="263"/>
  <c r="L111" i="263"/>
  <c r="H60" i="263"/>
  <c r="V60" i="263"/>
  <c r="AA60" i="263"/>
  <c r="AF60" i="263"/>
  <c r="BF60" i="263" s="1"/>
  <c r="AM60" i="263"/>
  <c r="BJ60" i="263" s="1"/>
  <c r="AR60" i="263"/>
  <c r="Q62" i="263"/>
  <c r="AO62" i="263"/>
  <c r="L67" i="263"/>
  <c r="T67" i="263"/>
  <c r="AC67" i="263"/>
  <c r="K73" i="263"/>
  <c r="R73" i="263"/>
  <c r="AA73" i="263"/>
  <c r="AP86" i="263"/>
  <c r="AM86" i="263"/>
  <c r="BJ86" i="263" s="1"/>
  <c r="AF86" i="263"/>
  <c r="BF86" i="263" s="1"/>
  <c r="AA86" i="263"/>
  <c r="T86" i="263"/>
  <c r="N86" i="263"/>
  <c r="O86" i="263" s="1"/>
  <c r="F86" i="263"/>
  <c r="K86" i="263"/>
  <c r="S86" i="263"/>
  <c r="AB86" i="263"/>
  <c r="AJ86" i="263"/>
  <c r="BG86" i="263" s="1"/>
  <c r="AO93" i="263"/>
  <c r="AP93" i="263"/>
  <c r="AJ93" i="263"/>
  <c r="BG93" i="263" s="1"/>
  <c r="AD93" i="263"/>
  <c r="W93" i="263"/>
  <c r="X93" i="263" s="1"/>
  <c r="Y93" i="263" s="1"/>
  <c r="R93" i="263"/>
  <c r="K93" i="263"/>
  <c r="D93" i="263"/>
  <c r="AQ93" i="263"/>
  <c r="AI93" i="263"/>
  <c r="AA93" i="263"/>
  <c r="S93" i="263"/>
  <c r="H93" i="263"/>
  <c r="N93" i="263"/>
  <c r="O93" i="263" s="1"/>
  <c r="Z93" i="263"/>
  <c r="AL93" i="263"/>
  <c r="BI93" i="263" s="1"/>
  <c r="U95" i="263"/>
  <c r="AP95" i="263"/>
  <c r="AL96" i="263"/>
  <c r="BI96" i="263" s="1"/>
  <c r="N96" i="263"/>
  <c r="O96" i="263" s="1"/>
  <c r="AD96" i="263"/>
  <c r="E96" i="263"/>
  <c r="AO96" i="263"/>
  <c r="AP111" i="263"/>
  <c r="AM111" i="263"/>
  <c r="BJ111" i="263" s="1"/>
  <c r="AE111" i="263"/>
  <c r="BK111" i="263" s="1"/>
  <c r="T111" i="263"/>
  <c r="F111" i="263"/>
  <c r="AI111" i="263"/>
  <c r="W111" i="263"/>
  <c r="X111" i="263" s="1"/>
  <c r="E111" i="263"/>
  <c r="AJ111" i="263"/>
  <c r="BG111" i="263" s="1"/>
  <c r="AA111" i="263"/>
  <c r="K111" i="263"/>
  <c r="AF111" i="263"/>
  <c r="AG111" i="263" s="1"/>
  <c r="AX115" i="263"/>
  <c r="AT115" i="263"/>
  <c r="N115" i="263"/>
  <c r="O115" i="263" s="1"/>
  <c r="V115" i="263"/>
  <c r="AD115" i="263"/>
  <c r="AL115" i="263"/>
  <c r="BI115" i="263" s="1"/>
  <c r="AP81" i="263"/>
  <c r="AO102" i="263"/>
  <c r="AM102" i="263"/>
  <c r="BJ102" i="263" s="1"/>
  <c r="L102" i="263"/>
  <c r="AB102" i="263"/>
  <c r="D105" i="263"/>
  <c r="N105" i="263"/>
  <c r="O105" i="263" s="1"/>
  <c r="V105" i="263"/>
  <c r="AD105" i="263"/>
  <c r="AL105" i="263"/>
  <c r="BI105" i="263" s="1"/>
  <c r="AR105" i="263"/>
  <c r="F106" i="263"/>
  <c r="W106" i="263"/>
  <c r="X106" i="263" s="1"/>
  <c r="AF106" i="263"/>
  <c r="BF106" i="263" s="1"/>
  <c r="D110" i="263"/>
  <c r="N110" i="263"/>
  <c r="O110" i="263" s="1"/>
  <c r="W110" i="263"/>
  <c r="X110" i="263" s="1"/>
  <c r="AE110" i="263"/>
  <c r="AM110" i="263"/>
  <c r="BJ110" i="263" s="1"/>
  <c r="K113" i="263"/>
  <c r="AE113" i="263"/>
  <c r="BE113" i="263" s="1"/>
  <c r="AJ103" i="263"/>
  <c r="BG103" i="263" s="1"/>
  <c r="G103" i="263"/>
  <c r="AO103" i="263"/>
  <c r="AU105" i="263"/>
  <c r="AP105" i="263"/>
  <c r="AJ105" i="263"/>
  <c r="BG105" i="263" s="1"/>
  <c r="AE105" i="263"/>
  <c r="BE105" i="263" s="1"/>
  <c r="Z105" i="263"/>
  <c r="S105" i="263"/>
  <c r="L105" i="263"/>
  <c r="E105" i="263"/>
  <c r="K105" i="263"/>
  <c r="T105" i="263"/>
  <c r="AB105" i="263"/>
  <c r="AI105" i="263"/>
  <c r="AQ105" i="263"/>
  <c r="AX105" i="263"/>
  <c r="AX106" i="263"/>
  <c r="AQ106" i="263"/>
  <c r="AI106" i="263"/>
  <c r="AA106" i="263"/>
  <c r="S106" i="263"/>
  <c r="E106" i="263"/>
  <c r="T106" i="263"/>
  <c r="AE106" i="263"/>
  <c r="BK106" i="263" s="1"/>
  <c r="AN106" i="263"/>
  <c r="AV110" i="263"/>
  <c r="AQ110" i="263"/>
  <c r="AL110" i="263"/>
  <c r="BI110" i="263" s="1"/>
  <c r="AF110" i="263"/>
  <c r="AA110" i="263"/>
  <c r="T110" i="263"/>
  <c r="L110" i="263"/>
  <c r="E110" i="263"/>
  <c r="K110" i="263"/>
  <c r="V110" i="263"/>
  <c r="AD110" i="263"/>
  <c r="AJ110" i="263"/>
  <c r="BG110" i="263" s="1"/>
  <c r="AR110" i="263"/>
  <c r="AX113" i="263"/>
  <c r="AQ113" i="263"/>
  <c r="AI113" i="263"/>
  <c r="AA113" i="263"/>
  <c r="S113" i="263"/>
  <c r="E113" i="263"/>
  <c r="AR113" i="263"/>
  <c r="AJ113" i="263"/>
  <c r="BG113" i="263" s="1"/>
  <c r="AB113" i="263"/>
  <c r="T113" i="263"/>
  <c r="F113" i="263"/>
  <c r="AN113" i="263"/>
  <c r="K116" i="263"/>
  <c r="S116" i="263"/>
  <c r="AA116" i="263"/>
  <c r="AL116" i="263"/>
  <c r="BI116" i="263" s="1"/>
  <c r="E117" i="263"/>
  <c r="S117" i="263"/>
  <c r="AB117" i="263"/>
  <c r="AJ117" i="263"/>
  <c r="BG117" i="263" s="1"/>
  <c r="AB118" i="263"/>
  <c r="H97" i="263"/>
  <c r="Z97" i="263"/>
  <c r="AF97" i="263"/>
  <c r="V104" i="263"/>
  <c r="K109" i="263"/>
  <c r="R109" i="263"/>
  <c r="AA109" i="263"/>
  <c r="AF114" i="263"/>
  <c r="H116" i="263"/>
  <c r="R116" i="263"/>
  <c r="Z116" i="263"/>
  <c r="AI116" i="263"/>
  <c r="AQ116" i="263"/>
  <c r="L117" i="263"/>
  <c r="AA117" i="263"/>
  <c r="AI117" i="263"/>
  <c r="AQ117" i="263"/>
  <c r="T118" i="263"/>
  <c r="AN118" i="263"/>
  <c r="L45" i="263"/>
  <c r="T45" i="263"/>
  <c r="AB45" i="263"/>
  <c r="G46" i="263"/>
  <c r="Q46" i="263"/>
  <c r="AO46" i="263"/>
  <c r="AQ45" i="263"/>
  <c r="AM45" i="263"/>
  <c r="BJ45" i="263" s="1"/>
  <c r="AI45" i="263"/>
  <c r="AE45" i="263"/>
  <c r="AA45" i="263"/>
  <c r="W45" i="263"/>
  <c r="X45" i="263" s="1"/>
  <c r="S45" i="263"/>
  <c r="K45" i="263"/>
  <c r="E45" i="263"/>
  <c r="AP45" i="263"/>
  <c r="AL45" i="263"/>
  <c r="BI45" i="263" s="1"/>
  <c r="Z45" i="263"/>
  <c r="V45" i="263"/>
  <c r="N45" i="263"/>
  <c r="O45" i="263" s="1"/>
  <c r="D45" i="263"/>
  <c r="AD45" i="263"/>
  <c r="R45" i="263"/>
  <c r="BB45" i="263" s="1"/>
  <c r="H45" i="263"/>
  <c r="M45" i="263"/>
  <c r="U45" i="263"/>
  <c r="AC45" i="263"/>
  <c r="AK45" i="263"/>
  <c r="BH45" i="263" s="1"/>
  <c r="H46" i="263"/>
  <c r="R46" i="263"/>
  <c r="Z46" i="263"/>
  <c r="AN46" i="263"/>
  <c r="AJ46" i="263"/>
  <c r="BG46" i="263" s="1"/>
  <c r="AF46" i="263"/>
  <c r="AB46" i="263"/>
  <c r="T46" i="263"/>
  <c r="L46" i="263"/>
  <c r="F46" i="263"/>
  <c r="AQ46" i="263"/>
  <c r="AM46" i="263"/>
  <c r="BJ46" i="263" s="1"/>
  <c r="AE46" i="263"/>
  <c r="AA46" i="263"/>
  <c r="S46" i="263"/>
  <c r="E46" i="263"/>
  <c r="AI46" i="263"/>
  <c r="W46" i="263"/>
  <c r="X46" i="263" s="1"/>
  <c r="K46" i="263"/>
  <c r="M46" i="263"/>
  <c r="U46" i="263"/>
  <c r="AC46" i="263"/>
  <c r="AK46" i="263"/>
  <c r="BH46" i="263" s="1"/>
  <c r="AQ76" i="263"/>
  <c r="AM76" i="263"/>
  <c r="BJ76" i="263" s="1"/>
  <c r="AI76" i="263"/>
  <c r="AE76" i="263"/>
  <c r="AA76" i="263"/>
  <c r="W76" i="263"/>
  <c r="X76" i="263" s="1"/>
  <c r="S76" i="263"/>
  <c r="K76" i="263"/>
  <c r="E76" i="263"/>
  <c r="AO76" i="263"/>
  <c r="AJ76" i="263"/>
  <c r="BG76" i="263" s="1"/>
  <c r="AD76" i="263"/>
  <c r="T76" i="263"/>
  <c r="N76" i="263"/>
  <c r="O76" i="263" s="1"/>
  <c r="G76" i="263"/>
  <c r="AN76" i="263"/>
  <c r="AC76" i="263"/>
  <c r="R76" i="263"/>
  <c r="M76" i="263"/>
  <c r="F76" i="263"/>
  <c r="AL76" i="263"/>
  <c r="BI76" i="263" s="1"/>
  <c r="AB76" i="263"/>
  <c r="V76" i="263"/>
  <c r="Q76" i="263"/>
  <c r="L76" i="263"/>
  <c r="D76" i="263"/>
  <c r="Z76" i="263"/>
  <c r="Z80" i="263"/>
  <c r="AV80" i="263"/>
  <c r="G48" i="263"/>
  <c r="M48" i="263"/>
  <c r="Q48" i="263"/>
  <c r="U48" i="263"/>
  <c r="AC48" i="263"/>
  <c r="AK48" i="263"/>
  <c r="BH48" i="263" s="1"/>
  <c r="AP48" i="263"/>
  <c r="K49" i="263"/>
  <c r="AA49" i="263"/>
  <c r="M50" i="263"/>
  <c r="AC50" i="263"/>
  <c r="AN50" i="263"/>
  <c r="AN51" i="263"/>
  <c r="AJ51" i="263"/>
  <c r="BG51" i="263" s="1"/>
  <c r="AF51" i="263"/>
  <c r="AB51" i="263"/>
  <c r="T51" i="263"/>
  <c r="L51" i="263"/>
  <c r="F51" i="263"/>
  <c r="H51" i="263"/>
  <c r="U51" i="263"/>
  <c r="Z51" i="263"/>
  <c r="AE51" i="263"/>
  <c r="AK51" i="263"/>
  <c r="BH51" i="263" s="1"/>
  <c r="AP51" i="263"/>
  <c r="AP53" i="263"/>
  <c r="AL53" i="263"/>
  <c r="BI53" i="263" s="1"/>
  <c r="AD53" i="263"/>
  <c r="Z53" i="263"/>
  <c r="V53" i="263"/>
  <c r="R53" i="263"/>
  <c r="N53" i="263"/>
  <c r="O53" i="263" s="1"/>
  <c r="H53" i="263"/>
  <c r="D53" i="263"/>
  <c r="K53" i="263"/>
  <c r="U53" i="263"/>
  <c r="AA53" i="263"/>
  <c r="AF53" i="263"/>
  <c r="AK53" i="263"/>
  <c r="AZ53" i="263" s="1"/>
  <c r="AQ53" i="263"/>
  <c r="F54" i="263"/>
  <c r="M54" i="263"/>
  <c r="R54" i="263"/>
  <c r="AC54" i="263"/>
  <c r="AN54" i="263"/>
  <c r="AS54" i="263"/>
  <c r="AX54" i="263"/>
  <c r="D55" i="263"/>
  <c r="K55" i="263"/>
  <c r="Q55" i="263"/>
  <c r="V55" i="263"/>
  <c r="AA55" i="263"/>
  <c r="AL55" i="263"/>
  <c r="BI55" i="263" s="1"/>
  <c r="AP57" i="263"/>
  <c r="AL57" i="263"/>
  <c r="BI57" i="263" s="1"/>
  <c r="AD57" i="263"/>
  <c r="Z57" i="263"/>
  <c r="V57" i="263"/>
  <c r="R57" i="263"/>
  <c r="N57" i="263"/>
  <c r="O57" i="263" s="1"/>
  <c r="H57" i="263"/>
  <c r="D57" i="263"/>
  <c r="K57" i="263"/>
  <c r="U57" i="263"/>
  <c r="AA57" i="263"/>
  <c r="AF57" i="263"/>
  <c r="AK57" i="263"/>
  <c r="AZ57" i="263" s="1"/>
  <c r="AQ57" i="263"/>
  <c r="F58" i="263"/>
  <c r="M58" i="263"/>
  <c r="R58" i="263"/>
  <c r="AC58" i="263"/>
  <c r="AN58" i="263"/>
  <c r="AS58" i="263"/>
  <c r="AX58" i="263"/>
  <c r="E59" i="263"/>
  <c r="M59" i="263"/>
  <c r="R59" i="263"/>
  <c r="W59" i="263"/>
  <c r="X59" i="263" s="1"/>
  <c r="AC59" i="263"/>
  <c r="AM59" i="263"/>
  <c r="BJ59" i="263" s="1"/>
  <c r="AQ61" i="263"/>
  <c r="AM61" i="263"/>
  <c r="BJ61" i="263" s="1"/>
  <c r="AI61" i="263"/>
  <c r="AE61" i="263"/>
  <c r="AA61" i="263"/>
  <c r="W61" i="263"/>
  <c r="X61" i="263" s="1"/>
  <c r="S61" i="263"/>
  <c r="K61" i="263"/>
  <c r="E61" i="263"/>
  <c r="AP61" i="263"/>
  <c r="AL61" i="263"/>
  <c r="BI61" i="263" s="1"/>
  <c r="AD61" i="263"/>
  <c r="Z61" i="263"/>
  <c r="V61" i="263"/>
  <c r="R61" i="263"/>
  <c r="N61" i="263"/>
  <c r="O61" i="263" s="1"/>
  <c r="H61" i="263"/>
  <c r="D61" i="263"/>
  <c r="M61" i="263"/>
  <c r="U61" i="263"/>
  <c r="AC61" i="263"/>
  <c r="AK61" i="263"/>
  <c r="H62" i="263"/>
  <c r="R62" i="263"/>
  <c r="Z62" i="263"/>
  <c r="AP62" i="263"/>
  <c r="M66" i="263"/>
  <c r="AC66" i="263"/>
  <c r="AK68" i="263"/>
  <c r="AK72" i="263"/>
  <c r="H76" i="263"/>
  <c r="AF76" i="263"/>
  <c r="H80" i="263"/>
  <c r="AF80" i="263"/>
  <c r="AN55" i="263"/>
  <c r="AJ55" i="263"/>
  <c r="BG55" i="263" s="1"/>
  <c r="AF55" i="263"/>
  <c r="AB55" i="263"/>
  <c r="T55" i="263"/>
  <c r="L55" i="263"/>
  <c r="F55" i="263"/>
  <c r="H55" i="263"/>
  <c r="U55" i="263"/>
  <c r="Z55" i="263"/>
  <c r="AE55" i="263"/>
  <c r="AK55" i="263"/>
  <c r="BH55" i="263" s="1"/>
  <c r="AP55" i="263"/>
  <c r="AU80" i="263"/>
  <c r="AQ80" i="263"/>
  <c r="AM80" i="263"/>
  <c r="BJ80" i="263" s="1"/>
  <c r="AI80" i="263"/>
  <c r="AE80" i="263"/>
  <c r="AA80" i="263"/>
  <c r="W80" i="263"/>
  <c r="X80" i="263" s="1"/>
  <c r="S80" i="263"/>
  <c r="K80" i="263"/>
  <c r="E80" i="263"/>
  <c r="AT80" i="263"/>
  <c r="AO80" i="263"/>
  <c r="AJ80" i="263"/>
  <c r="BG80" i="263" s="1"/>
  <c r="AD80" i="263"/>
  <c r="T80" i="263"/>
  <c r="N80" i="263"/>
  <c r="O80" i="263" s="1"/>
  <c r="G80" i="263"/>
  <c r="AX80" i="263"/>
  <c r="AS80" i="263"/>
  <c r="AN80" i="263"/>
  <c r="AC80" i="263"/>
  <c r="R80" i="263"/>
  <c r="M80" i="263"/>
  <c r="F80" i="263"/>
  <c r="AW80" i="263"/>
  <c r="AR80" i="263"/>
  <c r="AL80" i="263"/>
  <c r="BI80" i="263" s="1"/>
  <c r="AB80" i="263"/>
  <c r="V80" i="263"/>
  <c r="Q80" i="263"/>
  <c r="L80" i="263"/>
  <c r="D80" i="263"/>
  <c r="AP49" i="263"/>
  <c r="AL49" i="263"/>
  <c r="BI49" i="263" s="1"/>
  <c r="AD49" i="263"/>
  <c r="Z49" i="263"/>
  <c r="V49" i="263"/>
  <c r="R49" i="263"/>
  <c r="N49" i="263"/>
  <c r="O49" i="263" s="1"/>
  <c r="H49" i="263"/>
  <c r="D49" i="263"/>
  <c r="U49" i="263"/>
  <c r="AF49" i="263"/>
  <c r="AQ49" i="263"/>
  <c r="F50" i="263"/>
  <c r="R50" i="263"/>
  <c r="G47" i="263"/>
  <c r="M47" i="263"/>
  <c r="Q47" i="263"/>
  <c r="U47" i="263"/>
  <c r="AC47" i="263"/>
  <c r="AK47" i="263"/>
  <c r="BH47" i="263" s="1"/>
  <c r="D48" i="263"/>
  <c r="H48" i="263"/>
  <c r="N48" i="263"/>
  <c r="O48" i="263" s="1"/>
  <c r="R48" i="263"/>
  <c r="V48" i="263"/>
  <c r="Z48" i="263"/>
  <c r="AD48" i="263"/>
  <c r="AL48" i="263"/>
  <c r="BI48" i="263" s="1"/>
  <c r="AQ48" i="263"/>
  <c r="E49" i="263"/>
  <c r="L49" i="263"/>
  <c r="Q49" i="263"/>
  <c r="W49" i="263"/>
  <c r="X49" i="263" s="1"/>
  <c r="Y49" i="263" s="1"/>
  <c r="AB49" i="263"/>
  <c r="AM49" i="263"/>
  <c r="BJ49" i="263" s="1"/>
  <c r="G50" i="263"/>
  <c r="N50" i="263"/>
  <c r="O50" i="263" s="1"/>
  <c r="T50" i="263"/>
  <c r="AD50" i="263"/>
  <c r="AJ50" i="263"/>
  <c r="BG50" i="263" s="1"/>
  <c r="D51" i="263"/>
  <c r="K51" i="263"/>
  <c r="Q51" i="263"/>
  <c r="V51" i="263"/>
  <c r="AA51" i="263"/>
  <c r="AL51" i="263"/>
  <c r="BI51" i="263" s="1"/>
  <c r="AQ51" i="263"/>
  <c r="E53" i="263"/>
  <c r="L53" i="263"/>
  <c r="Q53" i="263"/>
  <c r="W53" i="263"/>
  <c r="X53" i="263" s="1"/>
  <c r="AB53" i="263"/>
  <c r="AM53" i="263"/>
  <c r="BJ53" i="263" s="1"/>
  <c r="G54" i="263"/>
  <c r="N54" i="263"/>
  <c r="O54" i="263" s="1"/>
  <c r="T54" i="263"/>
  <c r="AD54" i="263"/>
  <c r="AJ54" i="263"/>
  <c r="AY54" i="263" s="1"/>
  <c r="AO54" i="263"/>
  <c r="AT54" i="263"/>
  <c r="E55" i="263"/>
  <c r="M55" i="263"/>
  <c r="R55" i="263"/>
  <c r="W55" i="263"/>
  <c r="X55" i="263" s="1"/>
  <c r="AC55" i="263"/>
  <c r="AM55" i="263"/>
  <c r="BJ55" i="263" s="1"/>
  <c r="E57" i="263"/>
  <c r="L57" i="263"/>
  <c r="Q57" i="263"/>
  <c r="W57" i="263"/>
  <c r="X57" i="263" s="1"/>
  <c r="AB57" i="263"/>
  <c r="AM57" i="263"/>
  <c r="BJ57" i="263" s="1"/>
  <c r="G58" i="263"/>
  <c r="N58" i="263"/>
  <c r="O58" i="263" s="1"/>
  <c r="T58" i="263"/>
  <c r="AD58" i="263"/>
  <c r="AJ58" i="263"/>
  <c r="BG58" i="263" s="1"/>
  <c r="AO58" i="263"/>
  <c r="AT58" i="263"/>
  <c r="G59" i="263"/>
  <c r="N59" i="263"/>
  <c r="O59" i="263" s="1"/>
  <c r="S59" i="263"/>
  <c r="AD59" i="263"/>
  <c r="AI59" i="263"/>
  <c r="AV62" i="263"/>
  <c r="AR62" i="263"/>
  <c r="AN62" i="263"/>
  <c r="AJ62" i="263"/>
  <c r="BG62" i="263" s="1"/>
  <c r="AF62" i="263"/>
  <c r="AB62" i="263"/>
  <c r="T62" i="263"/>
  <c r="L62" i="263"/>
  <c r="F62" i="263"/>
  <c r="AU62" i="263"/>
  <c r="AQ62" i="263"/>
  <c r="AM62" i="263"/>
  <c r="BJ62" i="263" s="1"/>
  <c r="AI62" i="263"/>
  <c r="AE62" i="263"/>
  <c r="AA62" i="263"/>
  <c r="W62" i="263"/>
  <c r="X62" i="263" s="1"/>
  <c r="S62" i="263"/>
  <c r="K62" i="263"/>
  <c r="E62" i="263"/>
  <c r="M62" i="263"/>
  <c r="U62" i="263"/>
  <c r="AC62" i="263"/>
  <c r="AK62" i="263"/>
  <c r="BH62" i="263" s="1"/>
  <c r="AS62" i="263"/>
  <c r="U68" i="263"/>
  <c r="U72" i="263"/>
  <c r="AK76" i="263"/>
  <c r="BH76" i="263" s="1"/>
  <c r="AK80" i="263"/>
  <c r="BH80" i="263" s="1"/>
  <c r="AZ84" i="263"/>
  <c r="AV84" i="263"/>
  <c r="AR84" i="263"/>
  <c r="AN84" i="263"/>
  <c r="AJ84" i="263"/>
  <c r="BG84" i="263" s="1"/>
  <c r="AF84" i="263"/>
  <c r="AB84" i="263"/>
  <c r="T84" i="263"/>
  <c r="L84" i="263"/>
  <c r="F84" i="263"/>
  <c r="AU84" i="263"/>
  <c r="AQ84" i="263"/>
  <c r="AM84" i="263"/>
  <c r="BJ84" i="263" s="1"/>
  <c r="AI84" i="263"/>
  <c r="AE84" i="263"/>
  <c r="AA84" i="263"/>
  <c r="W84" i="263"/>
  <c r="X84" i="263" s="1"/>
  <c r="S84" i="263"/>
  <c r="BC84" i="263" s="1"/>
  <c r="K84" i="263"/>
  <c r="E84" i="263"/>
  <c r="AX84" i="263"/>
  <c r="AT84" i="263"/>
  <c r="AP84" i="263"/>
  <c r="AL84" i="263"/>
  <c r="BI84" i="263" s="1"/>
  <c r="AD84" i="263"/>
  <c r="Z84" i="263"/>
  <c r="V84" i="263"/>
  <c r="R84" i="263"/>
  <c r="N84" i="263"/>
  <c r="O84" i="263" s="1"/>
  <c r="H84" i="263"/>
  <c r="D84" i="263"/>
  <c r="AW84" i="263"/>
  <c r="Q84" i="263"/>
  <c r="AS84" i="263"/>
  <c r="AC84" i="263"/>
  <c r="M84" i="263"/>
  <c r="AO84" i="263"/>
  <c r="G84" i="263"/>
  <c r="AQ50" i="263"/>
  <c r="AM50" i="263"/>
  <c r="BJ50" i="263" s="1"/>
  <c r="AI50" i="263"/>
  <c r="AE50" i="263"/>
  <c r="AA50" i="263"/>
  <c r="W50" i="263"/>
  <c r="X50" i="263" s="1"/>
  <c r="S50" i="263"/>
  <c r="K50" i="263"/>
  <c r="E50" i="263"/>
  <c r="H50" i="263"/>
  <c r="U50" i="263"/>
  <c r="Z50" i="263"/>
  <c r="AF50" i="263"/>
  <c r="AK50" i="263"/>
  <c r="BH50" i="263" s="1"/>
  <c r="AP50" i="263"/>
  <c r="AU54" i="263"/>
  <c r="AQ54" i="263"/>
  <c r="AM54" i="263"/>
  <c r="AI54" i="263"/>
  <c r="AE54" i="263"/>
  <c r="BK54" i="263" s="1"/>
  <c r="AA54" i="263"/>
  <c r="W54" i="263"/>
  <c r="X54" i="263" s="1"/>
  <c r="S54" i="263"/>
  <c r="K54" i="263"/>
  <c r="E54" i="263"/>
  <c r="H54" i="263"/>
  <c r="U54" i="263"/>
  <c r="Z54" i="263"/>
  <c r="AF54" i="263"/>
  <c r="AG54" i="263" s="1"/>
  <c r="AK54" i="263"/>
  <c r="AZ54" i="263" s="1"/>
  <c r="AP54" i="263"/>
  <c r="AV54" i="263"/>
  <c r="G55" i="263"/>
  <c r="N55" i="263"/>
  <c r="O55" i="263" s="1"/>
  <c r="S55" i="263"/>
  <c r="AD55" i="263"/>
  <c r="AI55" i="263"/>
  <c r="AO55" i="263"/>
  <c r="AU58" i="263"/>
  <c r="AQ58" i="263"/>
  <c r="AM58" i="263"/>
  <c r="BJ58" i="263" s="1"/>
  <c r="AI58" i="263"/>
  <c r="AE58" i="263"/>
  <c r="AA58" i="263"/>
  <c r="W58" i="263"/>
  <c r="X58" i="263" s="1"/>
  <c r="S58" i="263"/>
  <c r="K58" i="263"/>
  <c r="E58" i="263"/>
  <c r="H58" i="263"/>
  <c r="U58" i="263"/>
  <c r="Z58" i="263"/>
  <c r="AF58" i="263"/>
  <c r="AK58" i="263"/>
  <c r="BH58" i="263" s="1"/>
  <c r="AP58" i="263"/>
  <c r="AV58" i="263"/>
  <c r="AN59" i="263"/>
  <c r="AJ59" i="263"/>
  <c r="BG59" i="263" s="1"/>
  <c r="AF59" i="263"/>
  <c r="AB59" i="263"/>
  <c r="T59" i="263"/>
  <c r="L59" i="263"/>
  <c r="F59" i="263"/>
  <c r="H59" i="263"/>
  <c r="U59" i="263"/>
  <c r="Z59" i="263"/>
  <c r="AE59" i="263"/>
  <c r="AK59" i="263"/>
  <c r="AP59" i="263"/>
  <c r="AN66" i="263"/>
  <c r="AJ66" i="263"/>
  <c r="BG66" i="263" s="1"/>
  <c r="AF66" i="263"/>
  <c r="AB66" i="263"/>
  <c r="T66" i="263"/>
  <c r="L66" i="263"/>
  <c r="F66" i="263"/>
  <c r="AQ66" i="263"/>
  <c r="AM66" i="263"/>
  <c r="BJ66" i="263" s="1"/>
  <c r="AI66" i="263"/>
  <c r="AE66" i="263"/>
  <c r="AA66" i="263"/>
  <c r="W66" i="263"/>
  <c r="X66" i="263" s="1"/>
  <c r="S66" i="263"/>
  <c r="K66" i="263"/>
  <c r="E66" i="263"/>
  <c r="AP66" i="263"/>
  <c r="AL66" i="263"/>
  <c r="BI66" i="263" s="1"/>
  <c r="AD66" i="263"/>
  <c r="Z66" i="263"/>
  <c r="V66" i="263"/>
  <c r="R66" i="263"/>
  <c r="N66" i="263"/>
  <c r="O66" i="263" s="1"/>
  <c r="H66" i="263"/>
  <c r="D66" i="263"/>
  <c r="U66" i="263"/>
  <c r="AK66" i="263"/>
  <c r="BH66" i="263" s="1"/>
  <c r="AQ68" i="263"/>
  <c r="AM68" i="263"/>
  <c r="BJ68" i="263" s="1"/>
  <c r="AI68" i="263"/>
  <c r="AE68" i="263"/>
  <c r="AA68" i="263"/>
  <c r="W68" i="263"/>
  <c r="X68" i="263" s="1"/>
  <c r="S68" i="263"/>
  <c r="K68" i="263"/>
  <c r="E68" i="263"/>
  <c r="AO68" i="263"/>
  <c r="AJ68" i="263"/>
  <c r="BG68" i="263" s="1"/>
  <c r="AD68" i="263"/>
  <c r="T68" i="263"/>
  <c r="N68" i="263"/>
  <c r="O68" i="263" s="1"/>
  <c r="G68" i="263"/>
  <c r="AN68" i="263"/>
  <c r="AC68" i="263"/>
  <c r="R68" i="263"/>
  <c r="M68" i="263"/>
  <c r="F68" i="263"/>
  <c r="AL68" i="263"/>
  <c r="BI68" i="263" s="1"/>
  <c r="AB68" i="263"/>
  <c r="V68" i="263"/>
  <c r="Q68" i="263"/>
  <c r="L68" i="263"/>
  <c r="D68" i="263"/>
  <c r="Z68" i="263"/>
  <c r="AQ72" i="263"/>
  <c r="AM72" i="263"/>
  <c r="BJ72" i="263" s="1"/>
  <c r="AI72" i="263"/>
  <c r="AE72" i="263"/>
  <c r="AA72" i="263"/>
  <c r="W72" i="263"/>
  <c r="X72" i="263" s="1"/>
  <c r="S72" i="263"/>
  <c r="K72" i="263"/>
  <c r="E72" i="263"/>
  <c r="AO72" i="263"/>
  <c r="AJ72" i="263"/>
  <c r="BG72" i="263" s="1"/>
  <c r="AD72" i="263"/>
  <c r="T72" i="263"/>
  <c r="N72" i="263"/>
  <c r="O72" i="263" s="1"/>
  <c r="G72" i="263"/>
  <c r="AN72" i="263"/>
  <c r="AC72" i="263"/>
  <c r="R72" i="263"/>
  <c r="M72" i="263"/>
  <c r="F72" i="263"/>
  <c r="AL72" i="263"/>
  <c r="BI72" i="263" s="1"/>
  <c r="AB72" i="263"/>
  <c r="V72" i="263"/>
  <c r="Q72" i="263"/>
  <c r="L72" i="263"/>
  <c r="D72" i="263"/>
  <c r="Z72" i="263"/>
  <c r="U76" i="263"/>
  <c r="AP76" i="263"/>
  <c r="U80" i="263"/>
  <c r="AP80" i="263"/>
  <c r="AN81" i="263"/>
  <c r="AJ81" i="263"/>
  <c r="BG81" i="263" s="1"/>
  <c r="AF81" i="263"/>
  <c r="AB81" i="263"/>
  <c r="T81" i="263"/>
  <c r="L81" i="263"/>
  <c r="F81" i="263"/>
  <c r="AO81" i="263"/>
  <c r="AI81" i="263"/>
  <c r="AD81" i="263"/>
  <c r="S81" i="263"/>
  <c r="N81" i="263"/>
  <c r="O81" i="263" s="1"/>
  <c r="G81" i="263"/>
  <c r="AM81" i="263"/>
  <c r="BJ81" i="263" s="1"/>
  <c r="AC81" i="263"/>
  <c r="W81" i="263"/>
  <c r="X81" i="263" s="1"/>
  <c r="R81" i="263"/>
  <c r="M81" i="263"/>
  <c r="E81" i="263"/>
  <c r="AQ81" i="263"/>
  <c r="AL81" i="263"/>
  <c r="BI81" i="263" s="1"/>
  <c r="AA81" i="263"/>
  <c r="V81" i="263"/>
  <c r="Q81" i="263"/>
  <c r="K81" i="263"/>
  <c r="D81" i="263"/>
  <c r="Z81" i="263"/>
  <c r="U84" i="263"/>
  <c r="G65" i="263"/>
  <c r="M65" i="263"/>
  <c r="Q65" i="263"/>
  <c r="U65" i="263"/>
  <c r="AC65" i="263"/>
  <c r="AK65" i="263"/>
  <c r="AO65" i="263"/>
  <c r="AS65" i="263"/>
  <c r="AW65" i="263"/>
  <c r="AK94" i="263"/>
  <c r="BH94" i="263" s="1"/>
  <c r="AQ99" i="263"/>
  <c r="AM99" i="263"/>
  <c r="AI99" i="263"/>
  <c r="AE99" i="263"/>
  <c r="BK99" i="263" s="1"/>
  <c r="AA99" i="263"/>
  <c r="W99" i="263"/>
  <c r="X99" i="263" s="1"/>
  <c r="S99" i="263"/>
  <c r="K99" i="263"/>
  <c r="E99" i="263"/>
  <c r="AO99" i="263"/>
  <c r="AJ99" i="263"/>
  <c r="AY99" i="263" s="1"/>
  <c r="AD99" i="263"/>
  <c r="T99" i="263"/>
  <c r="N99" i="263"/>
  <c r="O99" i="263" s="1"/>
  <c r="G99" i="263"/>
  <c r="AN99" i="263"/>
  <c r="AC99" i="263"/>
  <c r="R99" i="263"/>
  <c r="M99" i="263"/>
  <c r="F99" i="263"/>
  <c r="AL99" i="263"/>
  <c r="AB99" i="263"/>
  <c r="V99" i="263"/>
  <c r="Q99" i="263"/>
  <c r="L99" i="263"/>
  <c r="D99" i="263"/>
  <c r="AP99" i="263"/>
  <c r="U99" i="263"/>
  <c r="AK99" i="263"/>
  <c r="AZ99" i="263" s="1"/>
  <c r="AF99" i="263"/>
  <c r="AG99" i="263" s="1"/>
  <c r="H99" i="263"/>
  <c r="G52" i="263"/>
  <c r="M52" i="263"/>
  <c r="Q52" i="263"/>
  <c r="U52" i="263"/>
  <c r="AC52" i="263"/>
  <c r="AK52" i="263"/>
  <c r="BH52" i="263" s="1"/>
  <c r="G56" i="263"/>
  <c r="M56" i="263"/>
  <c r="Q56" i="263"/>
  <c r="U56" i="263"/>
  <c r="AC56" i="263"/>
  <c r="AK56" i="263"/>
  <c r="AO56" i="263"/>
  <c r="AS56" i="263"/>
  <c r="AW56" i="263"/>
  <c r="G60" i="263"/>
  <c r="M60" i="263"/>
  <c r="Q60" i="263"/>
  <c r="U60" i="263"/>
  <c r="AC60" i="263"/>
  <c r="AK60" i="263"/>
  <c r="AO60" i="263"/>
  <c r="AS60" i="263"/>
  <c r="AW60" i="263"/>
  <c r="F63" i="263"/>
  <c r="L63" i="263"/>
  <c r="T63" i="263"/>
  <c r="AB63" i="263"/>
  <c r="AF63" i="263"/>
  <c r="AJ63" i="263"/>
  <c r="BG63" i="263" s="1"/>
  <c r="AN63" i="263"/>
  <c r="G64" i="263"/>
  <c r="M64" i="263"/>
  <c r="Q64" i="263"/>
  <c r="U64" i="263"/>
  <c r="AC64" i="263"/>
  <c r="AK64" i="263"/>
  <c r="AZ64" i="263" s="1"/>
  <c r="D65" i="263"/>
  <c r="H65" i="263"/>
  <c r="N65" i="263"/>
  <c r="O65" i="263" s="1"/>
  <c r="R65" i="263"/>
  <c r="V65" i="263"/>
  <c r="Z65" i="263"/>
  <c r="AD65" i="263"/>
  <c r="AL65" i="263"/>
  <c r="BI65" i="263" s="1"/>
  <c r="AP65" i="263"/>
  <c r="AT65" i="263"/>
  <c r="AX65" i="263"/>
  <c r="AP67" i="263"/>
  <c r="AL67" i="263"/>
  <c r="BI67" i="263" s="1"/>
  <c r="AD67" i="263"/>
  <c r="Z67" i="263"/>
  <c r="V67" i="263"/>
  <c r="R67" i="263"/>
  <c r="N67" i="263"/>
  <c r="O67" i="263" s="1"/>
  <c r="H67" i="263"/>
  <c r="D67" i="263"/>
  <c r="K67" i="263"/>
  <c r="U67" i="263"/>
  <c r="AA67" i="263"/>
  <c r="AF67" i="263"/>
  <c r="AK67" i="263"/>
  <c r="AQ67" i="263"/>
  <c r="AN69" i="263"/>
  <c r="AJ69" i="263"/>
  <c r="BG69" i="263" s="1"/>
  <c r="AF69" i="263"/>
  <c r="AB69" i="263"/>
  <c r="T69" i="263"/>
  <c r="L69" i="263"/>
  <c r="F69" i="263"/>
  <c r="H69" i="263"/>
  <c r="U69" i="263"/>
  <c r="Z69" i="263"/>
  <c r="AE69" i="263"/>
  <c r="AK69" i="263"/>
  <c r="AP69" i="263"/>
  <c r="AP71" i="263"/>
  <c r="AL71" i="263"/>
  <c r="BI71" i="263" s="1"/>
  <c r="AD71" i="263"/>
  <c r="Z71" i="263"/>
  <c r="V71" i="263"/>
  <c r="R71" i="263"/>
  <c r="N71" i="263"/>
  <c r="O71" i="263" s="1"/>
  <c r="H71" i="263"/>
  <c r="D71" i="263"/>
  <c r="K71" i="263"/>
  <c r="U71" i="263"/>
  <c r="AA71" i="263"/>
  <c r="AF71" i="263"/>
  <c r="AK71" i="263"/>
  <c r="AQ71" i="263"/>
  <c r="AN73" i="263"/>
  <c r="AJ73" i="263"/>
  <c r="BG73" i="263" s="1"/>
  <c r="AF73" i="263"/>
  <c r="AB73" i="263"/>
  <c r="T73" i="263"/>
  <c r="L73" i="263"/>
  <c r="F73" i="263"/>
  <c r="H73" i="263"/>
  <c r="U73" i="263"/>
  <c r="Z73" i="263"/>
  <c r="AE73" i="263"/>
  <c r="AK73" i="263"/>
  <c r="AP73" i="263"/>
  <c r="AX75" i="263"/>
  <c r="AT75" i="263"/>
  <c r="AP75" i="263"/>
  <c r="AL75" i="263"/>
  <c r="AD75" i="263"/>
  <c r="Z75" i="263"/>
  <c r="V75" i="263"/>
  <c r="R75" i="263"/>
  <c r="N75" i="263"/>
  <c r="O75" i="263" s="1"/>
  <c r="H75" i="263"/>
  <c r="D75" i="263"/>
  <c r="K75" i="263"/>
  <c r="U75" i="263"/>
  <c r="AA75" i="263"/>
  <c r="AF75" i="263"/>
  <c r="AG75" i="263" s="1"/>
  <c r="AK75" i="263"/>
  <c r="AZ75" i="263" s="1"/>
  <c r="AQ75" i="263"/>
  <c r="AV75" i="263"/>
  <c r="AN77" i="263"/>
  <c r="AJ77" i="263"/>
  <c r="BG77" i="263" s="1"/>
  <c r="AF77" i="263"/>
  <c r="AB77" i="263"/>
  <c r="T77" i="263"/>
  <c r="L77" i="263"/>
  <c r="F77" i="263"/>
  <c r="H77" i="263"/>
  <c r="U77" i="263"/>
  <c r="Z77" i="263"/>
  <c r="AE77" i="263"/>
  <c r="AK77" i="263"/>
  <c r="BH77" i="263" s="1"/>
  <c r="AP77" i="263"/>
  <c r="AP79" i="263"/>
  <c r="AL79" i="263"/>
  <c r="BI79" i="263" s="1"/>
  <c r="AD79" i="263"/>
  <c r="Z79" i="263"/>
  <c r="V79" i="263"/>
  <c r="R79" i="263"/>
  <c r="N79" i="263"/>
  <c r="O79" i="263" s="1"/>
  <c r="H79" i="263"/>
  <c r="D79" i="263"/>
  <c r="K79" i="263"/>
  <c r="U79" i="263"/>
  <c r="AA79" i="263"/>
  <c r="AF79" i="263"/>
  <c r="AK79" i="263"/>
  <c r="AQ79" i="263"/>
  <c r="U94" i="263"/>
  <c r="AQ95" i="263"/>
  <c r="AM95" i="263"/>
  <c r="BJ95" i="263" s="1"/>
  <c r="AI95" i="263"/>
  <c r="AE95" i="263"/>
  <c r="AA95" i="263"/>
  <c r="W95" i="263"/>
  <c r="X95" i="263" s="1"/>
  <c r="S95" i="263"/>
  <c r="BC95" i="263" s="1"/>
  <c r="K95" i="263"/>
  <c r="E95" i="263"/>
  <c r="AO95" i="263"/>
  <c r="AJ95" i="263"/>
  <c r="BG95" i="263" s="1"/>
  <c r="AD95" i="263"/>
  <c r="T95" i="263"/>
  <c r="N95" i="263"/>
  <c r="O95" i="263" s="1"/>
  <c r="G95" i="263"/>
  <c r="AN95" i="263"/>
  <c r="AC95" i="263"/>
  <c r="R95" i="263"/>
  <c r="M95" i="263"/>
  <c r="F95" i="263"/>
  <c r="AL95" i="263"/>
  <c r="BI95" i="263" s="1"/>
  <c r="AB95" i="263"/>
  <c r="V95" i="263"/>
  <c r="Q95" i="263"/>
  <c r="L95" i="263"/>
  <c r="D95" i="263"/>
  <c r="Z95" i="263"/>
  <c r="Z99" i="263"/>
  <c r="G63" i="263"/>
  <c r="M63" i="263"/>
  <c r="Q63" i="263"/>
  <c r="U63" i="263"/>
  <c r="AC63" i="263"/>
  <c r="AK63" i="263"/>
  <c r="BH63" i="263" s="1"/>
  <c r="E65" i="263"/>
  <c r="K65" i="263"/>
  <c r="S65" i="263"/>
  <c r="W65" i="263"/>
  <c r="X65" i="263" s="1"/>
  <c r="AA65" i="263"/>
  <c r="AE65" i="263"/>
  <c r="AI65" i="263"/>
  <c r="AM65" i="263"/>
  <c r="BJ65" i="263" s="1"/>
  <c r="AQ65" i="263"/>
  <c r="AU65" i="263"/>
  <c r="AX94" i="263"/>
  <c r="AT94" i="263"/>
  <c r="AP94" i="263"/>
  <c r="AL94" i="263"/>
  <c r="BI94" i="263" s="1"/>
  <c r="AD94" i="263"/>
  <c r="Z94" i="263"/>
  <c r="V94" i="263"/>
  <c r="R94" i="263"/>
  <c r="N94" i="263"/>
  <c r="O94" i="263" s="1"/>
  <c r="H94" i="263"/>
  <c r="D94" i="263"/>
  <c r="AU94" i="263"/>
  <c r="AO94" i="263"/>
  <c r="AJ94" i="263"/>
  <c r="BG94" i="263" s="1"/>
  <c r="AE94" i="263"/>
  <c r="T94" i="263"/>
  <c r="G94" i="263"/>
  <c r="AS94" i="263"/>
  <c r="AN94" i="263"/>
  <c r="AI94" i="263"/>
  <c r="AC94" i="263"/>
  <c r="S94" i="263"/>
  <c r="M94" i="263"/>
  <c r="F94" i="263"/>
  <c r="AW94" i="263"/>
  <c r="AR94" i="263"/>
  <c r="AM94" i="263"/>
  <c r="BJ94" i="263" s="1"/>
  <c r="AB94" i="263"/>
  <c r="W94" i="263"/>
  <c r="X94" i="263" s="1"/>
  <c r="Q94" i="263"/>
  <c r="L94" i="263"/>
  <c r="E94" i="263"/>
  <c r="AA94" i="263"/>
  <c r="AV94" i="263"/>
  <c r="H95" i="263"/>
  <c r="AF95" i="263"/>
  <c r="G83" i="263"/>
  <c r="M83" i="263"/>
  <c r="Q83" i="263"/>
  <c r="U83" i="263"/>
  <c r="AC83" i="263"/>
  <c r="AK83" i="263"/>
  <c r="AO83" i="263"/>
  <c r="AS83" i="263"/>
  <c r="AW83" i="263"/>
  <c r="E85" i="263"/>
  <c r="K85" i="263"/>
  <c r="S85" i="263"/>
  <c r="W85" i="263"/>
  <c r="X85" i="263" s="1"/>
  <c r="Y85" i="263" s="1"/>
  <c r="AA85" i="263"/>
  <c r="AE85" i="263"/>
  <c r="AI85" i="263"/>
  <c r="AM85" i="263"/>
  <c r="BJ85" i="263" s="1"/>
  <c r="AQ85" i="263"/>
  <c r="AQ87" i="263"/>
  <c r="AM87" i="263"/>
  <c r="BJ87" i="263" s="1"/>
  <c r="AI87" i="263"/>
  <c r="AE87" i="263"/>
  <c r="AA87" i="263"/>
  <c r="W87" i="263"/>
  <c r="X87" i="263" s="1"/>
  <c r="S87" i="263"/>
  <c r="K87" i="263"/>
  <c r="E87" i="263"/>
  <c r="H87" i="263"/>
  <c r="U87" i="263"/>
  <c r="Z87" i="263"/>
  <c r="AF87" i="263"/>
  <c r="AK87" i="263"/>
  <c r="AP87" i="263"/>
  <c r="E88" i="263"/>
  <c r="M88" i="263"/>
  <c r="R88" i="263"/>
  <c r="W88" i="263"/>
  <c r="X88" i="263" s="1"/>
  <c r="AC88" i="263"/>
  <c r="AM88" i="263"/>
  <c r="BJ88" i="263" s="1"/>
  <c r="AQ91" i="263"/>
  <c r="AM91" i="263"/>
  <c r="BJ91" i="263" s="1"/>
  <c r="AI91" i="263"/>
  <c r="AE91" i="263"/>
  <c r="AA91" i="263"/>
  <c r="W91" i="263"/>
  <c r="X91" i="263" s="1"/>
  <c r="S91" i="263"/>
  <c r="K91" i="263"/>
  <c r="E91" i="263"/>
  <c r="H91" i="263"/>
  <c r="U91" i="263"/>
  <c r="Z91" i="263"/>
  <c r="AF91" i="263"/>
  <c r="AK91" i="263"/>
  <c r="BH91" i="263" s="1"/>
  <c r="AP91" i="263"/>
  <c r="AX98" i="263"/>
  <c r="AT98" i="263"/>
  <c r="AP98" i="263"/>
  <c r="AL98" i="263"/>
  <c r="BI98" i="263" s="1"/>
  <c r="AD98" i="263"/>
  <c r="Z98" i="263"/>
  <c r="V98" i="263"/>
  <c r="R98" i="263"/>
  <c r="N98" i="263"/>
  <c r="O98" i="263" s="1"/>
  <c r="H98" i="263"/>
  <c r="D98" i="263"/>
  <c r="AU98" i="263"/>
  <c r="AO98" i="263"/>
  <c r="AJ98" i="263"/>
  <c r="BG98" i="263" s="1"/>
  <c r="AE98" i="263"/>
  <c r="T98" i="263"/>
  <c r="G98" i="263"/>
  <c r="AS98" i="263"/>
  <c r="AN98" i="263"/>
  <c r="AI98" i="263"/>
  <c r="AC98" i="263"/>
  <c r="S98" i="263"/>
  <c r="M98" i="263"/>
  <c r="F98" i="263"/>
  <c r="AW98" i="263"/>
  <c r="AR98" i="263"/>
  <c r="AM98" i="263"/>
  <c r="BJ98" i="263" s="1"/>
  <c r="AB98" i="263"/>
  <c r="W98" i="263"/>
  <c r="X98" i="263" s="1"/>
  <c r="Q98" i="263"/>
  <c r="L98" i="263"/>
  <c r="E98" i="263"/>
  <c r="AA98" i="263"/>
  <c r="AV98" i="263"/>
  <c r="G70" i="263"/>
  <c r="M70" i="263"/>
  <c r="Q70" i="263"/>
  <c r="U70" i="263"/>
  <c r="AC70" i="263"/>
  <c r="AK70" i="263"/>
  <c r="G74" i="263"/>
  <c r="M74" i="263"/>
  <c r="Q74" i="263"/>
  <c r="U74" i="263"/>
  <c r="AC74" i="263"/>
  <c r="AK74" i="263"/>
  <c r="BH74" i="263" s="1"/>
  <c r="G78" i="263"/>
  <c r="M78" i="263"/>
  <c r="Q78" i="263"/>
  <c r="U78" i="263"/>
  <c r="AC78" i="263"/>
  <c r="AK78" i="263"/>
  <c r="BH78" i="263" s="1"/>
  <c r="G82" i="263"/>
  <c r="M82" i="263"/>
  <c r="Q82" i="263"/>
  <c r="U82" i="263"/>
  <c r="AC82" i="263"/>
  <c r="AK82" i="263"/>
  <c r="AZ82" i="263" s="1"/>
  <c r="D83" i="263"/>
  <c r="H83" i="263"/>
  <c r="N83" i="263"/>
  <c r="O83" i="263" s="1"/>
  <c r="R83" i="263"/>
  <c r="V83" i="263"/>
  <c r="Z83" i="263"/>
  <c r="AD83" i="263"/>
  <c r="AL83" i="263"/>
  <c r="BI83" i="263" s="1"/>
  <c r="AP83" i="263"/>
  <c r="AT83" i="263"/>
  <c r="AX83" i="263"/>
  <c r="F85" i="263"/>
  <c r="L85" i="263"/>
  <c r="T85" i="263"/>
  <c r="AB85" i="263"/>
  <c r="AF85" i="263"/>
  <c r="AJ85" i="263"/>
  <c r="AY85" i="263" s="1"/>
  <c r="AN85" i="263"/>
  <c r="G86" i="263"/>
  <c r="M86" i="263"/>
  <c r="Q86" i="263"/>
  <c r="U86" i="263"/>
  <c r="AC86" i="263"/>
  <c r="AK86" i="263"/>
  <c r="AO86" i="263"/>
  <c r="D87" i="263"/>
  <c r="L87" i="263"/>
  <c r="Q87" i="263"/>
  <c r="V87" i="263"/>
  <c r="AB87" i="263"/>
  <c r="AL87" i="263"/>
  <c r="BI87" i="263" s="1"/>
  <c r="G88" i="263"/>
  <c r="N88" i="263"/>
  <c r="O88" i="263" s="1"/>
  <c r="S88" i="263"/>
  <c r="AD88" i="263"/>
  <c r="AI88" i="263"/>
  <c r="G90" i="263"/>
  <c r="T90" i="263"/>
  <c r="AE90" i="263"/>
  <c r="AJ90" i="263"/>
  <c r="BG90" i="263" s="1"/>
  <c r="D91" i="263"/>
  <c r="L91" i="263"/>
  <c r="Q91" i="263"/>
  <c r="V91" i="263"/>
  <c r="AB91" i="263"/>
  <c r="AL91" i="263"/>
  <c r="BI91" i="263" s="1"/>
  <c r="G92" i="263"/>
  <c r="N92" i="263"/>
  <c r="O92" i="263" s="1"/>
  <c r="S92" i="263"/>
  <c r="AD92" i="263"/>
  <c r="AI92" i="263"/>
  <c r="AO92" i="263"/>
  <c r="AT92" i="263"/>
  <c r="AV96" i="263"/>
  <c r="AR96" i="263"/>
  <c r="AN96" i="263"/>
  <c r="AJ96" i="263"/>
  <c r="BG96" i="263" s="1"/>
  <c r="AF96" i="263"/>
  <c r="AB96" i="263"/>
  <c r="T96" i="263"/>
  <c r="L96" i="263"/>
  <c r="F96" i="263"/>
  <c r="AU96" i="263"/>
  <c r="AQ96" i="263"/>
  <c r="AM96" i="263"/>
  <c r="BJ96" i="263" s="1"/>
  <c r="AI96" i="263"/>
  <c r="AE96" i="263"/>
  <c r="AA96" i="263"/>
  <c r="W96" i="263"/>
  <c r="X96" i="263" s="1"/>
  <c r="S96" i="263"/>
  <c r="K96" i="263"/>
  <c r="H96" i="263"/>
  <c r="R96" i="263"/>
  <c r="Z96" i="263"/>
  <c r="AP96" i="263"/>
  <c r="AX96" i="263"/>
  <c r="K98" i="263"/>
  <c r="AF98" i="263"/>
  <c r="E83" i="263"/>
  <c r="K83" i="263"/>
  <c r="S83" i="263"/>
  <c r="W83" i="263"/>
  <c r="X83" i="263" s="1"/>
  <c r="AA83" i="263"/>
  <c r="AE83" i="263"/>
  <c r="AI83" i="263"/>
  <c r="AM83" i="263"/>
  <c r="BJ83" i="263" s="1"/>
  <c r="AQ83" i="263"/>
  <c r="AU83" i="263"/>
  <c r="G85" i="263"/>
  <c r="M85" i="263"/>
  <c r="Q85" i="263"/>
  <c r="U85" i="263"/>
  <c r="AC85" i="263"/>
  <c r="AK85" i="263"/>
  <c r="F87" i="263"/>
  <c r="M87" i="263"/>
  <c r="R87" i="263"/>
  <c r="AC87" i="263"/>
  <c r="AN87" i="263"/>
  <c r="AN88" i="263"/>
  <c r="AJ88" i="263"/>
  <c r="BG88" i="263" s="1"/>
  <c r="AF88" i="263"/>
  <c r="AB88" i="263"/>
  <c r="T88" i="263"/>
  <c r="L88" i="263"/>
  <c r="F88" i="263"/>
  <c r="H88" i="263"/>
  <c r="U88" i="263"/>
  <c r="Z88" i="263"/>
  <c r="AE88" i="263"/>
  <c r="AK88" i="263"/>
  <c r="BH88" i="263" s="1"/>
  <c r="AP88" i="263"/>
  <c r="AP90" i="263"/>
  <c r="AL90" i="263"/>
  <c r="BI90" i="263" s="1"/>
  <c r="AD90" i="263"/>
  <c r="Z90" i="263"/>
  <c r="V90" i="263"/>
  <c r="R90" i="263"/>
  <c r="N90" i="263"/>
  <c r="O90" i="263" s="1"/>
  <c r="H90" i="263"/>
  <c r="D90" i="263"/>
  <c r="K90" i="263"/>
  <c r="U90" i="263"/>
  <c r="AA90" i="263"/>
  <c r="AF90" i="263"/>
  <c r="AK90" i="263"/>
  <c r="AQ90" i="263"/>
  <c r="F91" i="263"/>
  <c r="M91" i="263"/>
  <c r="R91" i="263"/>
  <c r="AC91" i="263"/>
  <c r="AN91" i="263"/>
  <c r="AV92" i="263"/>
  <c r="AR92" i="263"/>
  <c r="AN92" i="263"/>
  <c r="AJ92" i="263"/>
  <c r="AY92" i="263" s="1"/>
  <c r="AF92" i="263"/>
  <c r="AB92" i="263"/>
  <c r="T92" i="263"/>
  <c r="L92" i="263"/>
  <c r="F92" i="263"/>
  <c r="H92" i="263"/>
  <c r="U92" i="263"/>
  <c r="Z92" i="263"/>
  <c r="AE92" i="263"/>
  <c r="AK92" i="263"/>
  <c r="BH92" i="263" s="1"/>
  <c r="AP92" i="263"/>
  <c r="AU92" i="263"/>
  <c r="D96" i="263"/>
  <c r="M96" i="263"/>
  <c r="U96" i="263"/>
  <c r="AC96" i="263"/>
  <c r="AK96" i="263"/>
  <c r="BH96" i="263" s="1"/>
  <c r="AS96" i="263"/>
  <c r="AK98" i="263"/>
  <c r="BH98" i="263" s="1"/>
  <c r="E100" i="263"/>
  <c r="M100" i="263"/>
  <c r="R100" i="263"/>
  <c r="W100" i="263"/>
  <c r="X100" i="263" s="1"/>
  <c r="AC100" i="263"/>
  <c r="AM100" i="263"/>
  <c r="BJ100" i="263" s="1"/>
  <c r="F102" i="263"/>
  <c r="M102" i="263"/>
  <c r="S102" i="263"/>
  <c r="AC102" i="263"/>
  <c r="AI102" i="263"/>
  <c r="AN102" i="263"/>
  <c r="AQ103" i="263"/>
  <c r="AM103" i="263"/>
  <c r="BJ103" i="263" s="1"/>
  <c r="AI103" i="263"/>
  <c r="AE103" i="263"/>
  <c r="AA103" i="263"/>
  <c r="W103" i="263"/>
  <c r="X103" i="263" s="1"/>
  <c r="S103" i="263"/>
  <c r="K103" i="263"/>
  <c r="E103" i="263"/>
  <c r="H103" i="263"/>
  <c r="U103" i="263"/>
  <c r="Z103" i="263"/>
  <c r="AF103" i="263"/>
  <c r="AK103" i="263"/>
  <c r="BH103" i="263" s="1"/>
  <c r="AP103" i="263"/>
  <c r="E104" i="263"/>
  <c r="M104" i="263"/>
  <c r="R104" i="263"/>
  <c r="W104" i="263"/>
  <c r="X104" i="263" s="1"/>
  <c r="AC104" i="263"/>
  <c r="AM104" i="263"/>
  <c r="BJ104" i="263" s="1"/>
  <c r="Q107" i="263"/>
  <c r="G89" i="263"/>
  <c r="M89" i="263"/>
  <c r="Q89" i="263"/>
  <c r="U89" i="263"/>
  <c r="AC89" i="263"/>
  <c r="AK89" i="263"/>
  <c r="AZ89" i="263" s="1"/>
  <c r="G93" i="263"/>
  <c r="M93" i="263"/>
  <c r="Q93" i="263"/>
  <c r="U93" i="263"/>
  <c r="AC93" i="263"/>
  <c r="AK93" i="263"/>
  <c r="AO97" i="263"/>
  <c r="AK97" i="263"/>
  <c r="AC97" i="263"/>
  <c r="U97" i="263"/>
  <c r="Q97" i="263"/>
  <c r="G97" i="263"/>
  <c r="M97" i="263"/>
  <c r="R97" i="263"/>
  <c r="W97" i="263"/>
  <c r="X97" i="263" s="1"/>
  <c r="AB97" i="263"/>
  <c r="AM97" i="263"/>
  <c r="BJ97" i="263" s="1"/>
  <c r="G100" i="263"/>
  <c r="N100" i="263"/>
  <c r="O100" i="263" s="1"/>
  <c r="S100" i="263"/>
  <c r="AD100" i="263"/>
  <c r="AI100" i="263"/>
  <c r="G102" i="263"/>
  <c r="T102" i="263"/>
  <c r="AE102" i="263"/>
  <c r="AJ102" i="263"/>
  <c r="BG102" i="263" s="1"/>
  <c r="D103" i="263"/>
  <c r="L103" i="263"/>
  <c r="Q103" i="263"/>
  <c r="V103" i="263"/>
  <c r="AB103" i="263"/>
  <c r="AL103" i="263"/>
  <c r="BI103" i="263" s="1"/>
  <c r="G104" i="263"/>
  <c r="N104" i="263"/>
  <c r="O104" i="263" s="1"/>
  <c r="S104" i="263"/>
  <c r="AD104" i="263"/>
  <c r="AI104" i="263"/>
  <c r="AV107" i="263"/>
  <c r="AR107" i="263"/>
  <c r="AN107" i="263"/>
  <c r="AJ107" i="263"/>
  <c r="AY107" i="263" s="1"/>
  <c r="AF107" i="263"/>
  <c r="AG107" i="263" s="1"/>
  <c r="AB107" i="263"/>
  <c r="T107" i="263"/>
  <c r="L107" i="263"/>
  <c r="F107" i="263"/>
  <c r="AU107" i="263"/>
  <c r="AQ107" i="263"/>
  <c r="AM107" i="263"/>
  <c r="AI107" i="263"/>
  <c r="AE107" i="263"/>
  <c r="BK107" i="263" s="1"/>
  <c r="AA107" i="263"/>
  <c r="W107" i="263"/>
  <c r="X107" i="263" s="1"/>
  <c r="S107" i="263"/>
  <c r="K107" i="263"/>
  <c r="E107" i="263"/>
  <c r="AX107" i="263"/>
  <c r="AT107" i="263"/>
  <c r="AP107" i="263"/>
  <c r="AL107" i="263"/>
  <c r="AD107" i="263"/>
  <c r="Z107" i="263"/>
  <c r="V107" i="263"/>
  <c r="R107" i="263"/>
  <c r="N107" i="263"/>
  <c r="O107" i="263" s="1"/>
  <c r="H107" i="263"/>
  <c r="D107" i="263"/>
  <c r="U107" i="263"/>
  <c r="AK107" i="263"/>
  <c r="AZ107" i="263" s="1"/>
  <c r="AW112" i="263"/>
  <c r="AS112" i="263"/>
  <c r="AX112" i="263"/>
  <c r="AR112" i="263"/>
  <c r="AN112" i="263"/>
  <c r="AJ112" i="263"/>
  <c r="BG112" i="263" s="1"/>
  <c r="AF112" i="263"/>
  <c r="AB112" i="263"/>
  <c r="T112" i="263"/>
  <c r="L112" i="263"/>
  <c r="F112" i="263"/>
  <c r="AV112" i="263"/>
  <c r="AQ112" i="263"/>
  <c r="AM112" i="263"/>
  <c r="BJ112" i="263" s="1"/>
  <c r="AI112" i="263"/>
  <c r="AE112" i="263"/>
  <c r="AA112" i="263"/>
  <c r="W112" i="263"/>
  <c r="X112" i="263" s="1"/>
  <c r="S112" i="263"/>
  <c r="BC112" i="263" s="1"/>
  <c r="K112" i="263"/>
  <c r="E112" i="263"/>
  <c r="AZ112" i="263"/>
  <c r="AU112" i="263"/>
  <c r="AP112" i="263"/>
  <c r="AL112" i="263"/>
  <c r="BI112" i="263" s="1"/>
  <c r="AD112" i="263"/>
  <c r="Z112" i="263"/>
  <c r="V112" i="263"/>
  <c r="R112" i="263"/>
  <c r="N112" i="263"/>
  <c r="O112" i="263" s="1"/>
  <c r="H112" i="263"/>
  <c r="D112" i="263"/>
  <c r="Q112" i="263"/>
  <c r="AT112" i="263"/>
  <c r="AC112" i="263"/>
  <c r="M112" i="263"/>
  <c r="AO112" i="263"/>
  <c r="G112" i="263"/>
  <c r="AN100" i="263"/>
  <c r="AJ100" i="263"/>
  <c r="BG100" i="263" s="1"/>
  <c r="AF100" i="263"/>
  <c r="AB100" i="263"/>
  <c r="T100" i="263"/>
  <c r="L100" i="263"/>
  <c r="F100" i="263"/>
  <c r="H100" i="263"/>
  <c r="U100" i="263"/>
  <c r="Z100" i="263"/>
  <c r="AE100" i="263"/>
  <c r="AK100" i="263"/>
  <c r="AP100" i="263"/>
  <c r="AP102" i="263"/>
  <c r="AL102" i="263"/>
  <c r="BI102" i="263" s="1"/>
  <c r="AD102" i="263"/>
  <c r="Z102" i="263"/>
  <c r="V102" i="263"/>
  <c r="R102" i="263"/>
  <c r="N102" i="263"/>
  <c r="O102" i="263" s="1"/>
  <c r="H102" i="263"/>
  <c r="D102" i="263"/>
  <c r="K102" i="263"/>
  <c r="U102" i="263"/>
  <c r="AA102" i="263"/>
  <c r="AF102" i="263"/>
  <c r="AK102" i="263"/>
  <c r="BH102" i="263" s="1"/>
  <c r="AQ102" i="263"/>
  <c r="F103" i="263"/>
  <c r="M103" i="263"/>
  <c r="R103" i="263"/>
  <c r="AC103" i="263"/>
  <c r="AN103" i="263"/>
  <c r="AN104" i="263"/>
  <c r="AJ104" i="263"/>
  <c r="BG104" i="263" s="1"/>
  <c r="AF104" i="263"/>
  <c r="AB104" i="263"/>
  <c r="T104" i="263"/>
  <c r="L104" i="263"/>
  <c r="F104" i="263"/>
  <c r="H104" i="263"/>
  <c r="U104" i="263"/>
  <c r="Z104" i="263"/>
  <c r="AE104" i="263"/>
  <c r="AK104" i="263"/>
  <c r="AP104" i="263"/>
  <c r="G107" i="263"/>
  <c r="AO107" i="263"/>
  <c r="U112" i="263"/>
  <c r="G106" i="263"/>
  <c r="M106" i="263"/>
  <c r="Q106" i="263"/>
  <c r="U106" i="263"/>
  <c r="AC106" i="263"/>
  <c r="AK106" i="263"/>
  <c r="AO106" i="263"/>
  <c r="AS106" i="263"/>
  <c r="AW106" i="263"/>
  <c r="E108" i="263"/>
  <c r="L108" i="263"/>
  <c r="Q108" i="263"/>
  <c r="V108" i="263"/>
  <c r="AB108" i="263"/>
  <c r="AL108" i="263"/>
  <c r="BI108" i="263" s="1"/>
  <c r="G101" i="263"/>
  <c r="M101" i="263"/>
  <c r="Q101" i="263"/>
  <c r="U101" i="263"/>
  <c r="AC101" i="263"/>
  <c r="AK101" i="263"/>
  <c r="AZ101" i="263" s="1"/>
  <c r="G105" i="263"/>
  <c r="M105" i="263"/>
  <c r="Q105" i="263"/>
  <c r="U105" i="263"/>
  <c r="AC105" i="263"/>
  <c r="AK105" i="263"/>
  <c r="AO105" i="263"/>
  <c r="AS105" i="263"/>
  <c r="AW105" i="263"/>
  <c r="D106" i="263"/>
  <c r="H106" i="263"/>
  <c r="N106" i="263"/>
  <c r="O106" i="263" s="1"/>
  <c r="R106" i="263"/>
  <c r="V106" i="263"/>
  <c r="Z106" i="263"/>
  <c r="AD106" i="263"/>
  <c r="AL106" i="263"/>
  <c r="BI106" i="263" s="1"/>
  <c r="AP106" i="263"/>
  <c r="AT106" i="263"/>
  <c r="F108" i="263"/>
  <c r="M108" i="263"/>
  <c r="R108" i="263"/>
  <c r="AC108" i="263"/>
  <c r="AN109" i="263"/>
  <c r="AJ109" i="263"/>
  <c r="BG109" i="263" s="1"/>
  <c r="AF109" i="263"/>
  <c r="AB109" i="263"/>
  <c r="T109" i="263"/>
  <c r="L109" i="263"/>
  <c r="F109" i="263"/>
  <c r="H109" i="263"/>
  <c r="U109" i="263"/>
  <c r="Z109" i="263"/>
  <c r="AE109" i="263"/>
  <c r="AK109" i="263"/>
  <c r="AP109" i="263"/>
  <c r="AQ108" i="263"/>
  <c r="AM108" i="263"/>
  <c r="BJ108" i="263" s="1"/>
  <c r="AI108" i="263"/>
  <c r="AE108" i="263"/>
  <c r="AA108" i="263"/>
  <c r="W108" i="263"/>
  <c r="X108" i="263" s="1"/>
  <c r="S108" i="263"/>
  <c r="K108" i="263"/>
  <c r="G108" i="263"/>
  <c r="N108" i="263"/>
  <c r="O108" i="263" s="1"/>
  <c r="T108" i="263"/>
  <c r="AD108" i="263"/>
  <c r="AJ108" i="263"/>
  <c r="BG108" i="263" s="1"/>
  <c r="AO108" i="263"/>
  <c r="G111" i="263"/>
  <c r="M111" i="263"/>
  <c r="Q111" i="263"/>
  <c r="U111" i="263"/>
  <c r="AC111" i="263"/>
  <c r="AK111" i="263"/>
  <c r="AO111" i="263"/>
  <c r="L114" i="263"/>
  <c r="T114" i="263"/>
  <c r="AB114" i="263"/>
  <c r="AJ114" i="263"/>
  <c r="BG114" i="263" s="1"/>
  <c r="AR114" i="263"/>
  <c r="G115" i="263"/>
  <c r="Q115" i="263"/>
  <c r="AO115" i="263"/>
  <c r="AW115" i="263"/>
  <c r="G110" i="263"/>
  <c r="M110" i="263"/>
  <c r="Q110" i="263"/>
  <c r="U110" i="263"/>
  <c r="AC110" i="263"/>
  <c r="AK110" i="263"/>
  <c r="AO110" i="263"/>
  <c r="AS110" i="263"/>
  <c r="AW110" i="263"/>
  <c r="D111" i="263"/>
  <c r="H111" i="263"/>
  <c r="N111" i="263"/>
  <c r="O111" i="263" s="1"/>
  <c r="R111" i="263"/>
  <c r="V111" i="263"/>
  <c r="Z111" i="263"/>
  <c r="AD111" i="263"/>
  <c r="AL111" i="263"/>
  <c r="BI111" i="263" s="1"/>
  <c r="AU114" i="263"/>
  <c r="AQ114" i="263"/>
  <c r="AM114" i="263"/>
  <c r="BJ114" i="263" s="1"/>
  <c r="AI114" i="263"/>
  <c r="AE114" i="263"/>
  <c r="AA114" i="263"/>
  <c r="W114" i="263"/>
  <c r="X114" i="263" s="1"/>
  <c r="S114" i="263"/>
  <c r="K114" i="263"/>
  <c r="E114" i="263"/>
  <c r="AX114" i="263"/>
  <c r="AT114" i="263"/>
  <c r="AP114" i="263"/>
  <c r="AL114" i="263"/>
  <c r="BI114" i="263" s="1"/>
  <c r="AD114" i="263"/>
  <c r="Z114" i="263"/>
  <c r="V114" i="263"/>
  <c r="R114" i="263"/>
  <c r="N114" i="263"/>
  <c r="O114" i="263" s="1"/>
  <c r="H114" i="263"/>
  <c r="D114" i="263"/>
  <c r="M114" i="263"/>
  <c r="U114" i="263"/>
  <c r="AC114" i="263"/>
  <c r="AK114" i="263"/>
  <c r="BH114" i="263" s="1"/>
  <c r="AS114" i="263"/>
  <c r="H115" i="263"/>
  <c r="R115" i="263"/>
  <c r="Z115" i="263"/>
  <c r="AP115" i="263"/>
  <c r="AV115" i="263"/>
  <c r="AR115" i="263"/>
  <c r="AN115" i="263"/>
  <c r="AJ115" i="263"/>
  <c r="BG115" i="263" s="1"/>
  <c r="AF115" i="263"/>
  <c r="AB115" i="263"/>
  <c r="T115" i="263"/>
  <c r="L115" i="263"/>
  <c r="F115" i="263"/>
  <c r="AU115" i="263"/>
  <c r="AQ115" i="263"/>
  <c r="AM115" i="263"/>
  <c r="BJ115" i="263" s="1"/>
  <c r="AI115" i="263"/>
  <c r="AE115" i="263"/>
  <c r="AA115" i="263"/>
  <c r="W115" i="263"/>
  <c r="X115" i="263" s="1"/>
  <c r="S115" i="263"/>
  <c r="K115" i="263"/>
  <c r="E115" i="263"/>
  <c r="M115" i="263"/>
  <c r="U115" i="263"/>
  <c r="AC115" i="263"/>
  <c r="AK115" i="263"/>
  <c r="BH115" i="263" s="1"/>
  <c r="AS115" i="263"/>
  <c r="G118" i="263"/>
  <c r="M118" i="263"/>
  <c r="Q118" i="263"/>
  <c r="U118" i="263"/>
  <c r="AC118" i="263"/>
  <c r="AK118" i="263"/>
  <c r="AZ118" i="263" s="1"/>
  <c r="AO118" i="263"/>
  <c r="G113" i="263"/>
  <c r="M113" i="263"/>
  <c r="Q113" i="263"/>
  <c r="U113" i="263"/>
  <c r="AC113" i="263"/>
  <c r="AK113" i="263"/>
  <c r="AO113" i="263"/>
  <c r="AS113" i="263"/>
  <c r="AW113" i="263"/>
  <c r="F116" i="263"/>
  <c r="L116" i="263"/>
  <c r="T116" i="263"/>
  <c r="AB116" i="263"/>
  <c r="AF116" i="263"/>
  <c r="AJ116" i="263"/>
  <c r="BG116" i="263" s="1"/>
  <c r="AN116" i="263"/>
  <c r="G117" i="263"/>
  <c r="M117" i="263"/>
  <c r="Q117" i="263"/>
  <c r="U117" i="263"/>
  <c r="AC117" i="263"/>
  <c r="AK117" i="263"/>
  <c r="BH117" i="263" s="1"/>
  <c r="AO117" i="263"/>
  <c r="D118" i="263"/>
  <c r="H118" i="263"/>
  <c r="N118" i="263"/>
  <c r="O118" i="263" s="1"/>
  <c r="R118" i="263"/>
  <c r="V118" i="263"/>
  <c r="Z118" i="263"/>
  <c r="AD118" i="263"/>
  <c r="AL118" i="263"/>
  <c r="AP118" i="263"/>
  <c r="D113" i="263"/>
  <c r="H113" i="263"/>
  <c r="N113" i="263"/>
  <c r="O113" i="263" s="1"/>
  <c r="R113" i="263"/>
  <c r="V113" i="263"/>
  <c r="Z113" i="263"/>
  <c r="AD113" i="263"/>
  <c r="AL113" i="263"/>
  <c r="BI113" i="263" s="1"/>
  <c r="AP113" i="263"/>
  <c r="AT113" i="263"/>
  <c r="G116" i="263"/>
  <c r="M116" i="263"/>
  <c r="Q116" i="263"/>
  <c r="U116" i="263"/>
  <c r="AC116" i="263"/>
  <c r="AK116" i="263"/>
  <c r="BH116" i="263" s="1"/>
  <c r="D117" i="263"/>
  <c r="H117" i="263"/>
  <c r="N117" i="263"/>
  <c r="O117" i="263" s="1"/>
  <c r="R117" i="263"/>
  <c r="V117" i="263"/>
  <c r="Z117" i="263"/>
  <c r="AD117" i="263"/>
  <c r="AL117" i="263"/>
  <c r="BI117" i="263" s="1"/>
  <c r="E118" i="263"/>
  <c r="K118" i="263"/>
  <c r="S118" i="263"/>
  <c r="W118" i="263"/>
  <c r="X118" i="263" s="1"/>
  <c r="Y118" i="263" s="1"/>
  <c r="AA118" i="263"/>
  <c r="AE118" i="263"/>
  <c r="BK118" i="263" s="1"/>
  <c r="AI118" i="263"/>
  <c r="AM118" i="263"/>
  <c r="AZ65" i="263" l="1"/>
  <c r="BH65" i="263"/>
  <c r="AY65" i="263"/>
  <c r="BG65" i="263"/>
  <c r="BK65" i="263"/>
  <c r="BE65" i="263"/>
  <c r="AG65" i="263"/>
  <c r="AH65" i="263" s="1"/>
  <c r="BA65" i="263" s="1"/>
  <c r="BF65" i="263"/>
  <c r="AY94" i="263"/>
  <c r="BB66" i="263"/>
  <c r="AZ117" i="263"/>
  <c r="AY117" i="263"/>
  <c r="AY116" i="263"/>
  <c r="AZ116" i="263"/>
  <c r="BH111" i="263"/>
  <c r="AZ111" i="263"/>
  <c r="AY111" i="263"/>
  <c r="AZ108" i="263"/>
  <c r="AY109" i="263"/>
  <c r="BH109" i="263"/>
  <c r="AZ109" i="263"/>
  <c r="AY108" i="263"/>
  <c r="AY104" i="263"/>
  <c r="BH104" i="263"/>
  <c r="AZ104" i="263"/>
  <c r="AZ103" i="263"/>
  <c r="AY103" i="263"/>
  <c r="AY97" i="263"/>
  <c r="BH100" i="263"/>
  <c r="AZ100" i="263"/>
  <c r="AY100" i="263"/>
  <c r="BH97" i="263"/>
  <c r="AZ97" i="263"/>
  <c r="AY95" i="263"/>
  <c r="AZ91" i="263"/>
  <c r="AY91" i="263"/>
  <c r="BH90" i="263"/>
  <c r="AZ90" i="263"/>
  <c r="AY90" i="263"/>
  <c r="AY89" i="263"/>
  <c r="AZ88" i="263"/>
  <c r="AY88" i="263"/>
  <c r="AY86" i="263"/>
  <c r="AY87" i="263"/>
  <c r="BH87" i="263"/>
  <c r="AZ87" i="263"/>
  <c r="BH86" i="263"/>
  <c r="AZ86" i="263"/>
  <c r="BH85" i="263"/>
  <c r="AZ85" i="263"/>
  <c r="AY82" i="263"/>
  <c r="BH81" i="263"/>
  <c r="AZ81" i="263"/>
  <c r="AY81" i="263"/>
  <c r="AY79" i="263"/>
  <c r="BH79" i="263"/>
  <c r="AZ79" i="263"/>
  <c r="AY78" i="263"/>
  <c r="AZ78" i="263"/>
  <c r="AY74" i="263"/>
  <c r="AY73" i="263"/>
  <c r="AZ74" i="263"/>
  <c r="BH73" i="263"/>
  <c r="AZ73" i="263"/>
  <c r="BH72" i="263"/>
  <c r="AZ72" i="263"/>
  <c r="AY72" i="263"/>
  <c r="AY71" i="263"/>
  <c r="BH71" i="263"/>
  <c r="AZ71" i="263"/>
  <c r="AY70" i="263"/>
  <c r="BH70" i="263"/>
  <c r="AZ70" i="263"/>
  <c r="AY69" i="263"/>
  <c r="BH69" i="263"/>
  <c r="AZ69" i="263"/>
  <c r="BH68" i="263"/>
  <c r="AZ68" i="263"/>
  <c r="AY68" i="263"/>
  <c r="AY66" i="263"/>
  <c r="BH67" i="263"/>
  <c r="AZ67" i="263"/>
  <c r="AY67" i="263"/>
  <c r="AZ66" i="263"/>
  <c r="AY64" i="263"/>
  <c r="AZ63" i="263"/>
  <c r="AY63" i="263"/>
  <c r="BH61" i="263"/>
  <c r="AZ61" i="263"/>
  <c r="AY61" i="263"/>
  <c r="BH59" i="263"/>
  <c r="AZ59" i="263"/>
  <c r="AY59" i="263"/>
  <c r="AY57" i="263"/>
  <c r="AY53" i="263"/>
  <c r="AZ52" i="263"/>
  <c r="AY52" i="263"/>
  <c r="AY51" i="263"/>
  <c r="AZ51" i="263"/>
  <c r="AY50" i="263"/>
  <c r="AZ50" i="263"/>
  <c r="AZ47" i="263"/>
  <c r="AZ48" i="263"/>
  <c r="AY48" i="263"/>
  <c r="AY47" i="263"/>
  <c r="AZ45" i="263"/>
  <c r="AY46" i="263"/>
  <c r="AZ46" i="263"/>
  <c r="P103" i="263"/>
  <c r="Y117" i="263"/>
  <c r="BE49" i="263"/>
  <c r="BB67" i="263"/>
  <c r="P60" i="263"/>
  <c r="Y50" i="263"/>
  <c r="Y47" i="263"/>
  <c r="P92" i="263"/>
  <c r="BK60" i="263"/>
  <c r="AY98" i="263"/>
  <c r="BE71" i="263"/>
  <c r="BB48" i="263"/>
  <c r="BE81" i="263"/>
  <c r="P51" i="263"/>
  <c r="P109" i="263"/>
  <c r="P75" i="263"/>
  <c r="P91" i="263"/>
  <c r="BB87" i="263"/>
  <c r="P73" i="263"/>
  <c r="Y102" i="263"/>
  <c r="AH75" i="263"/>
  <c r="BA75" i="263" s="1"/>
  <c r="Y75" i="263"/>
  <c r="BF113" i="263"/>
  <c r="Y48" i="263"/>
  <c r="Y60" i="263"/>
  <c r="Y73" i="263"/>
  <c r="Y109" i="263"/>
  <c r="AG106" i="263"/>
  <c r="P97" i="263"/>
  <c r="P82" i="263"/>
  <c r="AY106" i="263"/>
  <c r="BC68" i="263"/>
  <c r="P111" i="263"/>
  <c r="P49" i="263"/>
  <c r="P57" i="263"/>
  <c r="P53" i="263"/>
  <c r="BK47" i="263"/>
  <c r="BE78" i="263"/>
  <c r="Y69" i="263"/>
  <c r="Y113" i="263"/>
  <c r="P86" i="263"/>
  <c r="BB106" i="263"/>
  <c r="P63" i="263"/>
  <c r="AG60" i="263"/>
  <c r="AH60" i="263" s="1"/>
  <c r="BA60" i="263" s="1"/>
  <c r="BK70" i="263"/>
  <c r="P116" i="263"/>
  <c r="BF48" i="263"/>
  <c r="P46" i="263"/>
  <c r="P85" i="263"/>
  <c r="BF101" i="263"/>
  <c r="BB99" i="263"/>
  <c r="Y101" i="263"/>
  <c r="BB97" i="263"/>
  <c r="Y46" i="263"/>
  <c r="P90" i="263"/>
  <c r="BB83" i="263"/>
  <c r="BK82" i="263"/>
  <c r="Y82" i="263"/>
  <c r="BK48" i="263"/>
  <c r="Y105" i="263"/>
  <c r="BK101" i="263"/>
  <c r="Y99" i="263"/>
  <c r="P62" i="263"/>
  <c r="BE57" i="263"/>
  <c r="AG94" i="263"/>
  <c r="AH94" i="263" s="1"/>
  <c r="BA94" i="263" s="1"/>
  <c r="Y77" i="263"/>
  <c r="BB47" i="263"/>
  <c r="BB118" i="263"/>
  <c r="P101" i="263"/>
  <c r="P107" i="263"/>
  <c r="Y97" i="263"/>
  <c r="Y94" i="263"/>
  <c r="P99" i="263"/>
  <c r="Y115" i="263"/>
  <c r="BC83" i="263"/>
  <c r="P70" i="263"/>
  <c r="BB79" i="263"/>
  <c r="P52" i="263"/>
  <c r="Y51" i="263"/>
  <c r="AY83" i="263"/>
  <c r="AH48" i="263"/>
  <c r="BA48" i="263" s="1"/>
  <c r="BB117" i="263"/>
  <c r="BB113" i="263"/>
  <c r="AY113" i="263"/>
  <c r="BC108" i="263"/>
  <c r="BB71" i="263"/>
  <c r="BC81" i="263"/>
  <c r="BB72" i="263"/>
  <c r="P72" i="263"/>
  <c r="Y72" i="263"/>
  <c r="BK53" i="263"/>
  <c r="BF105" i="263"/>
  <c r="BK86" i="263"/>
  <c r="BC75" i="263"/>
  <c r="AG108" i="263"/>
  <c r="AH108" i="263" s="1"/>
  <c r="BA108" i="263" s="1"/>
  <c r="Y83" i="263"/>
  <c r="BK97" i="263"/>
  <c r="BC55" i="263"/>
  <c r="BB57" i="263"/>
  <c r="BC66" i="263"/>
  <c r="P59" i="263"/>
  <c r="BB49" i="263"/>
  <c r="P69" i="263"/>
  <c r="P79" i="263"/>
  <c r="P67" i="263"/>
  <c r="AG68" i="263"/>
  <c r="AH68" i="263" s="1"/>
  <c r="BA68" i="263" s="1"/>
  <c r="Y116" i="263"/>
  <c r="Y92" i="263"/>
  <c r="BF89" i="263"/>
  <c r="Y67" i="263"/>
  <c r="BB65" i="263"/>
  <c r="P64" i="263"/>
  <c r="Y89" i="263"/>
  <c r="P105" i="263"/>
  <c r="P96" i="263"/>
  <c r="BB91" i="263"/>
  <c r="BB86" i="263"/>
  <c r="BG56" i="263"/>
  <c r="BC86" i="263"/>
  <c r="BB56" i="263"/>
  <c r="BB70" i="263"/>
  <c r="P118" i="263"/>
  <c r="P110" i="263"/>
  <c r="Y108" i="263"/>
  <c r="BK105" i="263"/>
  <c r="BB103" i="263"/>
  <c r="P89" i="263"/>
  <c r="BC94" i="263"/>
  <c r="AZ94" i="263"/>
  <c r="BC56" i="263"/>
  <c r="Y81" i="263"/>
  <c r="P81" i="263"/>
  <c r="Y58" i="263"/>
  <c r="AG64" i="263"/>
  <c r="AH64" i="263" s="1"/>
  <c r="BA64" i="263" s="1"/>
  <c r="AG83" i="263"/>
  <c r="AH83" i="263" s="1"/>
  <c r="BA83" i="263" s="1"/>
  <c r="Y59" i="263"/>
  <c r="BK117" i="263"/>
  <c r="Y86" i="263"/>
  <c r="Y56" i="263"/>
  <c r="AH106" i="263"/>
  <c r="BA106" i="263" s="1"/>
  <c r="P78" i="263"/>
  <c r="BK93" i="263"/>
  <c r="P71" i="263"/>
  <c r="AH99" i="263"/>
  <c r="BA99" i="263" s="1"/>
  <c r="AG82" i="263"/>
  <c r="AH82" i="263" s="1"/>
  <c r="BA82" i="263" s="1"/>
  <c r="Y62" i="263"/>
  <c r="AY60" i="263"/>
  <c r="AH93" i="263"/>
  <c r="BE106" i="263"/>
  <c r="Y96" i="263"/>
  <c r="BC76" i="263"/>
  <c r="BC106" i="263"/>
  <c r="BB93" i="263"/>
  <c r="BB60" i="263"/>
  <c r="BB82" i="263"/>
  <c r="BB69" i="263"/>
  <c r="BK116" i="263"/>
  <c r="Y106" i="263"/>
  <c r="BE111" i="263"/>
  <c r="AY112" i="263"/>
  <c r="BB112" i="263"/>
  <c r="AH107" i="263"/>
  <c r="BA107" i="263" s="1"/>
  <c r="BF93" i="263"/>
  <c r="Y90" i="263"/>
  <c r="BK89" i="263"/>
  <c r="BB68" i="263"/>
  <c r="P68" i="263"/>
  <c r="Y68" i="263"/>
  <c r="BB84" i="263"/>
  <c r="P80" i="263"/>
  <c r="AG117" i="263"/>
  <c r="AH117" i="263" s="1"/>
  <c r="BA117" i="263" s="1"/>
  <c r="Y107" i="263"/>
  <c r="Y79" i="263"/>
  <c r="Y71" i="263"/>
  <c r="BC115" i="263"/>
  <c r="AY115" i="263"/>
  <c r="AH113" i="263"/>
  <c r="BA113" i="263" s="1"/>
  <c r="P87" i="263"/>
  <c r="BE79" i="263"/>
  <c r="P115" i="263"/>
  <c r="P114" i="263"/>
  <c r="Y114" i="263"/>
  <c r="Y111" i="263"/>
  <c r="BK113" i="263"/>
  <c r="BB107" i="263"/>
  <c r="AG86" i="263"/>
  <c r="AH86" i="263" s="1"/>
  <c r="BA86" i="263" s="1"/>
  <c r="BC65" i="263"/>
  <c r="BB75" i="263"/>
  <c r="P65" i="263"/>
  <c r="BB61" i="263"/>
  <c r="BK56" i="263"/>
  <c r="AH111" i="263"/>
  <c r="BA111" i="263" s="1"/>
  <c r="BB52" i="263"/>
  <c r="P108" i="263"/>
  <c r="BF111" i="263"/>
  <c r="BB108" i="263"/>
  <c r="BB104" i="263"/>
  <c r="BB90" i="263"/>
  <c r="P66" i="263"/>
  <c r="Y54" i="263"/>
  <c r="P54" i="263"/>
  <c r="Y53" i="263"/>
  <c r="P48" i="263"/>
  <c r="P61" i="263"/>
  <c r="BB59" i="263"/>
  <c r="BB54" i="263"/>
  <c r="BB53" i="263"/>
  <c r="BC45" i="263"/>
  <c r="BB110" i="263"/>
  <c r="AH105" i="263"/>
  <c r="BA105" i="263" s="1"/>
  <c r="BF61" i="263"/>
  <c r="AG61" i="263"/>
  <c r="AH61" i="263" s="1"/>
  <c r="P77" i="263"/>
  <c r="AG74" i="263"/>
  <c r="AH74" i="263" s="1"/>
  <c r="BA74" i="263" s="1"/>
  <c r="BF74" i="263"/>
  <c r="AH101" i="263"/>
  <c r="BA101" i="263" s="1"/>
  <c r="Y98" i="263"/>
  <c r="BE67" i="263"/>
  <c r="AH89" i="263"/>
  <c r="BA89" i="263" s="1"/>
  <c r="BB73" i="263"/>
  <c r="AY84" i="263"/>
  <c r="P50" i="263"/>
  <c r="Y80" i="263"/>
  <c r="AG72" i="263"/>
  <c r="AH72" i="263" s="1"/>
  <c r="BA72" i="263" s="1"/>
  <c r="BC51" i="263"/>
  <c r="AG97" i="263"/>
  <c r="AH97" i="263" s="1"/>
  <c r="BA97" i="263" s="1"/>
  <c r="BF97" i="263"/>
  <c r="Y110" i="263"/>
  <c r="AY105" i="263"/>
  <c r="AG52" i="263"/>
  <c r="AH52" i="263" s="1"/>
  <c r="BA52" i="263" s="1"/>
  <c r="BF52" i="263"/>
  <c r="AG47" i="263"/>
  <c r="AH47" i="263" s="1"/>
  <c r="BA47" i="263" s="1"/>
  <c r="BF47" i="263"/>
  <c r="BB64" i="263"/>
  <c r="Y63" i="263"/>
  <c r="Y52" i="263"/>
  <c r="BF114" i="263"/>
  <c r="AG114" i="263"/>
  <c r="AH114" i="263" s="1"/>
  <c r="AG110" i="263"/>
  <c r="AH110" i="263" s="1"/>
  <c r="BA110" i="263" s="1"/>
  <c r="BF110" i="263"/>
  <c r="BE110" i="263"/>
  <c r="BK110" i="263"/>
  <c r="BB105" i="263"/>
  <c r="BF45" i="263"/>
  <c r="AG45" i="263"/>
  <c r="AH45" i="263" s="1"/>
  <c r="BA45" i="263" s="1"/>
  <c r="AG78" i="263"/>
  <c r="AH78" i="263" s="1"/>
  <c r="BA78" i="263" s="1"/>
  <c r="BF78" i="263"/>
  <c r="AG56" i="263"/>
  <c r="AH56" i="263" s="1"/>
  <c r="BA56" i="263" s="1"/>
  <c r="BF56" i="263"/>
  <c r="BE52" i="263"/>
  <c r="BK52" i="263"/>
  <c r="P106" i="263"/>
  <c r="P104" i="263"/>
  <c r="P100" i="263"/>
  <c r="Y100" i="263"/>
  <c r="BB111" i="263"/>
  <c r="P102" i="263"/>
  <c r="BB109" i="263"/>
  <c r="P93" i="263"/>
  <c r="Y104" i="263"/>
  <c r="P74" i="263"/>
  <c r="Y88" i="263"/>
  <c r="BC87" i="263"/>
  <c r="BB94" i="263"/>
  <c r="P56" i="263"/>
  <c r="BC58" i="263"/>
  <c r="AY58" i="263"/>
  <c r="BC50" i="263"/>
  <c r="Y84" i="263"/>
  <c r="Y55" i="263"/>
  <c r="P47" i="263"/>
  <c r="BB80" i="263"/>
  <c r="BB51" i="263"/>
  <c r="AY110" i="263"/>
  <c r="BB89" i="263"/>
  <c r="Y64" i="263"/>
  <c r="BB78" i="263"/>
  <c r="BB74" i="263"/>
  <c r="BE74" i="263"/>
  <c r="BK74" i="263"/>
  <c r="AG70" i="263"/>
  <c r="AH70" i="263" s="1"/>
  <c r="BA70" i="263" s="1"/>
  <c r="BF70" i="263"/>
  <c r="BE63" i="263"/>
  <c r="BK63" i="263"/>
  <c r="BE64" i="263"/>
  <c r="BK64" i="263"/>
  <c r="BK109" i="263"/>
  <c r="BE109" i="263"/>
  <c r="AH118" i="263"/>
  <c r="BA118" i="263" s="1"/>
  <c r="BF104" i="263"/>
  <c r="AG104" i="263"/>
  <c r="AH104" i="263" s="1"/>
  <c r="BA104" i="263" s="1"/>
  <c r="BB116" i="263"/>
  <c r="AG85" i="263"/>
  <c r="AH85" i="263" s="1"/>
  <c r="BF85" i="263"/>
  <c r="BF95" i="263"/>
  <c r="AG95" i="263"/>
  <c r="AH95" i="263" s="1"/>
  <c r="BA95" i="263" s="1"/>
  <c r="AZ80" i="263"/>
  <c r="BC71" i="263"/>
  <c r="BC67" i="263"/>
  <c r="AG80" i="263"/>
  <c r="AH80" i="263" s="1"/>
  <c r="BA80" i="263" s="1"/>
  <c r="BF80" i="263"/>
  <c r="BF76" i="263"/>
  <c r="AG76" i="263"/>
  <c r="AH76" i="263" s="1"/>
  <c r="BB62" i="263"/>
  <c r="BK61" i="263"/>
  <c r="BE61" i="263"/>
  <c r="BF57" i="263"/>
  <c r="AG57" i="263"/>
  <c r="AH57" i="263" s="1"/>
  <c r="BA57" i="263" s="1"/>
  <c r="BH53" i="263"/>
  <c r="BC53" i="263"/>
  <c r="BE51" i="263"/>
  <c r="BK51" i="263"/>
  <c r="AG51" i="263"/>
  <c r="AH51" i="263" s="1"/>
  <c r="BA51" i="263" s="1"/>
  <c r="BF51" i="263"/>
  <c r="BK46" i="263"/>
  <c r="BE46" i="263"/>
  <c r="AG116" i="263"/>
  <c r="AH116" i="263" s="1"/>
  <c r="BA116" i="263" s="1"/>
  <c r="BF116" i="263"/>
  <c r="BF115" i="263"/>
  <c r="AG115" i="263"/>
  <c r="AH115" i="263" s="1"/>
  <c r="BA115" i="263" s="1"/>
  <c r="BB114" i="263"/>
  <c r="BC111" i="263"/>
  <c r="BC116" i="263"/>
  <c r="AZ114" i="263"/>
  <c r="BB102" i="263"/>
  <c r="BK100" i="263"/>
  <c r="BE100" i="263"/>
  <c r="BF100" i="263"/>
  <c r="AG100" i="263"/>
  <c r="AH100" i="263" s="1"/>
  <c r="BA100" i="263" s="1"/>
  <c r="P112" i="263"/>
  <c r="Y112" i="263"/>
  <c r="BK102" i="263"/>
  <c r="BE102" i="263"/>
  <c r="BH93" i="263"/>
  <c r="BC93" i="263"/>
  <c r="BC103" i="263"/>
  <c r="BB100" i="263"/>
  <c r="BK83" i="263"/>
  <c r="BE83" i="263"/>
  <c r="BF98" i="263"/>
  <c r="AG98" i="263"/>
  <c r="AH98" i="263" s="1"/>
  <c r="BA98" i="263" s="1"/>
  <c r="BK96" i="263"/>
  <c r="BE96" i="263"/>
  <c r="BC92" i="263"/>
  <c r="BC88" i="263"/>
  <c r="P83" i="263"/>
  <c r="BC91" i="263"/>
  <c r="BK87" i="263"/>
  <c r="BE87" i="263"/>
  <c r="P94" i="263"/>
  <c r="BB95" i="263"/>
  <c r="P95" i="263"/>
  <c r="BD95" i="263" s="1"/>
  <c r="Y95" i="263"/>
  <c r="BF79" i="263"/>
  <c r="AG79" i="263"/>
  <c r="AH79" i="263" s="1"/>
  <c r="BA79" i="263" s="1"/>
  <c r="BF71" i="263"/>
  <c r="AG71" i="263"/>
  <c r="AH71" i="263" s="1"/>
  <c r="BA71" i="263" s="1"/>
  <c r="BF67" i="263"/>
  <c r="AG67" i="263"/>
  <c r="AH67" i="263" s="1"/>
  <c r="BA67" i="263" s="1"/>
  <c r="BH64" i="263"/>
  <c r="BC64" i="263"/>
  <c r="AG63" i="263"/>
  <c r="AH63" i="263" s="1"/>
  <c r="BA63" i="263" s="1"/>
  <c r="BF63" i="263"/>
  <c r="BH60" i="263"/>
  <c r="AZ60" i="263"/>
  <c r="BC60" i="263"/>
  <c r="BF81" i="263"/>
  <c r="AG81" i="263"/>
  <c r="AH81" i="263" s="1"/>
  <c r="BA81" i="263" s="1"/>
  <c r="BK66" i="263"/>
  <c r="BE66" i="263"/>
  <c r="BF66" i="263"/>
  <c r="AG66" i="263"/>
  <c r="AH66" i="263" s="1"/>
  <c r="BA66" i="263" s="1"/>
  <c r="BK59" i="263"/>
  <c r="BE59" i="263"/>
  <c r="BF59" i="263"/>
  <c r="AG59" i="263"/>
  <c r="AH59" i="263" s="1"/>
  <c r="BA59" i="263" s="1"/>
  <c r="BK58" i="263"/>
  <c r="BE58" i="263"/>
  <c r="AH54" i="263"/>
  <c r="BA54" i="263" s="1"/>
  <c r="P84" i="263"/>
  <c r="BF84" i="263"/>
  <c r="AG84" i="263"/>
  <c r="AH84" i="263" s="1"/>
  <c r="BA84" i="263" s="1"/>
  <c r="BC78" i="263"/>
  <c r="BK62" i="263"/>
  <c r="BE62" i="263"/>
  <c r="BC59" i="263"/>
  <c r="P58" i="263"/>
  <c r="BB55" i="263"/>
  <c r="BF49" i="263"/>
  <c r="AG49" i="263"/>
  <c r="AH49" i="263" s="1"/>
  <c r="BD49" i="263" s="1"/>
  <c r="BC73" i="263"/>
  <c r="BC69" i="263"/>
  <c r="BC90" i="263"/>
  <c r="BC70" i="263"/>
  <c r="BC61" i="263"/>
  <c r="BF53" i="263"/>
  <c r="AG53" i="263"/>
  <c r="AH53" i="263" s="1"/>
  <c r="BA53" i="263" s="1"/>
  <c r="BB76" i="263"/>
  <c r="P76" i="263"/>
  <c r="Y76" i="263"/>
  <c r="BC52" i="263"/>
  <c r="P45" i="263"/>
  <c r="Y45" i="263"/>
  <c r="BK108" i="263"/>
  <c r="BE108" i="263"/>
  <c r="AG109" i="263"/>
  <c r="AH109" i="263" s="1"/>
  <c r="BA109" i="263" s="1"/>
  <c r="BF109" i="263"/>
  <c r="BH105" i="263"/>
  <c r="AZ105" i="263"/>
  <c r="AG112" i="263"/>
  <c r="AH112" i="263" s="1"/>
  <c r="BA112" i="263" s="1"/>
  <c r="BF112" i="263"/>
  <c r="AZ96" i="263"/>
  <c r="BH82" i="263"/>
  <c r="BC82" i="263"/>
  <c r="AG77" i="263"/>
  <c r="AH77" i="263" s="1"/>
  <c r="BF77" i="263"/>
  <c r="BK73" i="263"/>
  <c r="BE73" i="263"/>
  <c r="BK69" i="263"/>
  <c r="BE69" i="263"/>
  <c r="AG69" i="263"/>
  <c r="AH69" i="263" s="1"/>
  <c r="BA69" i="263" s="1"/>
  <c r="BF69" i="263"/>
  <c r="BK68" i="263"/>
  <c r="BE68" i="263"/>
  <c r="BF58" i="263"/>
  <c r="AG58" i="263"/>
  <c r="AH58" i="263" s="1"/>
  <c r="BA58" i="263" s="1"/>
  <c r="AZ62" i="263"/>
  <c r="BH113" i="263"/>
  <c r="AZ113" i="263"/>
  <c r="AZ115" i="263"/>
  <c r="BB115" i="263"/>
  <c r="BK114" i="263"/>
  <c r="BE114" i="263"/>
  <c r="BH110" i="263"/>
  <c r="AZ110" i="263"/>
  <c r="BC117" i="263"/>
  <c r="BC113" i="263"/>
  <c r="BH101" i="263"/>
  <c r="BC101" i="263"/>
  <c r="BF102" i="263"/>
  <c r="AG102" i="263"/>
  <c r="AH102" i="263" s="1"/>
  <c r="Y103" i="263"/>
  <c r="BK92" i="263"/>
  <c r="BE92" i="263"/>
  <c r="BF92" i="263"/>
  <c r="AG92" i="263"/>
  <c r="AH92" i="263" s="1"/>
  <c r="BA92" i="263" s="1"/>
  <c r="BK88" i="263"/>
  <c r="BE88" i="263"/>
  <c r="BF88" i="263"/>
  <c r="AG88" i="263"/>
  <c r="AH88" i="263" s="1"/>
  <c r="BA88" i="263" s="1"/>
  <c r="BC96" i="263"/>
  <c r="AY96" i="263"/>
  <c r="P88" i="263"/>
  <c r="P98" i="263"/>
  <c r="Y91" i="263"/>
  <c r="BH83" i="263"/>
  <c r="AZ83" i="263"/>
  <c r="BK94" i="263"/>
  <c r="BE94" i="263"/>
  <c r="Y65" i="263"/>
  <c r="BH56" i="263"/>
  <c r="AZ56" i="263"/>
  <c r="BK72" i="263"/>
  <c r="BE72" i="263"/>
  <c r="BF50" i="263"/>
  <c r="AG50" i="263"/>
  <c r="AH50" i="263" s="1"/>
  <c r="BA50" i="263" s="1"/>
  <c r="BC62" i="263"/>
  <c r="AY62" i="263"/>
  <c r="Y57" i="263"/>
  <c r="BB50" i="263"/>
  <c r="BK80" i="263"/>
  <c r="BE80" i="263"/>
  <c r="BC79" i="263"/>
  <c r="BC74" i="263"/>
  <c r="Y61" i="263"/>
  <c r="BC46" i="263"/>
  <c r="BC63" i="263"/>
  <c r="BK104" i="263"/>
  <c r="BE104" i="263"/>
  <c r="BK103" i="263"/>
  <c r="BE103" i="263"/>
  <c r="BK91" i="263"/>
  <c r="BE91" i="263"/>
  <c r="BF87" i="263"/>
  <c r="AG87" i="263"/>
  <c r="AH87" i="263" s="1"/>
  <c r="BA87" i="263" s="1"/>
  <c r="BE85" i="263"/>
  <c r="BK85" i="263"/>
  <c r="BC105" i="263"/>
  <c r="BK77" i="263"/>
  <c r="BE77" i="263"/>
  <c r="AG73" i="263"/>
  <c r="AH73" i="263" s="1"/>
  <c r="BA73" i="263" s="1"/>
  <c r="BF73" i="263"/>
  <c r="BC118" i="263"/>
  <c r="P117" i="263"/>
  <c r="P113" i="263"/>
  <c r="BK115" i="263"/>
  <c r="BE115" i="263"/>
  <c r="BC114" i="263"/>
  <c r="AY114" i="263"/>
  <c r="AZ106" i="263"/>
  <c r="BH106" i="263"/>
  <c r="BC109" i="263"/>
  <c r="BE112" i="263"/>
  <c r="BK112" i="263"/>
  <c r="BC107" i="263"/>
  <c r="BC104" i="263"/>
  <c r="BC100" i="263"/>
  <c r="BH89" i="263"/>
  <c r="BC89" i="263"/>
  <c r="BF103" i="263"/>
  <c r="AG103" i="263"/>
  <c r="AH103" i="263" s="1"/>
  <c r="BA103" i="263" s="1"/>
  <c r="BC102" i="263"/>
  <c r="BG92" i="263"/>
  <c r="BB92" i="263"/>
  <c r="AZ92" i="263"/>
  <c r="BF90" i="263"/>
  <c r="AG90" i="263"/>
  <c r="AH90" i="263" s="1"/>
  <c r="BA90" i="263" s="1"/>
  <c r="BC110" i="263"/>
  <c r="BC97" i="263"/>
  <c r="BB96" i="263"/>
  <c r="BF96" i="263"/>
  <c r="AG96" i="263"/>
  <c r="AH96" i="263" s="1"/>
  <c r="BA96" i="263" s="1"/>
  <c r="BK90" i="263"/>
  <c r="BE90" i="263"/>
  <c r="BG85" i="263"/>
  <c r="BB85" i="263"/>
  <c r="BC98" i="263"/>
  <c r="BK98" i="263"/>
  <c r="BE98" i="263"/>
  <c r="AZ98" i="263"/>
  <c r="BB98" i="263"/>
  <c r="BF91" i="263"/>
  <c r="AG91" i="263"/>
  <c r="AH91" i="263" s="1"/>
  <c r="BA91" i="263" s="1"/>
  <c r="BB88" i="263"/>
  <c r="Y87" i="263"/>
  <c r="BC85" i="263"/>
  <c r="BK95" i="263"/>
  <c r="BE95" i="263"/>
  <c r="BC99" i="263"/>
  <c r="BB81" i="263"/>
  <c r="BC72" i="263"/>
  <c r="Y66" i="263"/>
  <c r="P55" i="263"/>
  <c r="BC54" i="263"/>
  <c r="BK50" i="263"/>
  <c r="BE50" i="263"/>
  <c r="BK84" i="263"/>
  <c r="BE84" i="263"/>
  <c r="AG62" i="263"/>
  <c r="AH62" i="263" s="1"/>
  <c r="BA62" i="263" s="1"/>
  <c r="BF62" i="263"/>
  <c r="BC80" i="263"/>
  <c r="AY80" i="263"/>
  <c r="BK55" i="263"/>
  <c r="BE55" i="263"/>
  <c r="BF55" i="263"/>
  <c r="AG55" i="263"/>
  <c r="AH55" i="263" s="1"/>
  <c r="BC77" i="263"/>
  <c r="BB58" i="263"/>
  <c r="BH57" i="263"/>
  <c r="BC57" i="263"/>
  <c r="BB77" i="263"/>
  <c r="BK76" i="263"/>
  <c r="BE76" i="263"/>
  <c r="BF46" i="263"/>
  <c r="AG46" i="263"/>
  <c r="AH46" i="263" s="1"/>
  <c r="BA46" i="263" s="1"/>
  <c r="BB46" i="263"/>
  <c r="BK45" i="263"/>
  <c r="BE45" i="263"/>
  <c r="AZ58" i="263"/>
  <c r="BB63" i="263"/>
  <c r="BC48" i="263"/>
  <c r="BC47" i="263"/>
  <c r="BD85" i="263" l="1"/>
  <c r="BA85" i="263"/>
  <c r="BD61" i="263"/>
  <c r="BA61" i="263"/>
  <c r="BD73" i="263"/>
  <c r="BD51" i="263"/>
  <c r="BD109" i="263"/>
  <c r="BD103" i="263"/>
  <c r="BD70" i="263"/>
  <c r="BD97" i="263"/>
  <c r="BD75" i="263"/>
  <c r="BD59" i="263"/>
  <c r="BD111" i="263"/>
  <c r="BD82" i="263"/>
  <c r="BD91" i="263"/>
  <c r="BD69" i="263"/>
  <c r="BD57" i="263"/>
  <c r="BD90" i="263"/>
  <c r="BD47" i="263"/>
  <c r="BD78" i="263"/>
  <c r="BD52" i="263"/>
  <c r="BD63" i="263"/>
  <c r="BD107" i="263"/>
  <c r="BD110" i="263"/>
  <c r="BD46" i="263"/>
  <c r="BD53" i="263"/>
  <c r="BD116" i="263"/>
  <c r="BD60" i="263"/>
  <c r="BD86" i="263"/>
  <c r="BD68" i="263"/>
  <c r="BD79" i="263"/>
  <c r="BD89" i="263"/>
  <c r="BD81" i="263"/>
  <c r="BD67" i="263"/>
  <c r="BD104" i="263"/>
  <c r="BD93" i="263"/>
  <c r="BD48" i="263"/>
  <c r="BD101" i="263"/>
  <c r="BD99" i="263"/>
  <c r="BD87" i="263"/>
  <c r="BD72" i="263"/>
  <c r="BD71" i="263"/>
  <c r="BD64" i="263"/>
  <c r="BD117" i="263"/>
  <c r="BD83" i="263"/>
  <c r="BD74" i="263"/>
  <c r="BD66" i="263"/>
  <c r="BD106" i="263"/>
  <c r="BD77" i="263"/>
  <c r="BD115" i="263"/>
  <c r="BD80" i="263"/>
  <c r="BD88" i="263"/>
  <c r="BD84" i="263"/>
  <c r="BD118" i="263"/>
  <c r="BD108" i="263"/>
  <c r="BA114" i="263"/>
  <c r="BD114" i="263"/>
  <c r="BD58" i="263"/>
  <c r="BD113" i="263"/>
  <c r="BD45" i="263"/>
  <c r="BD102" i="263"/>
  <c r="BD100" i="263"/>
  <c r="BD50" i="263"/>
  <c r="BD105" i="263"/>
  <c r="BD112" i="263"/>
  <c r="BD92" i="263"/>
  <c r="BD56" i="263"/>
  <c r="BD65" i="263"/>
  <c r="BD98" i="263"/>
  <c r="BD62" i="263"/>
  <c r="B20" i="263"/>
  <c r="B18" i="263" s="1"/>
  <c r="B16" i="263"/>
  <c r="BD55" i="263"/>
  <c r="BD96" i="263"/>
  <c r="BD76" i="263"/>
  <c r="BD54" i="263"/>
  <c r="B34" i="263"/>
  <c r="BD94" i="263"/>
  <c r="CW180" i="31"/>
  <c r="BS180" i="31"/>
  <c r="BQ180" i="31"/>
  <c r="BR180" i="31" s="1"/>
  <c r="BH180" i="31"/>
  <c r="BF180" i="31"/>
  <c r="BG180" i="31" s="1"/>
  <c r="AU180" i="31"/>
  <c r="AV180" i="31" s="1"/>
  <c r="AJ180" i="31"/>
  <c r="AK180" i="31" s="1"/>
  <c r="Y180" i="31"/>
  <c r="Z180" i="31" s="1"/>
  <c r="L180" i="31"/>
  <c r="CW179" i="31"/>
  <c r="BS179" i="31"/>
  <c r="BR179" i="31"/>
  <c r="BQ179" i="31"/>
  <c r="BH179" i="31"/>
  <c r="BF179" i="31"/>
  <c r="BG179" i="31" s="1"/>
  <c r="AU179" i="31"/>
  <c r="AV179" i="31" s="1"/>
  <c r="AJ179" i="31"/>
  <c r="AK179" i="31" s="1"/>
  <c r="Y179" i="31"/>
  <c r="Z179" i="31" s="1"/>
  <c r="L179" i="31"/>
  <c r="CW178" i="31"/>
  <c r="BS178" i="31"/>
  <c r="BR178" i="31"/>
  <c r="BQ178" i="31"/>
  <c r="BH178" i="31"/>
  <c r="BF178" i="31"/>
  <c r="BG178" i="31" s="1"/>
  <c r="AU178" i="31"/>
  <c r="AV178" i="31" s="1"/>
  <c r="AJ178" i="31"/>
  <c r="AK178" i="31" s="1"/>
  <c r="Y178" i="31"/>
  <c r="Z178" i="31" s="1"/>
  <c r="L178" i="31"/>
  <c r="CW177" i="31"/>
  <c r="BS177" i="31"/>
  <c r="BR177" i="31"/>
  <c r="BQ177" i="31"/>
  <c r="BH177" i="31"/>
  <c r="BG177" i="31"/>
  <c r="BF177" i="31"/>
  <c r="AU177" i="31"/>
  <c r="AV177" i="31" s="1"/>
  <c r="AK177" i="31"/>
  <c r="AJ177" i="31"/>
  <c r="Y177" i="31"/>
  <c r="Z177" i="31" s="1"/>
  <c r="L177" i="31"/>
  <c r="CW176" i="31"/>
  <c r="BS176" i="31"/>
  <c r="BR176" i="31"/>
  <c r="BQ176" i="31"/>
  <c r="BH176" i="31"/>
  <c r="BF176" i="31"/>
  <c r="BG176" i="31" s="1"/>
  <c r="AV176" i="31"/>
  <c r="AU176" i="31"/>
  <c r="AJ176" i="31"/>
  <c r="AK176" i="31" s="1"/>
  <c r="Z176" i="31"/>
  <c r="Y176" i="31"/>
  <c r="L176" i="31"/>
  <c r="CW175" i="31"/>
  <c r="BS175" i="31"/>
  <c r="BR175" i="31"/>
  <c r="BQ175" i="31"/>
  <c r="BH175" i="31"/>
  <c r="BG175" i="31"/>
  <c r="BF175" i="31"/>
  <c r="AU175" i="31"/>
  <c r="AV175" i="31" s="1"/>
  <c r="AK175" i="31"/>
  <c r="AJ175" i="31"/>
  <c r="Y175" i="31"/>
  <c r="Z175" i="31" s="1"/>
  <c r="L175" i="31"/>
  <c r="CW174" i="31"/>
  <c r="BS174" i="31"/>
  <c r="BR174" i="31"/>
  <c r="BQ174" i="31"/>
  <c r="BH174" i="31"/>
  <c r="BF174" i="31"/>
  <c r="BG174" i="31" s="1"/>
  <c r="AW174" i="31"/>
  <c r="AV174" i="31"/>
  <c r="AU174" i="31"/>
  <c r="AK174" i="31"/>
  <c r="AJ174" i="31"/>
  <c r="Z174" i="31"/>
  <c r="Y174" i="31"/>
  <c r="L174" i="31"/>
  <c r="CW173" i="31"/>
  <c r="BS173" i="31"/>
  <c r="BQ173" i="31"/>
  <c r="BR173" i="31" s="1"/>
  <c r="BH173" i="31"/>
  <c r="BG173" i="31"/>
  <c r="BF173" i="31"/>
  <c r="AW173" i="31"/>
  <c r="AV173" i="31"/>
  <c r="AU173" i="31"/>
  <c r="AJ173" i="31"/>
  <c r="AK173" i="31" s="1"/>
  <c r="Z173" i="31"/>
  <c r="Y173" i="31"/>
  <c r="L173" i="31"/>
  <c r="CW172" i="31"/>
  <c r="BS172" i="31"/>
  <c r="BR172" i="31"/>
  <c r="BQ172" i="31"/>
  <c r="BH172" i="31"/>
  <c r="BG172" i="31"/>
  <c r="BF172" i="31"/>
  <c r="AW172" i="31"/>
  <c r="AV172" i="31"/>
  <c r="AU172" i="31"/>
  <c r="AK172" i="31"/>
  <c r="AJ172" i="31"/>
  <c r="Z172" i="31"/>
  <c r="Y172" i="31"/>
  <c r="L172" i="31"/>
  <c r="CW171" i="31"/>
  <c r="BS171" i="31"/>
  <c r="BR171" i="31"/>
  <c r="BQ171" i="31"/>
  <c r="BH171" i="31"/>
  <c r="BG171" i="31"/>
  <c r="BF171" i="31"/>
  <c r="AW171" i="31"/>
  <c r="AU171" i="31"/>
  <c r="AV171" i="31" s="1"/>
  <c r="AK171" i="31"/>
  <c r="AJ171" i="31"/>
  <c r="Y171" i="31"/>
  <c r="Z171" i="31" s="1"/>
  <c r="L171" i="31"/>
  <c r="CW170" i="31"/>
  <c r="BS170" i="31"/>
  <c r="BR170" i="31"/>
  <c r="BQ170" i="31"/>
  <c r="BH170" i="31"/>
  <c r="BF170" i="31"/>
  <c r="BG170" i="31" s="1"/>
  <c r="AV170" i="31"/>
  <c r="AU170" i="31"/>
  <c r="AJ170" i="31"/>
  <c r="AK170" i="31" s="1"/>
  <c r="Z170" i="31"/>
  <c r="Y170" i="31"/>
  <c r="L170" i="31"/>
  <c r="CW169" i="31"/>
  <c r="BS169" i="31"/>
  <c r="BR169" i="31"/>
  <c r="BQ169" i="31"/>
  <c r="BH169" i="31"/>
  <c r="BG169" i="31"/>
  <c r="BF169" i="31"/>
  <c r="AU169" i="31"/>
  <c r="AV169" i="31" s="1"/>
  <c r="AK169" i="31"/>
  <c r="AJ169" i="31"/>
  <c r="Y169" i="31"/>
  <c r="Z169" i="31" s="1"/>
  <c r="L169" i="31"/>
  <c r="CW168" i="31"/>
  <c r="BS168" i="31"/>
  <c r="BR168" i="31"/>
  <c r="BQ168" i="31"/>
  <c r="BH168" i="31"/>
  <c r="BF168" i="31"/>
  <c r="BG168" i="31" s="1"/>
  <c r="AW168" i="31"/>
  <c r="AV168" i="31"/>
  <c r="AU168" i="31"/>
  <c r="AK168" i="31"/>
  <c r="AJ168" i="31"/>
  <c r="Z168" i="31"/>
  <c r="Y168" i="31"/>
  <c r="L168" i="31"/>
  <c r="CW167" i="31"/>
  <c r="BS167" i="31"/>
  <c r="BQ167" i="31"/>
  <c r="BR167" i="31" s="1"/>
  <c r="BH167" i="31"/>
  <c r="BG167" i="31"/>
  <c r="BF167" i="31"/>
  <c r="AW167" i="31"/>
  <c r="AV167" i="31"/>
  <c r="AU167" i="31"/>
  <c r="AJ167" i="31"/>
  <c r="AK167" i="31" s="1"/>
  <c r="Z167" i="31"/>
  <c r="Y167" i="31"/>
  <c r="L167" i="31"/>
  <c r="CW166" i="31"/>
  <c r="BS166" i="31"/>
  <c r="BR166" i="31"/>
  <c r="BQ166" i="31"/>
  <c r="BH166" i="31"/>
  <c r="BG166" i="31"/>
  <c r="BF166" i="31"/>
  <c r="AW166" i="31"/>
  <c r="AV166" i="31"/>
  <c r="AU166" i="31"/>
  <c r="AK166" i="31"/>
  <c r="AJ166" i="31"/>
  <c r="Z166" i="31"/>
  <c r="Y166" i="31"/>
  <c r="L166" i="31"/>
  <c r="CW165" i="31"/>
  <c r="BS165" i="31"/>
  <c r="BR165" i="31"/>
  <c r="BQ165" i="31"/>
  <c r="BH165" i="31"/>
  <c r="BG165" i="31"/>
  <c r="BF165" i="31"/>
  <c r="AW165" i="31"/>
  <c r="AU165" i="31"/>
  <c r="AV165" i="31" s="1"/>
  <c r="AK165" i="31"/>
  <c r="AJ165" i="31"/>
  <c r="Y165" i="31"/>
  <c r="Z165" i="31" s="1"/>
  <c r="L165" i="31"/>
  <c r="CW164" i="31"/>
  <c r="BS164" i="31"/>
  <c r="BR164" i="31"/>
  <c r="BQ164" i="31"/>
  <c r="BH164" i="31"/>
  <c r="BF164" i="31"/>
  <c r="BG164" i="31" s="1"/>
  <c r="AV164" i="31"/>
  <c r="AU164" i="31"/>
  <c r="AJ164" i="31"/>
  <c r="AK164" i="31" s="1"/>
  <c r="Z164" i="31"/>
  <c r="Y164" i="31"/>
  <c r="L164" i="31"/>
  <c r="CW163" i="31"/>
  <c r="BS163" i="31"/>
  <c r="BR163" i="31"/>
  <c r="BQ163" i="31"/>
  <c r="BH163" i="31"/>
  <c r="BG163" i="31"/>
  <c r="BF163" i="31"/>
  <c r="AW163" i="31"/>
  <c r="AV163" i="31"/>
  <c r="AU163" i="31"/>
  <c r="AK163" i="31"/>
  <c r="AJ163" i="31"/>
  <c r="Z163" i="31"/>
  <c r="Y163" i="31"/>
  <c r="L163" i="31"/>
  <c r="CW162" i="31"/>
  <c r="BS162" i="31"/>
  <c r="BR162" i="31"/>
  <c r="BQ162" i="31"/>
  <c r="BH162" i="31"/>
  <c r="BG162" i="31"/>
  <c r="BF162" i="31"/>
  <c r="AV162" i="31"/>
  <c r="AU162" i="31"/>
  <c r="AK162" i="31"/>
  <c r="AJ162" i="31"/>
  <c r="Z162" i="31"/>
  <c r="Y162" i="31"/>
  <c r="L162" i="31"/>
  <c r="BS161" i="31"/>
  <c r="BR161" i="31"/>
  <c r="BQ161" i="31"/>
  <c r="BI161" i="31"/>
  <c r="BH161" i="31"/>
  <c r="BG161" i="31"/>
  <c r="BF161" i="31"/>
  <c r="AX161" i="31"/>
  <c r="AU161" i="31"/>
  <c r="AV161" i="31" s="1"/>
  <c r="AM161" i="31"/>
  <c r="AK161" i="31"/>
  <c r="AJ161" i="31"/>
  <c r="Z161" i="31"/>
  <c r="Y161" i="31"/>
  <c r="L161" i="31"/>
  <c r="BS160" i="31"/>
  <c r="BR160" i="31"/>
  <c r="BQ160" i="31"/>
  <c r="BH160" i="31"/>
  <c r="BF160" i="31"/>
  <c r="BG160" i="31" s="1"/>
  <c r="AU160" i="31"/>
  <c r="AV160" i="31" s="1"/>
  <c r="AJ160" i="31"/>
  <c r="AK160" i="31" s="1"/>
  <c r="Y160" i="31"/>
  <c r="Z160" i="31" s="1"/>
  <c r="L160" i="31"/>
  <c r="BS158" i="31"/>
  <c r="BQ158" i="31"/>
  <c r="BR158" i="31" s="1"/>
  <c r="BH158" i="31"/>
  <c r="BG158" i="31"/>
  <c r="BF158" i="31"/>
  <c r="AW158" i="31"/>
  <c r="AU158" i="31"/>
  <c r="AV158" i="31" s="1"/>
  <c r="AL158" i="31"/>
  <c r="AK158" i="31"/>
  <c r="AJ158" i="31"/>
  <c r="Z158" i="31"/>
  <c r="Y158" i="31"/>
  <c r="L158" i="31"/>
  <c r="BQ157" i="31"/>
  <c r="BR157" i="31" s="1"/>
  <c r="BF157" i="31"/>
  <c r="BG157" i="31" s="1"/>
  <c r="AU157" i="31"/>
  <c r="AV157" i="31" s="1"/>
  <c r="AJ157" i="31"/>
  <c r="AK157" i="31" s="1"/>
  <c r="Y157" i="31"/>
  <c r="Z157" i="31" s="1"/>
  <c r="L157" i="31"/>
  <c r="BS156" i="31"/>
  <c r="BQ156" i="31"/>
  <c r="BR156" i="31" s="1"/>
  <c r="BH156" i="31"/>
  <c r="BG156" i="31"/>
  <c r="BF156" i="31"/>
  <c r="AW156" i="31"/>
  <c r="AU156" i="31"/>
  <c r="AV156" i="31" s="1"/>
  <c r="AL156" i="31"/>
  <c r="AK156" i="31"/>
  <c r="AJ156" i="31"/>
  <c r="Z156" i="31"/>
  <c r="Y156" i="31"/>
  <c r="L156" i="31"/>
  <c r="BS155" i="31"/>
  <c r="BR155" i="31"/>
  <c r="BQ155" i="31"/>
  <c r="BH155" i="31"/>
  <c r="BF155" i="31"/>
  <c r="BG155" i="31" s="1"/>
  <c r="AW155" i="31"/>
  <c r="AV155" i="31"/>
  <c r="AU155" i="31"/>
  <c r="AL155" i="31"/>
  <c r="AJ155" i="31"/>
  <c r="AK155" i="31" s="1"/>
  <c r="Y155" i="31"/>
  <c r="Z155" i="31" s="1"/>
  <c r="L155" i="31"/>
  <c r="BS154" i="31"/>
  <c r="BQ154" i="31"/>
  <c r="BR154" i="31" s="1"/>
  <c r="BH154" i="31"/>
  <c r="BG154" i="31"/>
  <c r="BF154" i="31"/>
  <c r="AW154" i="31"/>
  <c r="AU154" i="31"/>
  <c r="AV154" i="31" s="1"/>
  <c r="AL154" i="31"/>
  <c r="AK154" i="31"/>
  <c r="AJ154" i="31"/>
  <c r="Z154" i="31"/>
  <c r="Y154" i="31"/>
  <c r="L154" i="31"/>
  <c r="BS153" i="31"/>
  <c r="BR153" i="31"/>
  <c r="BQ153" i="31"/>
  <c r="BH153" i="31"/>
  <c r="BF153" i="31"/>
  <c r="BG153" i="31" s="1"/>
  <c r="AX153" i="31"/>
  <c r="AV153" i="31"/>
  <c r="AU153" i="31"/>
  <c r="AK153" i="31"/>
  <c r="AJ153" i="31"/>
  <c r="Z153" i="31"/>
  <c r="Y153" i="31"/>
  <c r="L153" i="31"/>
  <c r="BS152" i="31"/>
  <c r="BR152" i="31"/>
  <c r="BQ152" i="31"/>
  <c r="BH152" i="31"/>
  <c r="BF152" i="31"/>
  <c r="BG152" i="31" s="1"/>
  <c r="AW152" i="31"/>
  <c r="AV152" i="31"/>
  <c r="AU152" i="31"/>
  <c r="AK152" i="31"/>
  <c r="AJ152" i="31"/>
  <c r="Z152" i="31"/>
  <c r="Y152" i="31"/>
  <c r="L152" i="31"/>
  <c r="BS151" i="31"/>
  <c r="BR151" i="31"/>
  <c r="BQ151" i="31"/>
  <c r="BH151" i="31"/>
  <c r="BF151" i="31"/>
  <c r="BG151" i="31" s="1"/>
  <c r="AW151" i="31"/>
  <c r="AV151" i="31"/>
  <c r="AU151" i="31"/>
  <c r="AK151" i="31"/>
  <c r="AJ151" i="31"/>
  <c r="Z151" i="31"/>
  <c r="Y151" i="31"/>
  <c r="L151" i="31"/>
  <c r="BS150" i="31"/>
  <c r="BR150" i="31"/>
  <c r="BQ150" i="31"/>
  <c r="BH150" i="31"/>
  <c r="BF150" i="31"/>
  <c r="BG150" i="31" s="1"/>
  <c r="AW150" i="31"/>
  <c r="AV150" i="31"/>
  <c r="AU150" i="31"/>
  <c r="AK150" i="31"/>
  <c r="AJ150" i="31"/>
  <c r="Z150" i="31"/>
  <c r="Y150" i="31"/>
  <c r="L150" i="31"/>
  <c r="BS149" i="31"/>
  <c r="BR149" i="31"/>
  <c r="BQ149" i="31"/>
  <c r="BH149" i="31"/>
  <c r="BF149" i="31"/>
  <c r="BG149" i="31" s="1"/>
  <c r="AW149" i="31"/>
  <c r="AV149" i="31"/>
  <c r="AU149" i="31"/>
  <c r="AK149" i="31"/>
  <c r="AJ149" i="31"/>
  <c r="Z149" i="31"/>
  <c r="Y149" i="31"/>
  <c r="L149" i="31"/>
  <c r="BS148" i="31"/>
  <c r="BR148" i="31"/>
  <c r="BQ148" i="31"/>
  <c r="BH148" i="31"/>
  <c r="BF148" i="31"/>
  <c r="BG148" i="31" s="1"/>
  <c r="AU148" i="31"/>
  <c r="AV148" i="31" s="1"/>
  <c r="AJ148" i="31"/>
  <c r="AK148" i="31" s="1"/>
  <c r="Y148" i="31"/>
  <c r="Z148" i="31" s="1"/>
  <c r="L148" i="31"/>
  <c r="BS147" i="31"/>
  <c r="BQ147" i="31"/>
  <c r="BR147" i="31" s="1"/>
  <c r="BF147" i="31"/>
  <c r="BG147" i="31" s="1"/>
  <c r="AU147" i="31"/>
  <c r="AV147" i="31" s="1"/>
  <c r="AJ147" i="31"/>
  <c r="AK147" i="31" s="1"/>
  <c r="AA147" i="31"/>
  <c r="Z147" i="31"/>
  <c r="Y147" i="31"/>
  <c r="L147" i="31"/>
  <c r="BQ146" i="31"/>
  <c r="BR146" i="31" s="1"/>
  <c r="BF146" i="31"/>
  <c r="BG146" i="31" s="1"/>
  <c r="AU146" i="31"/>
  <c r="AV146" i="31" s="1"/>
  <c r="AL146" i="31"/>
  <c r="AK146" i="31"/>
  <c r="AJ146" i="31"/>
  <c r="Z146" i="31"/>
  <c r="Y146" i="31"/>
  <c r="L146" i="31"/>
  <c r="BQ145" i="31"/>
  <c r="BR145" i="31" s="1"/>
  <c r="BF145" i="31"/>
  <c r="BG145" i="31" s="1"/>
  <c r="AU145" i="31"/>
  <c r="AV145" i="31" s="1"/>
  <c r="AJ145" i="31"/>
  <c r="AK145" i="31" s="1"/>
  <c r="Y145" i="31"/>
  <c r="Z145" i="31" s="1"/>
  <c r="L145" i="31"/>
  <c r="BR144" i="31"/>
  <c r="BQ144" i="31"/>
  <c r="BG144" i="31"/>
  <c r="BF144" i="31"/>
  <c r="AV144" i="31"/>
  <c r="AU144" i="31"/>
  <c r="AK144" i="31"/>
  <c r="AJ144" i="31"/>
  <c r="Z144" i="31"/>
  <c r="Y144" i="31"/>
  <c r="L144" i="31"/>
  <c r="BQ142" i="31"/>
  <c r="BR142" i="31" s="1"/>
  <c r="BF142" i="31"/>
  <c r="BG142" i="31" s="1"/>
  <c r="AU142" i="31"/>
  <c r="AV142" i="31" s="1"/>
  <c r="AJ142" i="31"/>
  <c r="AK142" i="31" s="1"/>
  <c r="Y142" i="31"/>
  <c r="Z142" i="31" s="1"/>
  <c r="L142" i="31"/>
  <c r="BR141" i="31"/>
  <c r="BQ141" i="31"/>
  <c r="BG141" i="31"/>
  <c r="BF141" i="31"/>
  <c r="AX141" i="31"/>
  <c r="AU141" i="31"/>
  <c r="AV141" i="31" s="1"/>
  <c r="AL141" i="31"/>
  <c r="AK141" i="31"/>
  <c r="AJ141" i="31"/>
  <c r="Z141" i="31"/>
  <c r="Y141" i="31"/>
  <c r="L141" i="31"/>
  <c r="BS140" i="31"/>
  <c r="BR140" i="31"/>
  <c r="BQ140" i="31"/>
  <c r="BH140" i="31"/>
  <c r="BF140" i="31"/>
  <c r="BG140" i="31" s="1"/>
  <c r="AW140" i="31"/>
  <c r="AV140" i="31"/>
  <c r="AU140" i="31"/>
  <c r="AL140" i="31"/>
  <c r="AJ140" i="31"/>
  <c r="AK140" i="31" s="1"/>
  <c r="AA140" i="31"/>
  <c r="Z140" i="31"/>
  <c r="Y140" i="31"/>
  <c r="L140" i="31"/>
  <c r="BS139" i="31"/>
  <c r="BR139" i="31"/>
  <c r="BQ139" i="31"/>
  <c r="BH139" i="31"/>
  <c r="BF139" i="31"/>
  <c r="BG139" i="31" s="1"/>
  <c r="AW139" i="31"/>
  <c r="AV139" i="31"/>
  <c r="AU139" i="31"/>
  <c r="AL139" i="31"/>
  <c r="AJ139" i="31"/>
  <c r="AK139" i="31" s="1"/>
  <c r="AA139" i="31"/>
  <c r="Z139" i="31"/>
  <c r="Y139" i="31"/>
  <c r="L139" i="31"/>
  <c r="BS138" i="31"/>
  <c r="BR138" i="31"/>
  <c r="BQ138" i="31"/>
  <c r="BH138" i="31"/>
  <c r="BF138" i="31"/>
  <c r="BG138" i="31" s="1"/>
  <c r="AW138" i="31"/>
  <c r="AV138" i="31"/>
  <c r="AU138" i="31"/>
  <c r="AL138" i="31"/>
  <c r="AJ138" i="31"/>
  <c r="AK138" i="31" s="1"/>
  <c r="AA138" i="31"/>
  <c r="Z138" i="31"/>
  <c r="Y138" i="31"/>
  <c r="L138" i="31"/>
  <c r="BQ137" i="31"/>
  <c r="BR137" i="31" s="1"/>
  <c r="BF137" i="31"/>
  <c r="BG137" i="31" s="1"/>
  <c r="AU137" i="31"/>
  <c r="AV137" i="31" s="1"/>
  <c r="AJ137" i="31"/>
  <c r="AK137" i="31" s="1"/>
  <c r="Y137" i="31"/>
  <c r="Z137" i="31" s="1"/>
  <c r="L137" i="31"/>
  <c r="BR136" i="31"/>
  <c r="BQ136" i="31"/>
  <c r="BG136" i="31"/>
  <c r="BF136" i="31"/>
  <c r="AV136" i="31"/>
  <c r="AU136" i="31"/>
  <c r="AK136" i="31"/>
  <c r="AJ136" i="31"/>
  <c r="Z136" i="31"/>
  <c r="Y136" i="31"/>
  <c r="L136" i="31"/>
  <c r="BQ135" i="31"/>
  <c r="BR135" i="31" s="1"/>
  <c r="BH135" i="31"/>
  <c r="BG135" i="31"/>
  <c r="BF135" i="31"/>
  <c r="AW135" i="31"/>
  <c r="AU135" i="31"/>
  <c r="AV135" i="31" s="1"/>
  <c r="AL135" i="31"/>
  <c r="AK135" i="31"/>
  <c r="AJ135" i="31"/>
  <c r="Z135" i="31"/>
  <c r="Y135" i="31"/>
  <c r="L135" i="31"/>
  <c r="BS134" i="31"/>
  <c r="BR134" i="31"/>
  <c r="BQ134" i="31"/>
  <c r="BH134" i="31"/>
  <c r="BF134" i="31"/>
  <c r="BG134" i="31" s="1"/>
  <c r="AW134" i="31"/>
  <c r="AV134" i="31"/>
  <c r="AU134" i="31"/>
  <c r="AL134" i="31"/>
  <c r="AJ134" i="31"/>
  <c r="AK134" i="31" s="1"/>
  <c r="AA134" i="31"/>
  <c r="Z134" i="31"/>
  <c r="Y134" i="31"/>
  <c r="L134" i="31"/>
  <c r="BS133" i="31"/>
  <c r="BR133" i="31"/>
  <c r="BQ133" i="31"/>
  <c r="BH133" i="31"/>
  <c r="BF133" i="31"/>
  <c r="BG133" i="31" s="1"/>
  <c r="AW133" i="31"/>
  <c r="AV133" i="31"/>
  <c r="AU133" i="31"/>
  <c r="AL133" i="31"/>
  <c r="AJ133" i="31"/>
  <c r="AK133" i="31" s="1"/>
  <c r="AA133" i="31"/>
  <c r="Z133" i="31"/>
  <c r="Y133" i="31"/>
  <c r="L133" i="31"/>
  <c r="BS132" i="31"/>
  <c r="BR132" i="31"/>
  <c r="BQ132" i="31"/>
  <c r="BH132" i="31"/>
  <c r="BF132" i="31"/>
  <c r="BG132" i="31" s="1"/>
  <c r="AW132" i="31"/>
  <c r="AV132" i="31"/>
  <c r="AU132" i="31"/>
  <c r="AK132" i="31"/>
  <c r="AJ132" i="31"/>
  <c r="AA132" i="31"/>
  <c r="Y132" i="31"/>
  <c r="Z132" i="31" s="1"/>
  <c r="L132" i="31"/>
  <c r="BR131" i="31"/>
  <c r="BQ131" i="31"/>
  <c r="BH131" i="31"/>
  <c r="BF131" i="31"/>
  <c r="BG131" i="31" s="1"/>
  <c r="AU131" i="31"/>
  <c r="AV131" i="31" s="1"/>
  <c r="AJ131" i="31"/>
  <c r="AK131" i="31" s="1"/>
  <c r="Y131" i="31"/>
  <c r="Z131" i="31" s="1"/>
  <c r="L131" i="31"/>
  <c r="BR130" i="31"/>
  <c r="BQ130" i="31"/>
  <c r="BG130" i="31"/>
  <c r="BF130" i="31"/>
  <c r="AV130" i="31"/>
  <c r="AU130" i="31"/>
  <c r="AK130" i="31"/>
  <c r="AJ130" i="31"/>
  <c r="Z130" i="31"/>
  <c r="Y130" i="31"/>
  <c r="L130" i="31"/>
  <c r="BQ129" i="31"/>
  <c r="BR129" i="31" s="1"/>
  <c r="BF129" i="31"/>
  <c r="BG129" i="31" s="1"/>
  <c r="AU129" i="31"/>
  <c r="AV129" i="31" s="1"/>
  <c r="AJ129" i="31"/>
  <c r="AK129" i="31" s="1"/>
  <c r="Y129" i="31"/>
  <c r="Z129" i="31" s="1"/>
  <c r="L129" i="31"/>
  <c r="BR128" i="31"/>
  <c r="BQ128" i="31"/>
  <c r="BG128" i="31"/>
  <c r="BF128" i="31"/>
  <c r="AV128" i="31"/>
  <c r="AU128" i="31"/>
  <c r="AK128" i="31"/>
  <c r="AJ128" i="31"/>
  <c r="Z128" i="31"/>
  <c r="Y128" i="31"/>
  <c r="L128" i="31"/>
  <c r="BS127" i="31"/>
  <c r="BR127" i="31"/>
  <c r="BQ127" i="31"/>
  <c r="BH127" i="31"/>
  <c r="BF127" i="31"/>
  <c r="BG127" i="31" s="1"/>
  <c r="AU127" i="31"/>
  <c r="AV127" i="31" s="1"/>
  <c r="AJ127" i="31"/>
  <c r="AK127" i="31" s="1"/>
  <c r="AA127" i="31"/>
  <c r="Z127" i="31"/>
  <c r="Y127" i="31"/>
  <c r="L127" i="31"/>
  <c r="BS126" i="31"/>
  <c r="BR126" i="31"/>
  <c r="BQ126" i="31"/>
  <c r="BH126" i="31"/>
  <c r="BF126" i="31"/>
  <c r="BG126" i="31" s="1"/>
  <c r="AU126" i="31"/>
  <c r="AV126" i="31" s="1"/>
  <c r="AJ126" i="31"/>
  <c r="AK126" i="31" s="1"/>
  <c r="Y126" i="31"/>
  <c r="Z126" i="31" s="1"/>
  <c r="L126" i="31"/>
  <c r="BR125" i="31"/>
  <c r="BQ125" i="31"/>
  <c r="BG125" i="31"/>
  <c r="BF125" i="31"/>
  <c r="AV125" i="31"/>
  <c r="AU125" i="31"/>
  <c r="AK125" i="31"/>
  <c r="AJ125" i="31"/>
  <c r="Z125" i="31"/>
  <c r="Y125" i="31"/>
  <c r="L125" i="31"/>
  <c r="BQ124" i="31"/>
  <c r="BR124" i="31" s="1"/>
  <c r="BF124" i="31"/>
  <c r="BG124" i="31" s="1"/>
  <c r="AU124" i="31"/>
  <c r="AV124" i="31" s="1"/>
  <c r="AJ124" i="31"/>
  <c r="AK124" i="31" s="1"/>
  <c r="Y124" i="31"/>
  <c r="Z124" i="31" s="1"/>
  <c r="L124" i="31"/>
  <c r="BR123" i="31"/>
  <c r="BQ123" i="31"/>
  <c r="BG123" i="31"/>
  <c r="BF123" i="31"/>
  <c r="AV123" i="31"/>
  <c r="AU123" i="31"/>
  <c r="AK123" i="31"/>
  <c r="AJ123" i="31"/>
  <c r="Z123" i="31"/>
  <c r="Y123" i="31"/>
  <c r="L123" i="31"/>
  <c r="BQ122" i="31"/>
  <c r="BR122" i="31" s="1"/>
  <c r="BH122" i="31"/>
  <c r="BG122" i="31"/>
  <c r="BF122" i="31"/>
  <c r="AW122" i="31"/>
  <c r="AU122" i="31"/>
  <c r="AV122" i="31" s="1"/>
  <c r="AL122" i="31"/>
  <c r="AK122" i="31"/>
  <c r="AJ122" i="31"/>
  <c r="Z122" i="31"/>
  <c r="Y122" i="31"/>
  <c r="L122" i="31"/>
  <c r="BQ121" i="31"/>
  <c r="BR121" i="31" s="1"/>
  <c r="BF121" i="31"/>
  <c r="BG121" i="31" s="1"/>
  <c r="AU121" i="31"/>
  <c r="AV121" i="31" s="1"/>
  <c r="AJ121" i="31"/>
  <c r="AK121" i="31" s="1"/>
  <c r="Y121" i="31"/>
  <c r="Z121" i="31" s="1"/>
  <c r="L121" i="31"/>
  <c r="BR120" i="31"/>
  <c r="BQ120" i="31"/>
  <c r="BG120" i="31"/>
  <c r="BF120" i="31"/>
  <c r="AV120" i="31"/>
  <c r="AU120" i="31"/>
  <c r="AK120" i="31"/>
  <c r="AJ120" i="31"/>
  <c r="Z120" i="31"/>
  <c r="Y120" i="31"/>
  <c r="L120" i="31"/>
  <c r="BQ119" i="31"/>
  <c r="BR119" i="31" s="1"/>
  <c r="BF119" i="31"/>
  <c r="BG119" i="31" s="1"/>
  <c r="AU119" i="31"/>
  <c r="AV119" i="31" s="1"/>
  <c r="AJ119" i="31"/>
  <c r="AK119" i="31" s="1"/>
  <c r="Y119" i="31"/>
  <c r="Z119" i="31" s="1"/>
  <c r="L119" i="31"/>
  <c r="BS118" i="31"/>
  <c r="BQ118" i="31"/>
  <c r="BR118" i="31" s="1"/>
  <c r="BH118" i="31"/>
  <c r="BG118" i="31"/>
  <c r="BF118" i="31"/>
  <c r="AW118" i="31"/>
  <c r="AU118" i="31"/>
  <c r="AV118" i="31" s="1"/>
  <c r="AL118" i="31"/>
  <c r="AK118" i="31"/>
  <c r="AJ118" i="31"/>
  <c r="Z118" i="31"/>
  <c r="Y118" i="31"/>
  <c r="L118" i="31"/>
  <c r="BS117" i="31"/>
  <c r="BR117" i="31"/>
  <c r="BQ117" i="31"/>
  <c r="BH117" i="31"/>
  <c r="BF117" i="31"/>
  <c r="BG117" i="31" s="1"/>
  <c r="AW117" i="31"/>
  <c r="AV117" i="31"/>
  <c r="AU117" i="31"/>
  <c r="AL117" i="31"/>
  <c r="AJ117" i="31"/>
  <c r="AK117" i="31" s="1"/>
  <c r="Y117" i="31"/>
  <c r="Z117" i="31" s="1"/>
  <c r="L117" i="31"/>
  <c r="BS116" i="31"/>
  <c r="BQ116" i="31"/>
  <c r="BR116" i="31" s="1"/>
  <c r="BH116" i="31"/>
  <c r="BG116" i="31"/>
  <c r="BF116" i="31"/>
  <c r="AW116" i="31"/>
  <c r="AU116" i="31"/>
  <c r="AV116" i="31" s="1"/>
  <c r="AL116" i="31"/>
  <c r="AK116" i="31"/>
  <c r="AJ116" i="31"/>
  <c r="Z116" i="31"/>
  <c r="Y116" i="31"/>
  <c r="L116" i="31"/>
  <c r="BS115" i="31"/>
  <c r="BR115" i="31"/>
  <c r="BQ115" i="31"/>
  <c r="BH115" i="31"/>
  <c r="BF115" i="31"/>
  <c r="BG115" i="31" s="1"/>
  <c r="AW115" i="31"/>
  <c r="AV115" i="31"/>
  <c r="AU115" i="31"/>
  <c r="AL115" i="31"/>
  <c r="AJ115" i="31"/>
  <c r="AK115" i="31" s="1"/>
  <c r="Y115" i="31"/>
  <c r="Z115" i="31" s="1"/>
  <c r="L115" i="31"/>
  <c r="BS114" i="31"/>
  <c r="BQ114" i="31"/>
  <c r="BR114" i="31" s="1"/>
  <c r="BH114" i="31"/>
  <c r="BG114" i="31"/>
  <c r="BF114" i="31"/>
  <c r="AW114" i="31"/>
  <c r="AU114" i="31"/>
  <c r="AV114" i="31" s="1"/>
  <c r="AJ114" i="31"/>
  <c r="AK114" i="31" s="1"/>
  <c r="Y114" i="31"/>
  <c r="Z114" i="31" s="1"/>
  <c r="L114" i="31"/>
  <c r="BS113" i="31"/>
  <c r="BQ113" i="31"/>
  <c r="BR113" i="31" s="1"/>
  <c r="BH113" i="31"/>
  <c r="BG113" i="31"/>
  <c r="BF113" i="31"/>
  <c r="AW113" i="31"/>
  <c r="AU113" i="31"/>
  <c r="AV113" i="31" s="1"/>
  <c r="AL113" i="31"/>
  <c r="AJ113" i="31"/>
  <c r="AK113" i="31" s="1"/>
  <c r="AA113" i="31"/>
  <c r="Y113" i="31"/>
  <c r="Z113" i="31" s="1"/>
  <c r="L113" i="31"/>
  <c r="BR112" i="31"/>
  <c r="BQ112" i="31"/>
  <c r="BG112" i="31"/>
  <c r="BF112" i="31"/>
  <c r="AV112" i="31"/>
  <c r="AU112" i="31"/>
  <c r="AK112" i="31"/>
  <c r="AJ112" i="31"/>
  <c r="Z112" i="31"/>
  <c r="Y112" i="31"/>
  <c r="L112" i="31"/>
  <c r="BQ111" i="31"/>
  <c r="BR111" i="31" s="1"/>
  <c r="BF111" i="31"/>
  <c r="BG111" i="31" s="1"/>
  <c r="AU111" i="31"/>
  <c r="AV111" i="31" s="1"/>
  <c r="AJ111" i="31"/>
  <c r="AK111" i="31" s="1"/>
  <c r="Y111" i="31"/>
  <c r="Z111" i="31" s="1"/>
  <c r="L111" i="31"/>
  <c r="BR110" i="31"/>
  <c r="BQ110" i="31"/>
  <c r="BF110" i="31"/>
  <c r="BG110" i="31" s="1"/>
  <c r="AV110" i="31"/>
  <c r="AU110" i="31"/>
  <c r="AK110" i="31"/>
  <c r="AJ110" i="31"/>
  <c r="Z110" i="31"/>
  <c r="Y110" i="31"/>
  <c r="L110" i="31"/>
  <c r="BQ108" i="31"/>
  <c r="BR108" i="31" s="1"/>
  <c r="BF108" i="31"/>
  <c r="BG108" i="31" s="1"/>
  <c r="AU108" i="31"/>
  <c r="AV108" i="31" s="1"/>
  <c r="AJ108" i="31"/>
  <c r="AK108" i="31" s="1"/>
  <c r="Y108" i="31"/>
  <c r="Z108" i="31" s="1"/>
  <c r="L108" i="31"/>
  <c r="BR107" i="31"/>
  <c r="BQ107" i="31"/>
  <c r="BG107" i="31"/>
  <c r="BF107" i="31"/>
  <c r="AX107" i="31"/>
  <c r="AU107" i="31"/>
  <c r="AV107" i="31" s="1"/>
  <c r="AL107" i="31"/>
  <c r="AK107" i="31"/>
  <c r="AJ107" i="31"/>
  <c r="Z107" i="31"/>
  <c r="Y107" i="31"/>
  <c r="L107" i="31"/>
  <c r="BS106" i="31"/>
  <c r="BR106" i="31"/>
  <c r="BQ106" i="31"/>
  <c r="BH106" i="31"/>
  <c r="BF106" i="31"/>
  <c r="BG106" i="31" s="1"/>
  <c r="AW106" i="31"/>
  <c r="AV106" i="31"/>
  <c r="AU106" i="31"/>
  <c r="AL106" i="31"/>
  <c r="AJ106" i="31"/>
  <c r="AK106" i="31" s="1"/>
  <c r="AA106" i="31"/>
  <c r="Z106" i="31"/>
  <c r="Y106" i="31"/>
  <c r="L106" i="31"/>
  <c r="BS105" i="31"/>
  <c r="BR105" i="31"/>
  <c r="BQ105" i="31"/>
  <c r="BH105" i="31"/>
  <c r="BF105" i="31"/>
  <c r="BG105" i="31" s="1"/>
  <c r="AW105" i="31"/>
  <c r="AV105" i="31"/>
  <c r="AU105" i="31"/>
  <c r="AL105" i="31"/>
  <c r="AJ105" i="31"/>
  <c r="AK105" i="31" s="1"/>
  <c r="AA105" i="31"/>
  <c r="Z105" i="31"/>
  <c r="Y105" i="31"/>
  <c r="L105" i="31"/>
  <c r="BQ104" i="31"/>
  <c r="BR104" i="31" s="1"/>
  <c r="BF104" i="31"/>
  <c r="BG104" i="31" s="1"/>
  <c r="AU104" i="31"/>
  <c r="AV104" i="31" s="1"/>
  <c r="AJ104" i="31"/>
  <c r="AK104" i="31" s="1"/>
  <c r="Y104" i="31"/>
  <c r="Z104" i="31" s="1"/>
  <c r="L104" i="31"/>
  <c r="BR103" i="31"/>
  <c r="BQ103" i="31"/>
  <c r="BG103" i="31"/>
  <c r="BF103" i="31"/>
  <c r="AV103" i="31"/>
  <c r="AU103" i="31"/>
  <c r="AK103" i="31"/>
  <c r="AJ103" i="31"/>
  <c r="Z103" i="31"/>
  <c r="Y103" i="31"/>
  <c r="L103" i="31"/>
  <c r="BQ102" i="31"/>
  <c r="BR102" i="31" s="1"/>
  <c r="BF102" i="31"/>
  <c r="BG102" i="31" s="1"/>
  <c r="AU102" i="31"/>
  <c r="AV102" i="31" s="1"/>
  <c r="AJ102" i="31"/>
  <c r="AK102" i="31" s="1"/>
  <c r="Y102" i="31"/>
  <c r="Z102" i="31" s="1"/>
  <c r="L102" i="31"/>
  <c r="BR101" i="31"/>
  <c r="BQ101" i="31"/>
  <c r="BG101" i="31"/>
  <c r="BF101" i="31"/>
  <c r="AW101" i="31"/>
  <c r="AU101" i="31"/>
  <c r="AV101" i="31" s="1"/>
  <c r="AL101" i="31"/>
  <c r="AK101" i="31"/>
  <c r="AJ101" i="31"/>
  <c r="Z101" i="31"/>
  <c r="Y101" i="31"/>
  <c r="L101" i="31"/>
  <c r="BS100" i="31"/>
  <c r="BR100" i="31"/>
  <c r="BQ100" i="31"/>
  <c r="BH100" i="31"/>
  <c r="BF100" i="31"/>
  <c r="BG100" i="31" s="1"/>
  <c r="AW100" i="31"/>
  <c r="AV100" i="31"/>
  <c r="AU100" i="31"/>
  <c r="AL100" i="31"/>
  <c r="AJ100" i="31"/>
  <c r="AK100" i="31" s="1"/>
  <c r="AA100" i="31"/>
  <c r="Z100" i="31"/>
  <c r="Y100" i="31"/>
  <c r="L100" i="31"/>
  <c r="BS99" i="31"/>
  <c r="BR99" i="31"/>
  <c r="BQ99" i="31"/>
  <c r="BH99" i="31"/>
  <c r="BF99" i="31"/>
  <c r="BG99" i="31" s="1"/>
  <c r="AU99" i="31"/>
  <c r="AV99" i="31" s="1"/>
  <c r="AJ99" i="31"/>
  <c r="AK99" i="31" s="1"/>
  <c r="AA99" i="31"/>
  <c r="Z99" i="31"/>
  <c r="Y99" i="31"/>
  <c r="L99" i="31"/>
  <c r="BQ98" i="31"/>
  <c r="BR98" i="31" s="1"/>
  <c r="BF98" i="31"/>
  <c r="BG98" i="31" s="1"/>
  <c r="AU98" i="31"/>
  <c r="AV98" i="31" s="1"/>
  <c r="AJ98" i="31"/>
  <c r="AK98" i="31" s="1"/>
  <c r="Y98" i="31"/>
  <c r="Z98" i="31" s="1"/>
  <c r="L98" i="31"/>
  <c r="BR97" i="31"/>
  <c r="BQ97" i="31"/>
  <c r="BG97" i="31"/>
  <c r="BF97" i="31"/>
  <c r="AV97" i="31"/>
  <c r="AU97" i="31"/>
  <c r="AK97" i="31"/>
  <c r="AJ97" i="31"/>
  <c r="Z97" i="31"/>
  <c r="Y97" i="31"/>
  <c r="L97" i="31"/>
  <c r="BQ96" i="31"/>
  <c r="BR96" i="31" s="1"/>
  <c r="BF96" i="31"/>
  <c r="BG96" i="31" s="1"/>
  <c r="AU96" i="31"/>
  <c r="AV96" i="31" s="1"/>
  <c r="AJ96" i="31"/>
  <c r="AK96" i="31" s="1"/>
  <c r="Y96" i="31"/>
  <c r="Z96" i="31" s="1"/>
  <c r="L96" i="31"/>
  <c r="BR95" i="31"/>
  <c r="BQ95" i="31"/>
  <c r="BH95" i="31"/>
  <c r="BF95" i="31"/>
  <c r="BG95" i="31" s="1"/>
  <c r="AU95" i="31"/>
  <c r="AV95" i="31" s="1"/>
  <c r="AL95" i="31"/>
  <c r="AK95" i="31"/>
  <c r="AJ95" i="31"/>
  <c r="Z95" i="31"/>
  <c r="Y95" i="31"/>
  <c r="L95" i="31"/>
  <c r="BQ94" i="31"/>
  <c r="BR94" i="31" s="1"/>
  <c r="BF94" i="31"/>
  <c r="BG94" i="31" s="1"/>
  <c r="AU94" i="31"/>
  <c r="AV94" i="31" s="1"/>
  <c r="AL94" i="31"/>
  <c r="AK94" i="31"/>
  <c r="AJ94" i="31"/>
  <c r="AA94" i="31"/>
  <c r="Y94" i="31"/>
  <c r="Z94" i="31" s="1"/>
  <c r="L94" i="31"/>
  <c r="BT93" i="31"/>
  <c r="BS93" i="31"/>
  <c r="BR93" i="31"/>
  <c r="BQ93" i="31"/>
  <c r="BI93" i="31"/>
  <c r="BH93" i="31"/>
  <c r="BG93" i="31"/>
  <c r="BF93" i="31"/>
  <c r="AX93" i="31"/>
  <c r="AU93" i="31"/>
  <c r="AV93" i="31" s="1"/>
  <c r="AJ93" i="31"/>
  <c r="AK93" i="31" s="1"/>
  <c r="Y93" i="31"/>
  <c r="Z93" i="31" s="1"/>
  <c r="L93" i="31"/>
  <c r="BR92" i="31"/>
  <c r="BQ92" i="31"/>
  <c r="BG92" i="31"/>
  <c r="BF92" i="31"/>
  <c r="AV92" i="31"/>
  <c r="AU92" i="31"/>
  <c r="AK92" i="31"/>
  <c r="AJ92" i="31"/>
  <c r="Z92" i="31"/>
  <c r="Y92" i="31"/>
  <c r="L92" i="31"/>
  <c r="BQ91" i="31"/>
  <c r="BR91" i="31" s="1"/>
  <c r="BH91" i="31"/>
  <c r="BG91" i="31"/>
  <c r="BF91" i="31"/>
  <c r="AX91" i="31"/>
  <c r="AW91" i="31"/>
  <c r="AV91" i="31"/>
  <c r="AU91" i="31"/>
  <c r="AM91" i="31"/>
  <c r="AL91" i="31"/>
  <c r="AK91" i="31"/>
  <c r="AJ91" i="31"/>
  <c r="Z91" i="31"/>
  <c r="Y91" i="31"/>
  <c r="L91" i="31"/>
  <c r="BQ90" i="31"/>
  <c r="BR90" i="31" s="1"/>
  <c r="BH90" i="31"/>
  <c r="BG90" i="31"/>
  <c r="BF90" i="31"/>
  <c r="AW90" i="31"/>
  <c r="AU90" i="31"/>
  <c r="AV90" i="31" s="1"/>
  <c r="AL90" i="31"/>
  <c r="AK90" i="31"/>
  <c r="AJ90" i="31"/>
  <c r="Z90" i="31"/>
  <c r="Y90" i="31"/>
  <c r="L90" i="31"/>
  <c r="BQ89" i="31"/>
  <c r="BR89" i="31" s="1"/>
  <c r="BI89" i="31"/>
  <c r="BG89" i="31"/>
  <c r="BF89" i="31"/>
  <c r="AW89" i="31"/>
  <c r="AU89" i="31"/>
  <c r="AV89" i="31" s="1"/>
  <c r="AL89" i="31"/>
  <c r="AK89" i="31"/>
  <c r="AJ89" i="31"/>
  <c r="Z89" i="31"/>
  <c r="Y89" i="31"/>
  <c r="L89" i="31"/>
  <c r="BS88" i="31"/>
  <c r="BR88" i="31"/>
  <c r="BQ88" i="31"/>
  <c r="BH88" i="31"/>
  <c r="BF88" i="31"/>
  <c r="BG88" i="31" s="1"/>
  <c r="AW88" i="31"/>
  <c r="AV88" i="31"/>
  <c r="AU88" i="31"/>
  <c r="AL88" i="31"/>
  <c r="AJ88" i="31"/>
  <c r="AK88" i="31" s="1"/>
  <c r="Y88" i="31"/>
  <c r="Z88" i="31" s="1"/>
  <c r="L88" i="31"/>
  <c r="BS87" i="31"/>
  <c r="BQ87" i="31"/>
  <c r="BR87" i="31" s="1"/>
  <c r="BH87" i="31"/>
  <c r="BG87" i="31"/>
  <c r="BF87" i="31"/>
  <c r="AW87" i="31"/>
  <c r="AU87" i="31"/>
  <c r="AV87" i="31" s="1"/>
  <c r="AL87" i="31"/>
  <c r="AK87" i="31"/>
  <c r="AJ87" i="31"/>
  <c r="Z87" i="31"/>
  <c r="Y87" i="31"/>
  <c r="L87" i="31"/>
  <c r="BS86" i="31"/>
  <c r="BR86" i="31"/>
  <c r="BQ86" i="31"/>
  <c r="BH86" i="31"/>
  <c r="BF86" i="31"/>
  <c r="BG86" i="31" s="1"/>
  <c r="AW86" i="31"/>
  <c r="AV86" i="31"/>
  <c r="AU86" i="31"/>
  <c r="AL86" i="31"/>
  <c r="AJ86" i="31"/>
  <c r="AK86" i="31" s="1"/>
  <c r="Y86" i="31"/>
  <c r="Z86" i="31" s="1"/>
  <c r="L86" i="31"/>
  <c r="BS85" i="31"/>
  <c r="BQ85" i="31"/>
  <c r="BR85" i="31" s="1"/>
  <c r="BF85" i="31"/>
  <c r="BG85" i="31" s="1"/>
  <c r="AX85" i="31"/>
  <c r="AV85" i="31"/>
  <c r="AU85" i="31"/>
  <c r="AL85" i="31"/>
  <c r="AJ85" i="31"/>
  <c r="AK85" i="31" s="1"/>
  <c r="Y85" i="31"/>
  <c r="Z85" i="31" s="1"/>
  <c r="L85" i="31"/>
  <c r="BS84" i="31"/>
  <c r="BQ84" i="31"/>
  <c r="BR84" i="31" s="1"/>
  <c r="BH84" i="31"/>
  <c r="BG84" i="31"/>
  <c r="BF84" i="31"/>
  <c r="AW84" i="31"/>
  <c r="AU84" i="31"/>
  <c r="AV84" i="31" s="1"/>
  <c r="AL84" i="31"/>
  <c r="AK84" i="31"/>
  <c r="AJ84" i="31"/>
  <c r="Z84" i="31"/>
  <c r="Y84" i="31"/>
  <c r="L84" i="31"/>
  <c r="BS83" i="31"/>
  <c r="BR83" i="31"/>
  <c r="BQ83" i="31"/>
  <c r="BH83" i="31"/>
  <c r="BF83" i="31"/>
  <c r="BG83" i="31" s="1"/>
  <c r="AW83" i="31"/>
  <c r="AV83" i="31"/>
  <c r="AU83" i="31"/>
  <c r="AK83" i="31"/>
  <c r="AJ83" i="31"/>
  <c r="Z83" i="31"/>
  <c r="Y83" i="31"/>
  <c r="L83" i="31"/>
  <c r="BS82" i="31"/>
  <c r="BR82" i="31"/>
  <c r="BQ82" i="31"/>
  <c r="BH82" i="31"/>
  <c r="BF82" i="31"/>
  <c r="BG82" i="31" s="1"/>
  <c r="AW82" i="31"/>
  <c r="AV82" i="31"/>
  <c r="AU82" i="31"/>
  <c r="AK82" i="31"/>
  <c r="AJ82" i="31"/>
  <c r="Z82" i="31"/>
  <c r="Y82" i="31"/>
  <c r="L82" i="31"/>
  <c r="BS81" i="31"/>
  <c r="BR81" i="31"/>
  <c r="BQ81" i="31"/>
  <c r="BH81" i="31"/>
  <c r="BF81" i="31"/>
  <c r="BG81" i="31" s="1"/>
  <c r="AW81" i="31"/>
  <c r="AV81" i="31"/>
  <c r="AU81" i="31"/>
  <c r="AL81" i="31"/>
  <c r="AJ81" i="31"/>
  <c r="AK81" i="31" s="1"/>
  <c r="Y81" i="31"/>
  <c r="Z81" i="31" s="1"/>
  <c r="L81" i="31"/>
  <c r="BS80" i="31"/>
  <c r="BQ80" i="31"/>
  <c r="BR80" i="31" s="1"/>
  <c r="BH80" i="31"/>
  <c r="BG80" i="31"/>
  <c r="BF80" i="31"/>
  <c r="AW80" i="31"/>
  <c r="AU80" i="31"/>
  <c r="AV80" i="31" s="1"/>
  <c r="AJ80" i="31"/>
  <c r="AK80" i="31" s="1"/>
  <c r="Y80" i="31"/>
  <c r="Z80" i="31" s="1"/>
  <c r="L80" i="31"/>
  <c r="BR79" i="31"/>
  <c r="BQ79" i="31"/>
  <c r="BG79" i="31"/>
  <c r="BF79" i="31"/>
  <c r="AV79" i="31"/>
  <c r="AU79" i="31"/>
  <c r="AK79" i="31"/>
  <c r="AJ79" i="31"/>
  <c r="Z79" i="31"/>
  <c r="Y79" i="31"/>
  <c r="L79" i="31"/>
  <c r="BQ78" i="31"/>
  <c r="BR78" i="31" s="1"/>
  <c r="BF78" i="31"/>
  <c r="BG78" i="31" s="1"/>
  <c r="AU78" i="31"/>
  <c r="AV78" i="31" s="1"/>
  <c r="AJ78" i="31"/>
  <c r="AK78" i="31" s="1"/>
  <c r="Y78" i="31"/>
  <c r="Z78" i="31" s="1"/>
  <c r="L78" i="31"/>
  <c r="BR76" i="31"/>
  <c r="BQ76" i="31"/>
  <c r="BG76" i="31"/>
  <c r="BF76" i="31"/>
  <c r="AV76" i="31"/>
  <c r="AU76" i="31"/>
  <c r="AK76" i="31"/>
  <c r="AJ76" i="31"/>
  <c r="Z76" i="31"/>
  <c r="Y76" i="31"/>
  <c r="L76" i="31"/>
  <c r="BQ75" i="31"/>
  <c r="BR75" i="31" s="1"/>
  <c r="BF75" i="31"/>
  <c r="BG75" i="31" s="1"/>
  <c r="AU75" i="31"/>
  <c r="AV75" i="31" s="1"/>
  <c r="AL75" i="31"/>
  <c r="AK75" i="31"/>
  <c r="AJ75" i="31"/>
  <c r="Z75" i="31"/>
  <c r="Y75" i="31"/>
  <c r="L75" i="31"/>
  <c r="BS74" i="31"/>
  <c r="BR74" i="31"/>
  <c r="BQ74" i="31"/>
  <c r="BH74" i="31"/>
  <c r="BF74" i="31"/>
  <c r="BG74" i="31" s="1"/>
  <c r="AW74" i="31"/>
  <c r="AV74" i="31"/>
  <c r="AU74" i="31"/>
  <c r="AL74" i="31"/>
  <c r="AJ74" i="31"/>
  <c r="AK74" i="31" s="1"/>
  <c r="AA74" i="31"/>
  <c r="Z74" i="31"/>
  <c r="Y74" i="31"/>
  <c r="L74" i="31"/>
  <c r="BS73" i="31"/>
  <c r="BR73" i="31"/>
  <c r="BQ73" i="31"/>
  <c r="BH73" i="31"/>
  <c r="BF73" i="31"/>
  <c r="BG73" i="31" s="1"/>
  <c r="AW73" i="31"/>
  <c r="AV73" i="31"/>
  <c r="AU73" i="31"/>
  <c r="AL73" i="31"/>
  <c r="AJ73" i="31"/>
  <c r="AK73" i="31" s="1"/>
  <c r="AA73" i="31"/>
  <c r="Z73" i="31"/>
  <c r="Y73" i="31"/>
  <c r="L73" i="31"/>
  <c r="BQ72" i="31"/>
  <c r="BR72" i="31" s="1"/>
  <c r="BF72" i="31"/>
  <c r="BG72" i="31" s="1"/>
  <c r="AU72" i="31"/>
  <c r="AV72" i="31" s="1"/>
  <c r="AJ72" i="31"/>
  <c r="AK72" i="31" s="1"/>
  <c r="Y72" i="31"/>
  <c r="Z72" i="31" s="1"/>
  <c r="L72" i="31"/>
  <c r="J72" i="31"/>
  <c r="BQ71" i="31"/>
  <c r="BR71" i="31" s="1"/>
  <c r="BF71" i="31"/>
  <c r="BG71" i="31" s="1"/>
  <c r="AU71" i="31"/>
  <c r="AV71" i="31" s="1"/>
  <c r="AL71" i="31"/>
  <c r="AK71" i="31"/>
  <c r="AJ71" i="31"/>
  <c r="Z71" i="31"/>
  <c r="Y71" i="31"/>
  <c r="L71" i="31"/>
  <c r="J71" i="31"/>
  <c r="BR70" i="31"/>
  <c r="BQ70" i="31"/>
  <c r="BG70" i="31"/>
  <c r="BF70" i="31"/>
  <c r="AV70" i="31"/>
  <c r="AU70" i="31"/>
  <c r="AL70" i="31"/>
  <c r="AJ70" i="31"/>
  <c r="AK70" i="31" s="1"/>
  <c r="Y70" i="31"/>
  <c r="Z70" i="31" s="1"/>
  <c r="L70" i="31"/>
  <c r="BS69" i="31"/>
  <c r="BQ69" i="31"/>
  <c r="BR69" i="31" s="1"/>
  <c r="BH69" i="31"/>
  <c r="BG69" i="31"/>
  <c r="BF69" i="31"/>
  <c r="AW69" i="31"/>
  <c r="AU69" i="31"/>
  <c r="AV69" i="31" s="1"/>
  <c r="AL69" i="31"/>
  <c r="AK69" i="31"/>
  <c r="AJ69" i="31"/>
  <c r="AA69" i="31"/>
  <c r="Y69" i="31"/>
  <c r="Z69" i="31" s="1"/>
  <c r="L69" i="31"/>
  <c r="BS68" i="31"/>
  <c r="BQ68" i="31"/>
  <c r="BR68" i="31" s="1"/>
  <c r="BH68" i="31"/>
  <c r="BG68" i="31"/>
  <c r="BF68" i="31"/>
  <c r="AW68" i="31"/>
  <c r="AU68" i="31"/>
  <c r="AV68" i="31" s="1"/>
  <c r="AL68" i="31"/>
  <c r="AK68" i="31"/>
  <c r="AJ68" i="31"/>
  <c r="AA68" i="31"/>
  <c r="Y68" i="31"/>
  <c r="Z68" i="31" s="1"/>
  <c r="L68" i="31"/>
  <c r="BR67" i="31"/>
  <c r="BQ67" i="31"/>
  <c r="BG67" i="31"/>
  <c r="BF67" i="31"/>
  <c r="AV67" i="31"/>
  <c r="AU67" i="31"/>
  <c r="AK67" i="31"/>
  <c r="AJ67" i="31"/>
  <c r="Z67" i="31"/>
  <c r="Y67" i="31"/>
  <c r="L67" i="31"/>
  <c r="BS66" i="31"/>
  <c r="BR66" i="31"/>
  <c r="BQ66" i="31"/>
  <c r="BH66" i="31"/>
  <c r="BF66" i="31"/>
  <c r="BG66" i="31" s="1"/>
  <c r="AU66" i="31"/>
  <c r="AV66" i="31" s="1"/>
  <c r="AJ66" i="31"/>
  <c r="AK66" i="31" s="1"/>
  <c r="AA66" i="31"/>
  <c r="Z66" i="31"/>
  <c r="Y66" i="31"/>
  <c r="L66" i="31"/>
  <c r="BQ65" i="31"/>
  <c r="BR65" i="31" s="1"/>
  <c r="BF65" i="31"/>
  <c r="BG65" i="31" s="1"/>
  <c r="AU65" i="31"/>
  <c r="AV65" i="31" s="1"/>
  <c r="AJ65" i="31"/>
  <c r="AK65" i="31" s="1"/>
  <c r="Y65" i="31"/>
  <c r="Z65" i="31" s="1"/>
  <c r="L65" i="31"/>
  <c r="J65" i="31"/>
  <c r="BQ64" i="31"/>
  <c r="BR64" i="31" s="1"/>
  <c r="BF64" i="31"/>
  <c r="BG64" i="31" s="1"/>
  <c r="AU64" i="31"/>
  <c r="AV64" i="31" s="1"/>
  <c r="AL64" i="31"/>
  <c r="AK64" i="31"/>
  <c r="AJ64" i="31"/>
  <c r="AA64" i="31"/>
  <c r="Y64" i="31"/>
  <c r="Z64" i="31" s="1"/>
  <c r="L64" i="31"/>
  <c r="BR63" i="31"/>
  <c r="BQ63" i="31"/>
  <c r="BG63" i="31"/>
  <c r="BF63" i="31"/>
  <c r="AV63" i="31"/>
  <c r="AU63" i="31"/>
  <c r="AL63" i="31"/>
  <c r="AJ63" i="31"/>
  <c r="AK63" i="31" s="1"/>
  <c r="AA63" i="31"/>
  <c r="Z63" i="31"/>
  <c r="Y63" i="31"/>
  <c r="L63" i="31"/>
  <c r="BQ62" i="31"/>
  <c r="BR62" i="31" s="1"/>
  <c r="BF62" i="31"/>
  <c r="BG62" i="31" s="1"/>
  <c r="AU62" i="31"/>
  <c r="AV62" i="31" s="1"/>
  <c r="AL62" i="31"/>
  <c r="AK62" i="31"/>
  <c r="AJ62" i="31"/>
  <c r="AA62" i="31"/>
  <c r="Y62" i="31"/>
  <c r="Z62" i="31" s="1"/>
  <c r="L62" i="31"/>
  <c r="BS61" i="31"/>
  <c r="BQ61" i="31"/>
  <c r="BR61" i="31" s="1"/>
  <c r="BH61" i="31"/>
  <c r="BG61" i="31"/>
  <c r="BF61" i="31"/>
  <c r="AV61" i="31"/>
  <c r="AU61" i="31"/>
  <c r="AK61" i="31"/>
  <c r="AJ61" i="31"/>
  <c r="Z61" i="31"/>
  <c r="Y61" i="31"/>
  <c r="L61" i="31"/>
  <c r="BQ60" i="31"/>
  <c r="BR60" i="31" s="1"/>
  <c r="BF60" i="31"/>
  <c r="BG60" i="31" s="1"/>
  <c r="AU60" i="31"/>
  <c r="AV60" i="31" s="1"/>
  <c r="AL60" i="31"/>
  <c r="AK60" i="31"/>
  <c r="AJ60" i="31"/>
  <c r="Z60" i="31"/>
  <c r="Y60" i="31"/>
  <c r="L60" i="31"/>
  <c r="BS59" i="31"/>
  <c r="BR59" i="31"/>
  <c r="BQ59" i="31"/>
  <c r="BH59" i="31"/>
  <c r="BF59" i="31"/>
  <c r="BG59" i="31" s="1"/>
  <c r="AW59" i="31"/>
  <c r="AV59" i="31"/>
  <c r="AU59" i="31"/>
  <c r="AL59" i="31"/>
  <c r="AJ59" i="31"/>
  <c r="AK59" i="31" s="1"/>
  <c r="Y59" i="31"/>
  <c r="Z59" i="31" s="1"/>
  <c r="L59" i="31"/>
  <c r="BS58" i="31"/>
  <c r="BQ58" i="31"/>
  <c r="BR58" i="31" s="1"/>
  <c r="BH58" i="31"/>
  <c r="BG58" i="31"/>
  <c r="BF58" i="31"/>
  <c r="AW58" i="31"/>
  <c r="AU58" i="31"/>
  <c r="AV58" i="31" s="1"/>
  <c r="AL58" i="31"/>
  <c r="AK58" i="31"/>
  <c r="AJ58" i="31"/>
  <c r="Z58" i="31"/>
  <c r="Y58" i="31"/>
  <c r="L58" i="31"/>
  <c r="BS57" i="31"/>
  <c r="BR57" i="31"/>
  <c r="BQ57" i="31"/>
  <c r="BH57" i="31"/>
  <c r="BF57" i="31"/>
  <c r="BG57" i="31" s="1"/>
  <c r="AW57" i="31"/>
  <c r="AV57" i="31"/>
  <c r="AU57" i="31"/>
  <c r="AL57" i="31"/>
  <c r="AJ57" i="31"/>
  <c r="AK57" i="31" s="1"/>
  <c r="Y57" i="31"/>
  <c r="Z57" i="31" s="1"/>
  <c r="L57" i="31"/>
  <c r="BR56" i="31"/>
  <c r="BQ56" i="31"/>
  <c r="BG56" i="31"/>
  <c r="BF56" i="31"/>
  <c r="AV56" i="31"/>
  <c r="AU56" i="31"/>
  <c r="AK56" i="31"/>
  <c r="AJ56" i="31"/>
  <c r="Z56" i="31"/>
  <c r="Y56" i="31"/>
  <c r="L56" i="31"/>
  <c r="BQ55" i="31"/>
  <c r="BR55" i="31" s="1"/>
  <c r="BF55" i="31"/>
  <c r="BG55" i="31" s="1"/>
  <c r="AX55" i="31"/>
  <c r="AV55" i="31"/>
  <c r="AU55" i="31"/>
  <c r="AL55" i="31"/>
  <c r="AJ55" i="31"/>
  <c r="AK55" i="31" s="1"/>
  <c r="Y55" i="31"/>
  <c r="Z55" i="31" s="1"/>
  <c r="L55" i="31"/>
  <c r="BS54" i="31"/>
  <c r="BQ54" i="31"/>
  <c r="BR54" i="31" s="1"/>
  <c r="BH54" i="31"/>
  <c r="BG54" i="31"/>
  <c r="BF54" i="31"/>
  <c r="AW54" i="31"/>
  <c r="AU54" i="31"/>
  <c r="AV54" i="31" s="1"/>
  <c r="AL54" i="31"/>
  <c r="AK54" i="31"/>
  <c r="AJ54" i="31"/>
  <c r="Z54" i="31"/>
  <c r="Y54" i="31"/>
  <c r="L54" i="31"/>
  <c r="BS53" i="31"/>
  <c r="BR53" i="31"/>
  <c r="BQ53" i="31"/>
  <c r="BH53" i="31"/>
  <c r="BF53" i="31"/>
  <c r="BG53" i="31" s="1"/>
  <c r="AW53" i="31"/>
  <c r="AV53" i="31"/>
  <c r="AU53" i="31"/>
  <c r="AK53" i="31"/>
  <c r="AJ53" i="31"/>
  <c r="Z53" i="31"/>
  <c r="Y53" i="31"/>
  <c r="L53" i="31"/>
  <c r="BS52" i="31"/>
  <c r="BR52" i="31"/>
  <c r="BQ52" i="31"/>
  <c r="BH52" i="31"/>
  <c r="BF52" i="31"/>
  <c r="BG52" i="31" s="1"/>
  <c r="AW52" i="31"/>
  <c r="AV52" i="31"/>
  <c r="AU52" i="31"/>
  <c r="AL52" i="31"/>
  <c r="AJ52" i="31"/>
  <c r="AK52" i="31" s="1"/>
  <c r="Y52" i="31"/>
  <c r="Z52" i="31" s="1"/>
  <c r="L52" i="31"/>
  <c r="BS51" i="31"/>
  <c r="BQ51" i="31"/>
  <c r="BR51" i="31" s="1"/>
  <c r="BH51" i="31"/>
  <c r="BG51" i="31"/>
  <c r="BF51" i="31"/>
  <c r="AW51" i="31"/>
  <c r="AU51" i="31"/>
  <c r="AV51" i="31" s="1"/>
  <c r="AL51" i="31"/>
  <c r="AK51" i="31"/>
  <c r="AJ51" i="31"/>
  <c r="AA51" i="31"/>
  <c r="Y51" i="31"/>
  <c r="Z51" i="31" s="1"/>
  <c r="L51" i="31"/>
  <c r="BS50" i="31"/>
  <c r="BR50" i="31"/>
  <c r="BQ50" i="31"/>
  <c r="BH50" i="31"/>
  <c r="BG50" i="31"/>
  <c r="BF50" i="31"/>
  <c r="AW50" i="31"/>
  <c r="AU50" i="31"/>
  <c r="AV50" i="31" s="1"/>
  <c r="AK50" i="31"/>
  <c r="AJ50" i="31"/>
  <c r="Y50" i="31"/>
  <c r="Z50" i="31" s="1"/>
  <c r="L50" i="31"/>
  <c r="BS49" i="31"/>
  <c r="BQ49" i="31"/>
  <c r="BR49" i="31" s="1"/>
  <c r="BH49" i="31"/>
  <c r="BG49" i="31"/>
  <c r="BF49" i="31"/>
  <c r="AW49" i="31"/>
  <c r="AV49" i="31"/>
  <c r="AU49" i="31"/>
  <c r="AL49" i="31"/>
  <c r="AK49" i="31"/>
  <c r="AJ49" i="31"/>
  <c r="Z49" i="31"/>
  <c r="Y49" i="31"/>
  <c r="L49" i="31"/>
  <c r="BS48" i="31"/>
  <c r="BR48" i="31"/>
  <c r="BQ48" i="31"/>
  <c r="BH48" i="31"/>
  <c r="BG48" i="31"/>
  <c r="BF48" i="31"/>
  <c r="AW48" i="31"/>
  <c r="AV48" i="31"/>
  <c r="AU48" i="31"/>
  <c r="AL48" i="31"/>
  <c r="AJ48" i="31"/>
  <c r="AK48" i="31" s="1"/>
  <c r="Z48" i="31"/>
  <c r="Y48" i="31"/>
  <c r="L48" i="31"/>
  <c r="BS47" i="31"/>
  <c r="BR47" i="31"/>
  <c r="BQ47" i="31"/>
  <c r="BH47" i="31"/>
  <c r="BG47" i="31"/>
  <c r="BF47" i="31"/>
  <c r="AW47" i="31"/>
  <c r="AU47" i="31"/>
  <c r="AV47" i="31" s="1"/>
  <c r="AL47" i="31"/>
  <c r="AK47" i="31"/>
  <c r="AJ47" i="31"/>
  <c r="Z47" i="31"/>
  <c r="Y47" i="31"/>
  <c r="L47" i="31"/>
  <c r="BS46" i="31"/>
  <c r="BR46" i="31"/>
  <c r="BQ46" i="31"/>
  <c r="BH46" i="31"/>
  <c r="BF46" i="31"/>
  <c r="BG46" i="31" s="1"/>
  <c r="AW46" i="31"/>
  <c r="AV46" i="31"/>
  <c r="AU46" i="31"/>
  <c r="AL46" i="31"/>
  <c r="AK46" i="31"/>
  <c r="AJ46" i="31"/>
  <c r="Y46" i="31"/>
  <c r="Z46" i="31" s="1"/>
  <c r="L46" i="31"/>
  <c r="BR45" i="31"/>
  <c r="BQ45" i="31"/>
  <c r="BG45" i="31"/>
  <c r="BF45" i="31"/>
  <c r="AV45" i="31"/>
  <c r="AU45" i="31"/>
  <c r="AK45" i="31"/>
  <c r="AJ45" i="31"/>
  <c r="Z45" i="31"/>
  <c r="Y45" i="31"/>
  <c r="L45" i="31"/>
  <c r="BR44" i="31"/>
  <c r="BQ44" i="31"/>
  <c r="BF44" i="31"/>
  <c r="BG44" i="31" s="1"/>
  <c r="AV44" i="31"/>
  <c r="AU44" i="31"/>
  <c r="AJ44" i="31"/>
  <c r="AK44" i="31" s="1"/>
  <c r="Z44" i="31"/>
  <c r="Y44" i="31"/>
  <c r="L44" i="31"/>
  <c r="BR42" i="31"/>
  <c r="BQ42" i="31"/>
  <c r="BG42" i="31"/>
  <c r="BF42" i="31"/>
  <c r="AV42" i="31"/>
  <c r="AU42" i="31"/>
  <c r="AK42" i="31"/>
  <c r="AJ42" i="31"/>
  <c r="Z42" i="31"/>
  <c r="Y42" i="31"/>
  <c r="L42" i="31"/>
  <c r="BQ41" i="31"/>
  <c r="BR41" i="31" s="1"/>
  <c r="BG41" i="31"/>
  <c r="BF41" i="31"/>
  <c r="AX41" i="31"/>
  <c r="AV41" i="31"/>
  <c r="AU41" i="31"/>
  <c r="AL41" i="31"/>
  <c r="AJ41" i="31"/>
  <c r="AK41" i="31" s="1"/>
  <c r="Z41" i="31"/>
  <c r="Y41" i="31"/>
  <c r="L41" i="31"/>
  <c r="BS40" i="31"/>
  <c r="BR40" i="31"/>
  <c r="BQ40" i="31"/>
  <c r="BH40" i="31"/>
  <c r="BG40" i="31"/>
  <c r="BF40" i="31"/>
  <c r="AW40" i="31"/>
  <c r="AU40" i="31"/>
  <c r="AV40" i="31" s="1"/>
  <c r="AL40" i="31"/>
  <c r="AK40" i="31"/>
  <c r="AJ40" i="31"/>
  <c r="AA40" i="31"/>
  <c r="Z40" i="31"/>
  <c r="Y40" i="31"/>
  <c r="L40" i="31"/>
  <c r="BS39" i="31"/>
  <c r="BR39" i="31"/>
  <c r="BQ39" i="31"/>
  <c r="BH39" i="31"/>
  <c r="BG39" i="31"/>
  <c r="BF39" i="31"/>
  <c r="AW39" i="31"/>
  <c r="AU39" i="31"/>
  <c r="AV39" i="31" s="1"/>
  <c r="AL39" i="31"/>
  <c r="AK39" i="31"/>
  <c r="AJ39" i="31"/>
  <c r="AA39" i="31"/>
  <c r="Z39" i="31"/>
  <c r="Y39" i="31"/>
  <c r="L39" i="31"/>
  <c r="BS38" i="31"/>
  <c r="BR38" i="31"/>
  <c r="BQ38" i="31"/>
  <c r="BH38" i="31"/>
  <c r="BG38" i="31"/>
  <c r="BF38" i="31"/>
  <c r="AW38" i="31"/>
  <c r="AU38" i="31"/>
  <c r="AV38" i="31" s="1"/>
  <c r="AL38" i="31"/>
  <c r="AK38" i="31"/>
  <c r="AJ38" i="31"/>
  <c r="AA38" i="31"/>
  <c r="Z38" i="31"/>
  <c r="Y38" i="31"/>
  <c r="L38" i="31"/>
  <c r="BS37" i="31"/>
  <c r="BR37" i="31"/>
  <c r="BQ37" i="31"/>
  <c r="BH37" i="31"/>
  <c r="BG37" i="31"/>
  <c r="BF37" i="31"/>
  <c r="AV37" i="31"/>
  <c r="AU37" i="31"/>
  <c r="AK37" i="31"/>
  <c r="AJ37" i="31"/>
  <c r="AA37" i="31"/>
  <c r="Y37" i="31"/>
  <c r="Z37" i="31" s="1"/>
  <c r="L37" i="31"/>
  <c r="BR36" i="31"/>
  <c r="BQ36" i="31"/>
  <c r="BG36" i="31"/>
  <c r="BF36" i="31"/>
  <c r="AV36" i="31"/>
  <c r="AU36" i="31"/>
  <c r="AK36" i="31"/>
  <c r="AJ36" i="31"/>
  <c r="Z36" i="31"/>
  <c r="Y36" i="31"/>
  <c r="L36" i="31"/>
  <c r="BR35" i="31"/>
  <c r="BQ35" i="31"/>
  <c r="BF35" i="31"/>
  <c r="BG35" i="31" s="1"/>
  <c r="AV35" i="31"/>
  <c r="AU35" i="31"/>
  <c r="AJ35" i="31"/>
  <c r="AK35" i="31" s="1"/>
  <c r="Z35" i="31"/>
  <c r="Y35" i="31"/>
  <c r="L35" i="31"/>
  <c r="BR34" i="31"/>
  <c r="BQ34" i="31"/>
  <c r="BG34" i="31"/>
  <c r="BF34" i="31"/>
  <c r="AV34" i="31"/>
  <c r="AU34" i="31"/>
  <c r="AK34" i="31"/>
  <c r="AJ34" i="31"/>
  <c r="Z34" i="31"/>
  <c r="Y34" i="31"/>
  <c r="L34" i="31"/>
  <c r="BS33" i="31"/>
  <c r="BR33" i="31"/>
  <c r="BQ33" i="31"/>
  <c r="BH33" i="31"/>
  <c r="BF33" i="31"/>
  <c r="BG33" i="31" s="1"/>
  <c r="AW33" i="31"/>
  <c r="AV33" i="31"/>
  <c r="AU33" i="31"/>
  <c r="AL33" i="31"/>
  <c r="AK33" i="31"/>
  <c r="AJ33" i="31"/>
  <c r="AA33" i="31"/>
  <c r="Z33" i="31"/>
  <c r="Y33" i="31"/>
  <c r="L33" i="31"/>
  <c r="BS32" i="31"/>
  <c r="BR32" i="31"/>
  <c r="BQ32" i="31"/>
  <c r="BH32" i="31"/>
  <c r="BF32" i="31"/>
  <c r="BG32" i="31" s="1"/>
  <c r="AW32" i="31"/>
  <c r="AV32" i="31"/>
  <c r="AU32" i="31"/>
  <c r="AL32" i="31"/>
  <c r="AK32" i="31"/>
  <c r="AJ32" i="31"/>
  <c r="AA32" i="31"/>
  <c r="Z32" i="31"/>
  <c r="Y32" i="31"/>
  <c r="L32" i="31"/>
  <c r="BQ31" i="31"/>
  <c r="BR31" i="31" s="1"/>
  <c r="BH31" i="31"/>
  <c r="BG31" i="31"/>
  <c r="BF31" i="31"/>
  <c r="AV31" i="31"/>
  <c r="AU31" i="31"/>
  <c r="AK31" i="31"/>
  <c r="AJ31" i="31"/>
  <c r="Z31" i="31"/>
  <c r="Y31" i="31"/>
  <c r="L31" i="31"/>
  <c r="BQ30" i="31"/>
  <c r="BR30" i="31" s="1"/>
  <c r="BG30" i="31"/>
  <c r="BF30" i="31"/>
  <c r="AU30" i="31"/>
  <c r="AV30" i="31" s="1"/>
  <c r="AK30" i="31"/>
  <c r="AJ30" i="31"/>
  <c r="Y30" i="31"/>
  <c r="Z30" i="31" s="1"/>
  <c r="L30" i="31"/>
  <c r="BR29" i="31"/>
  <c r="BQ29" i="31"/>
  <c r="BG29" i="31"/>
  <c r="BF29" i="31"/>
  <c r="AV29" i="31"/>
  <c r="AU29" i="31"/>
  <c r="AL29" i="31"/>
  <c r="AK29" i="31"/>
  <c r="AJ29" i="31"/>
  <c r="Y29" i="31"/>
  <c r="Z29" i="31" s="1"/>
  <c r="L29" i="31"/>
  <c r="BR28" i="31"/>
  <c r="BQ28" i="31"/>
  <c r="BG28" i="31"/>
  <c r="BF28" i="31"/>
  <c r="AV28" i="31"/>
  <c r="AU28" i="31"/>
  <c r="AL28" i="31"/>
  <c r="AK28" i="31"/>
  <c r="AJ28" i="31"/>
  <c r="AA28" i="31"/>
  <c r="Z28" i="31"/>
  <c r="Y28" i="31"/>
  <c r="L28" i="31"/>
  <c r="BS27" i="31"/>
  <c r="BR27" i="31"/>
  <c r="BQ27" i="31"/>
  <c r="BH27" i="31"/>
  <c r="BF27" i="31"/>
  <c r="BG27" i="31" s="1"/>
  <c r="AV27" i="31"/>
  <c r="AU27" i="31"/>
  <c r="AJ27" i="31"/>
  <c r="AK27" i="31" s="1"/>
  <c r="Z27" i="31"/>
  <c r="Y27" i="31"/>
  <c r="L27" i="31"/>
  <c r="BT26" i="31"/>
  <c r="BR26" i="31"/>
  <c r="BQ26" i="31"/>
  <c r="BI26" i="31"/>
  <c r="BF26" i="31"/>
  <c r="BG26" i="31" s="1"/>
  <c r="AX26" i="31"/>
  <c r="AU26" i="31"/>
  <c r="AV26" i="31" s="1"/>
  <c r="AL26" i="31"/>
  <c r="AK26" i="31"/>
  <c r="AJ26" i="31"/>
  <c r="Y26" i="31"/>
  <c r="Z26" i="31" s="1"/>
  <c r="L26" i="31"/>
  <c r="BS25" i="31"/>
  <c r="BQ25" i="31"/>
  <c r="BR25" i="31" s="1"/>
  <c r="BH25" i="31"/>
  <c r="BF25" i="31"/>
  <c r="BG25" i="31" s="1"/>
  <c r="AW25" i="31"/>
  <c r="AV25" i="31"/>
  <c r="AU25" i="31"/>
  <c r="AL25" i="31"/>
  <c r="AK25" i="31"/>
  <c r="AJ25" i="31"/>
  <c r="Y25" i="31"/>
  <c r="Z25" i="31" s="1"/>
  <c r="L25" i="31"/>
  <c r="BS24" i="31"/>
  <c r="BQ24" i="31"/>
  <c r="BR24" i="31" s="1"/>
  <c r="BI24" i="31"/>
  <c r="BG24" i="31"/>
  <c r="BF24" i="31"/>
  <c r="AX24" i="31"/>
  <c r="AV24" i="31"/>
  <c r="AU24" i="31"/>
  <c r="AJ24" i="31"/>
  <c r="AK24" i="31" s="1"/>
  <c r="Z24" i="31"/>
  <c r="Y24" i="31"/>
  <c r="L24" i="31"/>
  <c r="BS23" i="31"/>
  <c r="BR23" i="31"/>
  <c r="BQ23" i="31"/>
  <c r="BH23" i="31"/>
  <c r="BF23" i="31"/>
  <c r="BG23" i="31" s="1"/>
  <c r="AW23" i="31"/>
  <c r="AU23" i="31"/>
  <c r="AV23" i="31" s="1"/>
  <c r="AK23" i="31"/>
  <c r="AJ23" i="31"/>
  <c r="Y23" i="31"/>
  <c r="Z23" i="31" s="1"/>
  <c r="L23" i="31"/>
  <c r="BS22" i="31"/>
  <c r="BQ22" i="31"/>
  <c r="BR22" i="31" s="1"/>
  <c r="BH22" i="31"/>
  <c r="BG22" i="31"/>
  <c r="BF22" i="31"/>
  <c r="AW22" i="31"/>
  <c r="AV22" i="31"/>
  <c r="AU22" i="31"/>
  <c r="AJ22" i="31"/>
  <c r="AK22" i="31" s="1"/>
  <c r="Z22" i="31"/>
  <c r="Y22" i="31"/>
  <c r="L22" i="31"/>
  <c r="BT21" i="31"/>
  <c r="BS21" i="31"/>
  <c r="BR21" i="31"/>
  <c r="BQ21" i="31"/>
  <c r="BI21" i="31"/>
  <c r="BH21" i="31"/>
  <c r="BG21" i="31"/>
  <c r="BF21" i="31"/>
  <c r="AX21" i="31"/>
  <c r="AW21" i="31"/>
  <c r="AV21" i="31"/>
  <c r="AU21" i="31"/>
  <c r="AJ21" i="31"/>
  <c r="AK21" i="31" s="1"/>
  <c r="Z21" i="31"/>
  <c r="Y21" i="31"/>
  <c r="L21" i="31"/>
  <c r="BS20" i="31"/>
  <c r="BR20" i="31"/>
  <c r="BQ20" i="31"/>
  <c r="BH20" i="31"/>
  <c r="BG20" i="31"/>
  <c r="BF20" i="31"/>
  <c r="AU20" i="31"/>
  <c r="AV20" i="31" s="1"/>
  <c r="AK20" i="31"/>
  <c r="AJ20" i="31"/>
  <c r="Y20" i="31"/>
  <c r="Z20" i="31" s="1"/>
  <c r="L20" i="31"/>
  <c r="BS19" i="31"/>
  <c r="BQ19" i="31"/>
  <c r="BR19" i="31" s="1"/>
  <c r="BH19" i="31"/>
  <c r="BG19" i="31"/>
  <c r="BF19" i="31"/>
  <c r="AW19" i="31"/>
  <c r="AV19" i="31"/>
  <c r="AU19" i="31"/>
  <c r="AL19" i="31"/>
  <c r="AJ19" i="31"/>
  <c r="AK19" i="31" s="1"/>
  <c r="Z19" i="31"/>
  <c r="Y19" i="31"/>
  <c r="L19" i="31"/>
  <c r="BS18" i="31"/>
  <c r="BR18" i="31"/>
  <c r="BQ18" i="31"/>
  <c r="BH18" i="31"/>
  <c r="BG18" i="31"/>
  <c r="BF18" i="31"/>
  <c r="AW18" i="31"/>
  <c r="AU18" i="31"/>
  <c r="AV18" i="31" s="1"/>
  <c r="AL18" i="31"/>
  <c r="AJ18" i="31"/>
  <c r="AK18" i="31" s="1"/>
  <c r="Z18" i="31"/>
  <c r="Y18" i="31"/>
  <c r="L18" i="31"/>
  <c r="BQ17" i="31"/>
  <c r="BR17" i="31" s="1"/>
  <c r="BG17" i="31"/>
  <c r="BF17" i="31"/>
  <c r="AU17" i="31"/>
  <c r="AV17" i="31" s="1"/>
  <c r="AK17" i="31"/>
  <c r="AJ17" i="31"/>
  <c r="Y17" i="31"/>
  <c r="Z17" i="31" s="1"/>
  <c r="L17" i="31"/>
  <c r="BQ16" i="31"/>
  <c r="BR16" i="31" s="1"/>
  <c r="BG16" i="31"/>
  <c r="BF16" i="31"/>
  <c r="AU16" i="31"/>
  <c r="AV16" i="31" s="1"/>
  <c r="AK16" i="31"/>
  <c r="AJ16" i="31"/>
  <c r="Y16" i="31"/>
  <c r="Z16" i="31" s="1"/>
  <c r="L16" i="31"/>
  <c r="BR15" i="31"/>
  <c r="BQ15" i="31"/>
  <c r="BF15" i="31"/>
  <c r="BG15" i="31" s="1"/>
  <c r="AV15" i="31"/>
  <c r="AU15" i="31"/>
  <c r="AJ15" i="31"/>
  <c r="AK15" i="31" s="1"/>
  <c r="Z15" i="31"/>
  <c r="Y15" i="31"/>
  <c r="L15" i="31"/>
  <c r="BR14" i="31"/>
  <c r="BQ14" i="31"/>
  <c r="BF14" i="31"/>
  <c r="BG14" i="31" s="1"/>
  <c r="AW14" i="31"/>
  <c r="AV14" i="31"/>
  <c r="AU14" i="31"/>
  <c r="AL14" i="31"/>
  <c r="AK14" i="31"/>
  <c r="AJ14" i="31"/>
  <c r="Y14" i="31"/>
  <c r="Z14" i="31" s="1"/>
  <c r="L14" i="31"/>
  <c r="BS13" i="31"/>
  <c r="BQ13" i="31"/>
  <c r="BR13" i="31" s="1"/>
  <c r="BH13" i="31"/>
  <c r="BG13" i="31"/>
  <c r="BF13" i="31"/>
  <c r="AW13" i="31"/>
  <c r="AV13" i="31"/>
  <c r="AU13" i="31"/>
  <c r="AL13" i="31"/>
  <c r="AJ13" i="31"/>
  <c r="AK13" i="31" s="1"/>
  <c r="AA13" i="31"/>
  <c r="Y13" i="31"/>
  <c r="Z13" i="31" s="1"/>
  <c r="L13" i="31"/>
  <c r="BS12" i="31"/>
  <c r="BQ12" i="31"/>
  <c r="BR12" i="31" s="1"/>
  <c r="BH12" i="31"/>
  <c r="BG12" i="31"/>
  <c r="BF12" i="31"/>
  <c r="AW12" i="31"/>
  <c r="AV12" i="31"/>
  <c r="AU12" i="31"/>
  <c r="AL12" i="31"/>
  <c r="AJ12" i="31"/>
  <c r="AK12" i="31" s="1"/>
  <c r="AA12" i="31"/>
  <c r="Y12" i="31"/>
  <c r="Z12" i="31" s="1"/>
  <c r="L12" i="31"/>
  <c r="BS11" i="31"/>
  <c r="BQ11" i="31"/>
  <c r="BR11" i="31" s="1"/>
  <c r="BH11" i="31"/>
  <c r="BG11" i="31"/>
  <c r="BF11" i="31"/>
  <c r="AW11" i="31"/>
  <c r="AV11" i="31"/>
  <c r="AU11" i="31"/>
  <c r="AJ11" i="31"/>
  <c r="AK11" i="31" s="1"/>
  <c r="AA11" i="31"/>
  <c r="Z11" i="31"/>
  <c r="Y11" i="31"/>
  <c r="L11" i="31"/>
  <c r="BR10" i="31"/>
  <c r="BQ10" i="31"/>
  <c r="BF10" i="31"/>
  <c r="BG10" i="31" s="1"/>
  <c r="AV10" i="31"/>
  <c r="AU10" i="31"/>
  <c r="AJ10" i="31"/>
  <c r="AK10" i="31" s="1"/>
  <c r="Z10" i="31"/>
  <c r="Y10" i="31"/>
  <c r="L10" i="31"/>
  <c r="BQ9" i="31"/>
  <c r="BR9" i="31" s="1"/>
  <c r="BG9" i="31"/>
  <c r="BF9" i="31"/>
  <c r="AU9" i="31"/>
  <c r="AV9" i="31" s="1"/>
  <c r="AK9" i="31"/>
  <c r="AJ9" i="31"/>
  <c r="Y9" i="31"/>
  <c r="Z9" i="31" s="1"/>
  <c r="L9" i="31"/>
  <c r="BQ8" i="31"/>
  <c r="BR8" i="31" s="1"/>
  <c r="BG8" i="31"/>
  <c r="BF8" i="31"/>
  <c r="AU8" i="31"/>
  <c r="AV8" i="31" s="1"/>
  <c r="AK8" i="31"/>
  <c r="AJ8" i="31"/>
  <c r="Y8" i="31"/>
  <c r="Z8" i="31" s="1"/>
  <c r="L8" i="31"/>
  <c r="BS7" i="31"/>
  <c r="BQ7" i="31"/>
  <c r="BR7" i="31" s="1"/>
  <c r="BH7" i="31"/>
  <c r="BG7" i="31"/>
  <c r="BF7" i="31"/>
  <c r="AW7" i="31"/>
  <c r="AV7" i="31"/>
  <c r="AU7" i="31"/>
  <c r="AL7" i="31"/>
  <c r="AJ7" i="31"/>
  <c r="AK7" i="31" s="1"/>
  <c r="AA7" i="31"/>
  <c r="Y7" i="31"/>
  <c r="Z7" i="31" s="1"/>
  <c r="L7" i="31"/>
  <c r="BR6" i="31"/>
  <c r="BQ6" i="31"/>
  <c r="BF6" i="31"/>
  <c r="BG6" i="31" s="1"/>
  <c r="AV6" i="31"/>
  <c r="AU6" i="31"/>
  <c r="AL6" i="31"/>
  <c r="AK6" i="31"/>
  <c r="AJ6" i="31"/>
  <c r="AA6" i="31"/>
  <c r="Y6" i="31"/>
  <c r="Z6" i="31" s="1"/>
  <c r="L6" i="31"/>
  <c r="B38" i="263" l="1"/>
  <c r="B30" i="263"/>
  <c r="B36" i="263"/>
  <c r="B32" i="263"/>
  <c r="B40" i="263" s="1"/>
  <c r="B22" i="263" l="1"/>
  <c r="B28" i="263"/>
  <c r="B26" i="263"/>
  <c r="B24" i="263"/>
</calcChain>
</file>

<file path=xl/sharedStrings.xml><?xml version="1.0" encoding="utf-8"?>
<sst xmlns="http://schemas.openxmlformats.org/spreadsheetml/2006/main" count="5292" uniqueCount="1203">
  <si>
    <t>○</t>
    <phoneticPr fontId="15"/>
  </si>
  <si>
    <t>合計</t>
    <rPh sb="0" eb="2">
      <t>ゴウケイ</t>
    </rPh>
    <phoneticPr fontId="15"/>
  </si>
  <si>
    <t>客数</t>
    <rPh sb="0" eb="2">
      <t>キャクスウ</t>
    </rPh>
    <phoneticPr fontId="15"/>
  </si>
  <si>
    <t>空き地</t>
    <rPh sb="0" eb="1">
      <t>ア</t>
    </rPh>
    <rPh sb="2" eb="3">
      <t>チ</t>
    </rPh>
    <phoneticPr fontId="15"/>
  </si>
  <si>
    <t>ホテル</t>
    <phoneticPr fontId="15"/>
  </si>
  <si>
    <t>フード</t>
    <phoneticPr fontId="15"/>
  </si>
  <si>
    <t>カジノ</t>
    <phoneticPr fontId="15"/>
  </si>
  <si>
    <t>ショップ</t>
    <phoneticPr fontId="15"/>
  </si>
  <si>
    <t>ビーチ</t>
    <phoneticPr fontId="15"/>
  </si>
  <si>
    <t>○</t>
    <phoneticPr fontId="15"/>
  </si>
  <si>
    <t>エンタメ</t>
    <phoneticPr fontId="15"/>
  </si>
  <si>
    <t>ビーチショップ夏船</t>
    <rPh sb="7" eb="8">
      <t>ナツ</t>
    </rPh>
    <rPh sb="8" eb="9">
      <t>フネ</t>
    </rPh>
    <phoneticPr fontId="15"/>
  </si>
  <si>
    <t>ショップ</t>
    <phoneticPr fontId="15"/>
  </si>
  <si>
    <t>海上</t>
    <rPh sb="0" eb="2">
      <t>カイジョウ</t>
    </rPh>
    <phoneticPr fontId="15"/>
  </si>
  <si>
    <t>フード</t>
    <phoneticPr fontId="15"/>
  </si>
  <si>
    <t>ホテル</t>
    <phoneticPr fontId="15"/>
  </si>
  <si>
    <t>マリンクラブ・海かもめ</t>
    <rPh sb="7" eb="8">
      <t>ウミ</t>
    </rPh>
    <phoneticPr fontId="15"/>
  </si>
  <si>
    <t>生産</t>
    <rPh sb="0" eb="2">
      <t>セイサン</t>
    </rPh>
    <phoneticPr fontId="15"/>
  </si>
  <si>
    <t>来島者</t>
    <rPh sb="0" eb="2">
      <t>ライトウ</t>
    </rPh>
    <rPh sb="2" eb="3">
      <t>シャ</t>
    </rPh>
    <phoneticPr fontId="15"/>
  </si>
  <si>
    <t>1h</t>
    <phoneticPr fontId="15"/>
  </si>
  <si>
    <t>MAX</t>
    <phoneticPr fontId="15"/>
  </si>
  <si>
    <t>時間</t>
    <rPh sb="0" eb="2">
      <t>ジカン</t>
    </rPh>
    <phoneticPr fontId="15"/>
  </si>
  <si>
    <t>費用</t>
    <rPh sb="0" eb="2">
      <t>ヒヨウ</t>
    </rPh>
    <phoneticPr fontId="15"/>
  </si>
  <si>
    <t>LV1</t>
    <phoneticPr fontId="15"/>
  </si>
  <si>
    <t>客単</t>
    <rPh sb="0" eb="1">
      <t>キャク</t>
    </rPh>
    <rPh sb="1" eb="2">
      <t>タン</t>
    </rPh>
    <phoneticPr fontId="15"/>
  </si>
  <si>
    <t>設置場所</t>
    <rPh sb="0" eb="2">
      <t>セッチ</t>
    </rPh>
    <rPh sb="2" eb="4">
      <t>バショ</t>
    </rPh>
    <phoneticPr fontId="15"/>
  </si>
  <si>
    <t>名前</t>
    <rPh sb="0" eb="2">
      <t>ナマエ</t>
    </rPh>
    <phoneticPr fontId="15"/>
  </si>
  <si>
    <t>入手</t>
    <rPh sb="0" eb="2">
      <t>ニュウシュ</t>
    </rPh>
    <phoneticPr fontId="15"/>
  </si>
  <si>
    <t>人</t>
    <rPh sb="0" eb="1">
      <t>ヒト</t>
    </rPh>
    <phoneticPr fontId="15"/>
  </si>
  <si>
    <t>波乗りマーメイド</t>
    <rPh sb="0" eb="2">
      <t>ナミノ</t>
    </rPh>
    <phoneticPr fontId="15"/>
  </si>
  <si>
    <t>○</t>
    <phoneticPr fontId="15"/>
  </si>
  <si>
    <t>南国マート</t>
    <rPh sb="0" eb="2">
      <t>ナンゴク</t>
    </rPh>
    <phoneticPr fontId="15"/>
  </si>
  <si>
    <t>ペコリーノ・ピッツァ</t>
    <phoneticPr fontId="15"/>
  </si>
  <si>
    <t>アクアキングダム</t>
    <phoneticPr fontId="15"/>
  </si>
  <si>
    <t>経験値</t>
    <rPh sb="0" eb="3">
      <t>ケイケンチ</t>
    </rPh>
    <phoneticPr fontId="15"/>
  </si>
  <si>
    <t>○</t>
    <phoneticPr fontId="15"/>
  </si>
  <si>
    <t>ワイルドパイレーツ</t>
    <phoneticPr fontId="15"/>
  </si>
  <si>
    <t>レア</t>
    <phoneticPr fontId="15"/>
  </si>
  <si>
    <t>人(LV5)</t>
    <rPh sb="0" eb="1">
      <t>ヒト</t>
    </rPh>
    <phoneticPr fontId="15"/>
  </si>
  <si>
    <t>生産(LV5)</t>
    <rPh sb="0" eb="2">
      <t>セイサン</t>
    </rPh>
    <phoneticPr fontId="15"/>
  </si>
  <si>
    <t>人(LV1)</t>
    <rPh sb="0" eb="1">
      <t>ヒト</t>
    </rPh>
    <phoneticPr fontId="15"/>
  </si>
  <si>
    <t>生産(LV1)</t>
    <rPh sb="0" eb="2">
      <t>セイサン</t>
    </rPh>
    <phoneticPr fontId="15"/>
  </si>
  <si>
    <t>エンタメ</t>
  </si>
  <si>
    <t>○</t>
  </si>
  <si>
    <t>ヨットクラブ・風まかせ</t>
    <rPh sb="7" eb="8">
      <t>カゼ</t>
    </rPh>
    <phoneticPr fontId="15"/>
  </si>
  <si>
    <t>2マス</t>
    <phoneticPr fontId="15"/>
  </si>
  <si>
    <t>レベル</t>
    <phoneticPr fontId="15"/>
  </si>
  <si>
    <t>-</t>
  </si>
  <si>
    <t>ホテル</t>
  </si>
  <si>
    <t>TOKYOカジノ</t>
    <phoneticPr fontId="15"/>
  </si>
  <si>
    <t>ジュエリーキッス</t>
    <phoneticPr fontId="15"/>
  </si>
  <si>
    <t>ウクレレミュージック</t>
    <phoneticPr fontId="15"/>
  </si>
  <si>
    <t>ショップ</t>
  </si>
  <si>
    <t>旅亭・藤娘</t>
    <rPh sb="0" eb="2">
      <t>リョテイ</t>
    </rPh>
    <rPh sb="3" eb="4">
      <t>フジ</t>
    </rPh>
    <rPh sb="4" eb="5">
      <t>ムスメ</t>
    </rPh>
    <phoneticPr fontId="15"/>
  </si>
  <si>
    <t>カジノ</t>
  </si>
  <si>
    <t>ダイヤ</t>
    <phoneticPr fontId="15"/>
  </si>
  <si>
    <t>アクエリアス・パレス</t>
    <phoneticPr fontId="15"/>
  </si>
  <si>
    <t>○</t>
    <phoneticPr fontId="15"/>
  </si>
  <si>
    <t>ホテル・フェアリーツリー</t>
    <phoneticPr fontId="15"/>
  </si>
  <si>
    <t>レインボーストア</t>
    <phoneticPr fontId="15"/>
  </si>
  <si>
    <t>ホテル・しおまねき</t>
    <phoneticPr fontId="15"/>
  </si>
  <si>
    <t>コテージ・ハイビスカス</t>
    <phoneticPr fontId="15"/>
  </si>
  <si>
    <t>シャツ・アローハ</t>
    <phoneticPr fontId="15"/>
  </si>
  <si>
    <t>モンスターケバブ</t>
    <phoneticPr fontId="15"/>
  </si>
  <si>
    <t>モーモーステーキ</t>
    <phoneticPr fontId="15"/>
  </si>
  <si>
    <t>SPA・オアシス</t>
    <phoneticPr fontId="15"/>
  </si>
  <si>
    <t>マーブルキッズ・アイス</t>
    <phoneticPr fontId="15"/>
  </si>
  <si>
    <t>カジノ・マハラジャ</t>
    <phoneticPr fontId="15"/>
  </si>
  <si>
    <t>TOKYOみらいツリー</t>
    <phoneticPr fontId="15"/>
  </si>
  <si>
    <t>サンフラワー・テニス</t>
    <phoneticPr fontId="15"/>
  </si>
  <si>
    <t>○</t>
    <phoneticPr fontId="15"/>
  </si>
  <si>
    <t>スキューバ・シーダイバー</t>
    <phoneticPr fontId="15"/>
  </si>
  <si>
    <t>ドルフィン・コテージ</t>
    <phoneticPr fontId="15"/>
  </si>
  <si>
    <t>チャペル・パールラグーン</t>
    <phoneticPr fontId="15"/>
  </si>
  <si>
    <t>センチュリーバッグ</t>
    <phoneticPr fontId="15"/>
  </si>
  <si>
    <t>TOKYOシネマズ</t>
    <phoneticPr fontId="15"/>
  </si>
  <si>
    <t>入れ食い寿司</t>
    <rPh sb="0" eb="1">
      <t>イ</t>
    </rPh>
    <rPh sb="2" eb="3">
      <t>グ</t>
    </rPh>
    <rPh sb="4" eb="6">
      <t>スシ</t>
    </rPh>
    <phoneticPr fontId="15"/>
  </si>
  <si>
    <t>フード</t>
  </si>
  <si>
    <t>ウクレレミュージック</t>
  </si>
  <si>
    <t>トレジャーピラミッド</t>
    <phoneticPr fontId="15"/>
  </si>
  <si>
    <t>ホテル・エクスティアラ</t>
    <phoneticPr fontId="15"/>
  </si>
  <si>
    <t>コスモプラネット</t>
    <phoneticPr fontId="15"/>
  </si>
  <si>
    <t>クラウンタワーホテル</t>
    <phoneticPr fontId="15"/>
  </si>
  <si>
    <t>BAR・波間の止まり木</t>
    <rPh sb="4" eb="6">
      <t>ナミマ</t>
    </rPh>
    <rPh sb="7" eb="8">
      <t>ト</t>
    </rPh>
    <rPh sb="10" eb="11">
      <t>ギ</t>
    </rPh>
    <phoneticPr fontId="15"/>
  </si>
  <si>
    <t>ホテル・マハナフィオーレ</t>
    <phoneticPr fontId="15"/>
  </si>
  <si>
    <t>ホテル・エクスティアラ</t>
  </si>
  <si>
    <t>ミレニアム時計店</t>
    <rPh sb="5" eb="8">
      <t>トケイテン</t>
    </rPh>
    <phoneticPr fontId="15"/>
  </si>
  <si>
    <t>サンセットバーガー</t>
    <phoneticPr fontId="15"/>
  </si>
  <si>
    <t>パンケーキのみつばち</t>
    <phoneticPr fontId="15"/>
  </si>
  <si>
    <t>ラ・メール・オマール</t>
    <phoneticPr fontId="15"/>
  </si>
  <si>
    <t>Lv5</t>
    <phoneticPr fontId="15"/>
  </si>
  <si>
    <t>Lv1</t>
    <phoneticPr fontId="15"/>
  </si>
  <si>
    <t>Lv2</t>
    <phoneticPr fontId="15"/>
  </si>
  <si>
    <t>Lv3</t>
    <phoneticPr fontId="15"/>
  </si>
  <si>
    <t>Lv4</t>
    <phoneticPr fontId="15"/>
  </si>
  <si>
    <t>ショーシアターARIA</t>
    <phoneticPr fontId="15"/>
  </si>
  <si>
    <t>中華・龍彩飯店</t>
    <rPh sb="0" eb="2">
      <t>チュウカ</t>
    </rPh>
    <rPh sb="3" eb="4">
      <t>リュウ</t>
    </rPh>
    <rPh sb="4" eb="5">
      <t>イロドリ</t>
    </rPh>
    <rPh sb="5" eb="7">
      <t>ハンテン</t>
    </rPh>
    <phoneticPr fontId="15"/>
  </si>
  <si>
    <t>カジノ・SINOBI</t>
  </si>
  <si>
    <t>A</t>
  </si>
  <si>
    <t>A</t>
    <phoneticPr fontId="15"/>
  </si>
  <si>
    <t>サンフラワー・ゴルフ</t>
    <phoneticPr fontId="15"/>
  </si>
  <si>
    <t>ホテル・シーガーデン</t>
    <phoneticPr fontId="15"/>
  </si>
  <si>
    <t>マーブルキッズver.2.0</t>
    <phoneticPr fontId="15"/>
  </si>
  <si>
    <t>カフェ・トロピカル</t>
    <phoneticPr fontId="15"/>
  </si>
  <si>
    <t>カフェ・トロピカルver.2.0</t>
    <phoneticPr fontId="15"/>
  </si>
  <si>
    <t>モーモーステーキver.2.0</t>
    <phoneticPr fontId="15"/>
  </si>
  <si>
    <t>サンセットバーガーver.2.0</t>
    <phoneticPr fontId="15"/>
  </si>
  <si>
    <t>ホテル</t>
    <phoneticPr fontId="15"/>
  </si>
  <si>
    <t>ロイヤルキューブ</t>
    <phoneticPr fontId="15"/>
  </si>
  <si>
    <t>○</t>
    <phoneticPr fontId="15"/>
  </si>
  <si>
    <t>○</t>
    <phoneticPr fontId="15"/>
  </si>
  <si>
    <t>トレビアンマキアート</t>
    <phoneticPr fontId="15"/>
  </si>
  <si>
    <t>パリセーズ・コースト</t>
    <phoneticPr fontId="15"/>
  </si>
  <si>
    <t>パリセーズ・コースト</t>
  </si>
  <si>
    <t>ゴールドホテル・しおまねき</t>
    <phoneticPr fontId="15"/>
  </si>
  <si>
    <t>○</t>
    <phoneticPr fontId="15"/>
  </si>
  <si>
    <t>ゴールドビーチショップ夏船</t>
    <rPh sb="11" eb="12">
      <t>ナツ</t>
    </rPh>
    <rPh sb="12" eb="13">
      <t>フネ</t>
    </rPh>
    <phoneticPr fontId="15"/>
  </si>
  <si>
    <t>○</t>
    <phoneticPr fontId="15"/>
  </si>
  <si>
    <t>ゴールドTOKYOカジノ</t>
    <phoneticPr fontId="15"/>
  </si>
  <si>
    <t>ゴールドサンセットバーガー</t>
    <phoneticPr fontId="15"/>
  </si>
  <si>
    <t>ゴールドフラワー・テニス</t>
    <phoneticPr fontId="15"/>
  </si>
  <si>
    <t>ゴールドSPA・オアシス</t>
    <phoneticPr fontId="15"/>
  </si>
  <si>
    <t>キングキャッスル</t>
    <phoneticPr fontId="15"/>
  </si>
  <si>
    <t>グランドダイナソー</t>
    <phoneticPr fontId="15"/>
  </si>
  <si>
    <t>サンフラワー・テニス</t>
  </si>
  <si>
    <t>B</t>
    <phoneticPr fontId="15"/>
  </si>
  <si>
    <t>プラチナクロノス</t>
    <phoneticPr fontId="15"/>
  </si>
  <si>
    <t>○</t>
    <phoneticPr fontId="15"/>
  </si>
  <si>
    <t>ファルファ・ローズ</t>
    <phoneticPr fontId="15"/>
  </si>
  <si>
    <t>レッド・アラゴスタ</t>
    <phoneticPr fontId="15"/>
  </si>
  <si>
    <t>ファルファ・ローズ</t>
  </si>
  <si>
    <t>シルバータワーホテル</t>
    <phoneticPr fontId="15"/>
  </si>
  <si>
    <t>○</t>
    <phoneticPr fontId="15"/>
  </si>
  <si>
    <t>ホーンテッド・シャトー</t>
    <phoneticPr fontId="15"/>
  </si>
  <si>
    <t>浜だこ本店</t>
    <rPh sb="0" eb="1">
      <t>ハマ</t>
    </rPh>
    <rPh sb="3" eb="5">
      <t>ホンテン</t>
    </rPh>
    <phoneticPr fontId="15"/>
  </si>
  <si>
    <t>ゴールド・コテージ</t>
    <phoneticPr fontId="15"/>
  </si>
  <si>
    <t>○</t>
    <phoneticPr fontId="15"/>
  </si>
  <si>
    <t>シルバーワイルドパイレーツ</t>
    <phoneticPr fontId="15"/>
  </si>
  <si>
    <t>○</t>
    <phoneticPr fontId="15"/>
  </si>
  <si>
    <t>シルバーアクアキングダム</t>
    <phoneticPr fontId="15"/>
  </si>
  <si>
    <t>カジノ・ピュルゴス</t>
    <phoneticPr fontId="15"/>
  </si>
  <si>
    <t>エルモサ・ミュージアム</t>
    <phoneticPr fontId="15"/>
  </si>
  <si>
    <t>カジノ・SINOBI</t>
    <phoneticPr fontId="15"/>
  </si>
  <si>
    <t>カジノ・ピュルゴス</t>
    <phoneticPr fontId="15"/>
  </si>
  <si>
    <t>ファッション・グレイス</t>
    <phoneticPr fontId="15"/>
  </si>
  <si>
    <t>○</t>
    <phoneticPr fontId="15"/>
  </si>
  <si>
    <t>シルバージュエリーキッス</t>
    <phoneticPr fontId="15"/>
  </si>
  <si>
    <t>シルバージュエリーキッス</t>
    <phoneticPr fontId="15"/>
  </si>
  <si>
    <t>完了</t>
    <rPh sb="0" eb="2">
      <t>カンリョウ</t>
    </rPh>
    <phoneticPr fontId="15"/>
  </si>
  <si>
    <t>プラネタリウム・ソラ</t>
    <phoneticPr fontId="15"/>
  </si>
  <si>
    <t>シルバー・ラ・メール</t>
    <phoneticPr fontId="15"/>
  </si>
  <si>
    <t>シルバー・ラ・メール</t>
    <phoneticPr fontId="15"/>
  </si>
  <si>
    <t>ゴールドシャツ・アローハ</t>
    <phoneticPr fontId="15"/>
  </si>
  <si>
    <t>アッチャー・カリー</t>
    <phoneticPr fontId="15"/>
  </si>
  <si>
    <t>アッチャー・カリー</t>
    <phoneticPr fontId="15"/>
  </si>
  <si>
    <t>○</t>
    <phoneticPr fontId="15"/>
  </si>
  <si>
    <t>シルバー・パレス</t>
    <phoneticPr fontId="15"/>
  </si>
  <si>
    <t>シルバー南国マート</t>
    <rPh sb="4" eb="6">
      <t>ナンゴク</t>
    </rPh>
    <phoneticPr fontId="15"/>
  </si>
  <si>
    <t>シルバーみらいツリー</t>
    <phoneticPr fontId="15"/>
  </si>
  <si>
    <t>シルバーカジノ・マハラジャ</t>
    <phoneticPr fontId="15"/>
  </si>
  <si>
    <t>シルバーカジノ・マハラジャ</t>
    <phoneticPr fontId="15"/>
  </si>
  <si>
    <t>ゴールドモンスターケバブ</t>
    <phoneticPr fontId="15"/>
  </si>
  <si>
    <t>銅</t>
    <rPh sb="0" eb="1">
      <t>ドウ</t>
    </rPh>
    <phoneticPr fontId="15"/>
  </si>
  <si>
    <t>銀</t>
    <rPh sb="0" eb="1">
      <t>ギン</t>
    </rPh>
    <phoneticPr fontId="15"/>
  </si>
  <si>
    <t>金</t>
    <rPh sb="0" eb="1">
      <t>キン</t>
    </rPh>
    <phoneticPr fontId="15"/>
  </si>
  <si>
    <t>シルバーみつばち</t>
    <phoneticPr fontId="15"/>
  </si>
  <si>
    <t>シューティング・ハウス</t>
    <phoneticPr fontId="15"/>
  </si>
  <si>
    <t>シルバーみらいツリー</t>
    <phoneticPr fontId="15"/>
  </si>
  <si>
    <t>○</t>
    <phoneticPr fontId="15"/>
  </si>
  <si>
    <t>シルバーフェアリーツリー</t>
    <phoneticPr fontId="15"/>
  </si>
  <si>
    <t>○</t>
    <phoneticPr fontId="15"/>
  </si>
  <si>
    <t>ゲシュロス・ホテル</t>
    <phoneticPr fontId="15"/>
  </si>
  <si>
    <t>ホーンテッド・パンプキン</t>
    <phoneticPr fontId="15"/>
  </si>
  <si>
    <t>シルバーコスモプラネット</t>
    <phoneticPr fontId="15"/>
  </si>
  <si>
    <t>シルバーミュージック</t>
    <phoneticPr fontId="15"/>
  </si>
  <si>
    <t>ゲームプレイス・チャンピオン</t>
    <phoneticPr fontId="15"/>
  </si>
  <si>
    <t>TOKYOベイワールド</t>
    <phoneticPr fontId="15"/>
  </si>
  <si>
    <t>シルバーシアターARIA</t>
    <phoneticPr fontId="15"/>
  </si>
  <si>
    <t>シルバーマーブルアイス</t>
    <phoneticPr fontId="15"/>
  </si>
  <si>
    <t>○</t>
    <phoneticPr fontId="15"/>
  </si>
  <si>
    <t>○</t>
    <phoneticPr fontId="15"/>
  </si>
  <si>
    <t>スキルラボ01</t>
    <phoneticPr fontId="15"/>
  </si>
  <si>
    <t>スキル</t>
    <phoneticPr fontId="15"/>
  </si>
  <si>
    <t>アンシエント・ショップ</t>
    <phoneticPr fontId="15"/>
  </si>
  <si>
    <t>カジノ・コロッセオ</t>
    <phoneticPr fontId="15"/>
  </si>
  <si>
    <t>スキルラボ01</t>
    <phoneticPr fontId="15"/>
  </si>
  <si>
    <t>スキル</t>
  </si>
  <si>
    <t>○</t>
    <phoneticPr fontId="15"/>
  </si>
  <si>
    <t>シルバー・コテージ</t>
    <phoneticPr fontId="15"/>
  </si>
  <si>
    <t>シルバー・コテージ</t>
  </si>
  <si>
    <t>ダミー</t>
    <phoneticPr fontId="15"/>
  </si>
  <si>
    <t>スキルラボ02</t>
    <phoneticPr fontId="15"/>
  </si>
  <si>
    <t>天然湯処・かわずの湯</t>
    <phoneticPr fontId="15"/>
  </si>
  <si>
    <t>○</t>
    <phoneticPr fontId="15"/>
  </si>
  <si>
    <t>シルバーピラミッド</t>
    <phoneticPr fontId="15"/>
  </si>
  <si>
    <t>シルバーSPA・オアシス</t>
    <phoneticPr fontId="15"/>
  </si>
  <si>
    <t>スキルラボ03</t>
    <phoneticPr fontId="15"/>
  </si>
  <si>
    <t>アウロラ・クリスタル</t>
    <phoneticPr fontId="15"/>
  </si>
  <si>
    <t>シルバービーチショップ夏船</t>
    <rPh sb="11" eb="12">
      <t>ナツ</t>
    </rPh>
    <rPh sb="12" eb="13">
      <t>フネ</t>
    </rPh>
    <phoneticPr fontId="15"/>
  </si>
  <si>
    <t>○</t>
    <phoneticPr fontId="15"/>
  </si>
  <si>
    <t>A</t>
    <phoneticPr fontId="15"/>
  </si>
  <si>
    <t>A</t>
    <phoneticPr fontId="15"/>
  </si>
  <si>
    <t>B</t>
    <phoneticPr fontId="15"/>
  </si>
  <si>
    <t>B</t>
    <phoneticPr fontId="15"/>
  </si>
  <si>
    <t>B</t>
    <phoneticPr fontId="15"/>
  </si>
  <si>
    <t>シルバーモンスターケバブ</t>
    <phoneticPr fontId="15"/>
  </si>
  <si>
    <t>B</t>
  </si>
  <si>
    <t>宇宙研究所・アンドロメダ</t>
    <rPh sb="0" eb="2">
      <t>ウチュウ</t>
    </rPh>
    <rPh sb="2" eb="4">
      <t>ケンキュウ</t>
    </rPh>
    <rPh sb="4" eb="5">
      <t>ジョ</t>
    </rPh>
    <phoneticPr fontId="15"/>
  </si>
  <si>
    <t>スキルラボ04</t>
    <phoneticPr fontId="15"/>
  </si>
  <si>
    <t>ハイスキルラボ01</t>
    <phoneticPr fontId="15"/>
  </si>
  <si>
    <t>○</t>
    <phoneticPr fontId="15"/>
  </si>
  <si>
    <t>HOTEL・GALAXY</t>
    <phoneticPr fontId="15"/>
  </si>
  <si>
    <t>シルバー・ハイビスカス</t>
    <phoneticPr fontId="15"/>
  </si>
  <si>
    <t>ゴールド・ハイビスカス</t>
    <phoneticPr fontId="15"/>
  </si>
  <si>
    <t>ゴールドカフェ・トロピカル</t>
    <phoneticPr fontId="15"/>
  </si>
  <si>
    <t>ゴールドレインボーストア</t>
    <phoneticPr fontId="15"/>
  </si>
  <si>
    <t>○</t>
    <phoneticPr fontId="15"/>
  </si>
  <si>
    <t>ゴールドマリン・海かもめ</t>
    <rPh sb="8" eb="9">
      <t>ウミ</t>
    </rPh>
    <phoneticPr fontId="15"/>
  </si>
  <si>
    <t>○</t>
    <phoneticPr fontId="15"/>
  </si>
  <si>
    <t>ゴールドピラミッド</t>
    <phoneticPr fontId="15"/>
  </si>
  <si>
    <t>シルバーマリン・海かもめ</t>
    <rPh sb="8" eb="9">
      <t>ウミ</t>
    </rPh>
    <phoneticPr fontId="15"/>
  </si>
  <si>
    <t>○</t>
    <phoneticPr fontId="15"/>
  </si>
  <si>
    <t>トイストア・メリーピース</t>
    <phoneticPr fontId="15"/>
  </si>
  <si>
    <t>サンタラボ（青）</t>
    <rPh sb="6" eb="7">
      <t>アオ</t>
    </rPh>
    <phoneticPr fontId="15"/>
  </si>
  <si>
    <t>サンタラボ（赤）</t>
    <rPh sb="6" eb="7">
      <t>アカ</t>
    </rPh>
    <phoneticPr fontId="15"/>
  </si>
  <si>
    <t>○</t>
    <phoneticPr fontId="15"/>
  </si>
  <si>
    <t>シルバーレインボーストア</t>
    <phoneticPr fontId="15"/>
  </si>
  <si>
    <t>○</t>
    <phoneticPr fontId="15"/>
  </si>
  <si>
    <t>○</t>
    <phoneticPr fontId="15"/>
  </si>
  <si>
    <t>シルバー旅亭・藤娘</t>
    <rPh sb="4" eb="6">
      <t>リョテイ</t>
    </rPh>
    <rPh sb="7" eb="8">
      <t>フジ</t>
    </rPh>
    <rPh sb="8" eb="9">
      <t>ムスメ</t>
    </rPh>
    <phoneticPr fontId="15"/>
  </si>
  <si>
    <t>シルバー・シーダイバー</t>
    <phoneticPr fontId="15"/>
  </si>
  <si>
    <t>○</t>
    <phoneticPr fontId="15"/>
  </si>
  <si>
    <t>シルバーカフェ・トロピカル</t>
    <phoneticPr fontId="15"/>
  </si>
  <si>
    <t>サバイバル・P・フィールド</t>
    <phoneticPr fontId="15"/>
  </si>
  <si>
    <t>シルバー・パールラグーン</t>
    <phoneticPr fontId="15"/>
  </si>
  <si>
    <t>スキルラボ05</t>
    <phoneticPr fontId="15"/>
  </si>
  <si>
    <t>ハイスキルラボ02</t>
    <phoneticPr fontId="15"/>
  </si>
  <si>
    <t>シルバー波乗りマーメイド</t>
    <rPh sb="4" eb="6">
      <t>ナミノ</t>
    </rPh>
    <phoneticPr fontId="15"/>
  </si>
  <si>
    <t>○</t>
    <phoneticPr fontId="15"/>
  </si>
  <si>
    <t>シルバーTOKYOシネマズ</t>
    <phoneticPr fontId="15"/>
  </si>
  <si>
    <t>シルバーモーモーステーキ</t>
    <phoneticPr fontId="15"/>
  </si>
  <si>
    <t>シアター・ラニーオアフ</t>
    <phoneticPr fontId="15"/>
  </si>
  <si>
    <t>○</t>
    <phoneticPr fontId="15"/>
  </si>
  <si>
    <t>シルバー・エクスティアラ</t>
    <phoneticPr fontId="15"/>
  </si>
  <si>
    <t>シルバー入れ食い寿司</t>
    <rPh sb="4" eb="5">
      <t>イ</t>
    </rPh>
    <rPh sb="6" eb="7">
      <t>グ</t>
    </rPh>
    <rPh sb="8" eb="10">
      <t>スシ</t>
    </rPh>
    <phoneticPr fontId="15"/>
  </si>
  <si>
    <t>シルバーヨット・風まかせ</t>
    <rPh sb="8" eb="9">
      <t>カゼ</t>
    </rPh>
    <phoneticPr fontId="15"/>
  </si>
  <si>
    <t>シルバー・シーガーデン</t>
    <phoneticPr fontId="15"/>
  </si>
  <si>
    <t>シルバーグランドダイナソー</t>
    <phoneticPr fontId="15"/>
  </si>
  <si>
    <t>ハイスキルラボ03</t>
    <phoneticPr fontId="15"/>
  </si>
  <si>
    <t>スキルラボ06</t>
    <phoneticPr fontId="15"/>
  </si>
  <si>
    <t>ホテル・スノーガーデン</t>
    <phoneticPr fontId="15"/>
  </si>
  <si>
    <t>シルバーセンチュリーバッグ</t>
    <phoneticPr fontId="15"/>
  </si>
  <si>
    <t>シルバー・ピッツァ</t>
    <phoneticPr fontId="15"/>
  </si>
  <si>
    <t>らぁめん亭・華次郎</t>
    <phoneticPr fontId="15"/>
  </si>
  <si>
    <t>アクアキングダムver.2</t>
    <phoneticPr fontId="15"/>
  </si>
  <si>
    <t>トレジャーピラミッドver.2</t>
    <phoneticPr fontId="15"/>
  </si>
  <si>
    <t>シルバープラチナクロノス</t>
    <phoneticPr fontId="15"/>
  </si>
  <si>
    <t>旅宿・明楼館</t>
    <phoneticPr fontId="15"/>
  </si>
  <si>
    <t>ゴールドモーモーステーキ</t>
    <phoneticPr fontId="15"/>
  </si>
  <si>
    <t>ゴールド旅亭・藤娘</t>
    <rPh sb="4" eb="6">
      <t>リョテイ</t>
    </rPh>
    <rPh sb="7" eb="8">
      <t>フジ</t>
    </rPh>
    <rPh sb="8" eb="9">
      <t>ムスメ</t>
    </rPh>
    <phoneticPr fontId="15"/>
  </si>
  <si>
    <t>ゴールドジュエリーキッス</t>
    <phoneticPr fontId="15"/>
  </si>
  <si>
    <t>ゴールド・シーダイバー</t>
    <phoneticPr fontId="15"/>
  </si>
  <si>
    <t>○</t>
    <phoneticPr fontId="15"/>
  </si>
  <si>
    <t>ゴールドワイルドパイレーツ</t>
    <phoneticPr fontId="15"/>
  </si>
  <si>
    <t>スキルラボ07</t>
    <phoneticPr fontId="15"/>
  </si>
  <si>
    <t>ハイスキルラボ04</t>
    <phoneticPr fontId="15"/>
  </si>
  <si>
    <t>公開日</t>
    <rPh sb="0" eb="2">
      <t>コウカイ</t>
    </rPh>
    <rPh sb="2" eb="3">
      <t>ビ</t>
    </rPh>
    <phoneticPr fontId="15"/>
  </si>
  <si>
    <t>ID</t>
    <phoneticPr fontId="15"/>
  </si>
  <si>
    <t>レベル</t>
  </si>
  <si>
    <t>VIP</t>
  </si>
  <si>
    <t>24限定</t>
  </si>
  <si>
    <t>カジノW</t>
  </si>
  <si>
    <t>カジノG</t>
  </si>
  <si>
    <t>カテゴリ</t>
    <phoneticPr fontId="15"/>
  </si>
  <si>
    <t>成長
タイプ</t>
    <rPh sb="0" eb="2">
      <t>セイチョウ</t>
    </rPh>
    <phoneticPr fontId="15"/>
  </si>
  <si>
    <t>建設</t>
    <rPh sb="0" eb="2">
      <t>ケンセツ</t>
    </rPh>
    <phoneticPr fontId="15"/>
  </si>
  <si>
    <t>イベント名</t>
    <rPh sb="4" eb="5">
      <t>メイ</t>
    </rPh>
    <phoneticPr fontId="15"/>
  </si>
  <si>
    <t>Lv2</t>
    <phoneticPr fontId="15"/>
  </si>
  <si>
    <t>Lv3</t>
    <phoneticPr fontId="15"/>
  </si>
  <si>
    <t>Lv4</t>
    <phoneticPr fontId="15"/>
  </si>
  <si>
    <t>Lv5</t>
    <phoneticPr fontId="15"/>
  </si>
  <si>
    <t>スキル内容</t>
    <rPh sb="3" eb="5">
      <t>ナイヨウ</t>
    </rPh>
    <phoneticPr fontId="15"/>
  </si>
  <si>
    <t>限定</t>
  </si>
  <si>
    <t>景品</t>
  </si>
  <si>
    <t>生産
時間</t>
    <rPh sb="0" eb="2">
      <t>セイサン</t>
    </rPh>
    <rPh sb="3" eb="5">
      <t>ジカン</t>
    </rPh>
    <phoneticPr fontId="15"/>
  </si>
  <si>
    <t>経験値
効率</t>
    <rPh sb="0" eb="3">
      <t>ケイケンチ</t>
    </rPh>
    <rPh sb="4" eb="6">
      <t>コウリツ</t>
    </rPh>
    <phoneticPr fontId="15"/>
  </si>
  <si>
    <t>来島者/
客数</t>
    <rPh sb="0" eb="2">
      <t>ライトウ</t>
    </rPh>
    <rPh sb="2" eb="3">
      <t>シャ</t>
    </rPh>
    <rPh sb="5" eb="7">
      <t>キャクスウ</t>
    </rPh>
    <phoneticPr fontId="15"/>
  </si>
  <si>
    <t>アバター
No</t>
    <phoneticPr fontId="15"/>
  </si>
  <si>
    <t>編集用データ</t>
    <rPh sb="0" eb="3">
      <t>ヘンシュウヨウ</t>
    </rPh>
    <phoneticPr fontId="15"/>
  </si>
  <si>
    <t>生産ベース値</t>
    <rPh sb="0" eb="2">
      <t>セイサン</t>
    </rPh>
    <rPh sb="5" eb="6">
      <t>チ</t>
    </rPh>
    <phoneticPr fontId="15"/>
  </si>
  <si>
    <t>客
カネー</t>
    <rPh sb="0" eb="1">
      <t>キャク</t>
    </rPh>
    <phoneticPr fontId="15"/>
  </si>
  <si>
    <t>レア</t>
    <phoneticPr fontId="15"/>
  </si>
  <si>
    <t>基本2</t>
    <rPh sb="0" eb="2">
      <t>キホン</t>
    </rPh>
    <phoneticPr fontId="15"/>
  </si>
  <si>
    <t>基本1</t>
    <rPh sb="0" eb="2">
      <t>キホン</t>
    </rPh>
    <phoneticPr fontId="15"/>
  </si>
  <si>
    <t>完了</t>
    <rPh sb="0" eb="2">
      <t>カンリョウ</t>
    </rPh>
    <phoneticPr fontId="15"/>
  </si>
  <si>
    <t>ダミー</t>
    <phoneticPr fontId="15"/>
  </si>
  <si>
    <t>娯楽城・ハオハオ</t>
  </si>
  <si>
    <t>LV2</t>
    <phoneticPr fontId="15"/>
  </si>
  <si>
    <t>LV3</t>
    <phoneticPr fontId="15"/>
  </si>
  <si>
    <t>LV4</t>
    <phoneticPr fontId="15"/>
  </si>
  <si>
    <t>LV5</t>
    <phoneticPr fontId="15"/>
  </si>
  <si>
    <t>チップ</t>
    <phoneticPr fontId="15"/>
  </si>
  <si>
    <t>交換チップ</t>
    <rPh sb="0" eb="2">
      <t>コウカン</t>
    </rPh>
    <phoneticPr fontId="15"/>
  </si>
  <si>
    <t>完了</t>
    <rPh sb="0" eb="2">
      <t>カンリョウ</t>
    </rPh>
    <phoneticPr fontId="15"/>
  </si>
  <si>
    <t>獲得
資材</t>
    <rPh sb="0" eb="2">
      <t>カクトク</t>
    </rPh>
    <rPh sb="3" eb="5">
      <t>シザイ</t>
    </rPh>
    <phoneticPr fontId="15"/>
  </si>
  <si>
    <t>-</t>
    <phoneticPr fontId="15"/>
  </si>
  <si>
    <t>-</t>
    <phoneticPr fontId="15"/>
  </si>
  <si>
    <t>○</t>
    <phoneticPr fontId="15"/>
  </si>
  <si>
    <t>○</t>
    <phoneticPr fontId="15"/>
  </si>
  <si>
    <t>○</t>
    <phoneticPr fontId="15"/>
  </si>
  <si>
    <t>レベル</t>
    <phoneticPr fontId="15"/>
  </si>
  <si>
    <t>個数</t>
    <rPh sb="0" eb="2">
      <t>コスウ</t>
    </rPh>
    <phoneticPr fontId="15"/>
  </si>
  <si>
    <t>売却
チップ</t>
    <rPh sb="0" eb="2">
      <t>バイキャク</t>
    </rPh>
    <phoneticPr fontId="15"/>
  </si>
  <si>
    <t>tokyo</t>
    <phoneticPr fontId="15"/>
  </si>
  <si>
    <t>kingcastle</t>
    <phoneticPr fontId="15"/>
  </si>
  <si>
    <t>pyramid</t>
    <phoneticPr fontId="15"/>
  </si>
  <si>
    <t>pirates</t>
    <phoneticPr fontId="15"/>
  </si>
  <si>
    <t>maharaja</t>
    <phoneticPr fontId="15"/>
  </si>
  <si>
    <t>dinosaur</t>
  </si>
  <si>
    <t>goldtokyo</t>
  </si>
  <si>
    <t>goldpyramid</t>
  </si>
  <si>
    <t>goldpirates</t>
  </si>
  <si>
    <t>sinobi</t>
  </si>
  <si>
    <t>pyrgos</t>
  </si>
  <si>
    <t>colosseo</t>
  </si>
  <si>
    <t>aurora</t>
  </si>
  <si>
    <t>haohao</t>
  </si>
  <si>
    <t>silverpirates</t>
  </si>
  <si>
    <t>silvermaharaja</t>
  </si>
  <si>
    <t>silvercosmo</t>
  </si>
  <si>
    <t>silverpyramid</t>
  </si>
  <si>
    <t>silverdinosaur</t>
  </si>
  <si>
    <t>pyramid2</t>
  </si>
  <si>
    <t>cosumo</t>
  </si>
  <si>
    <t>全6種 期間限定景品登場！！</t>
    <phoneticPr fontId="15"/>
  </si>
  <si>
    <t>期間限定景品登場！（～9／10）</t>
    <phoneticPr fontId="15"/>
  </si>
  <si>
    <t>期間限定景品登場！（～11／10）</t>
    <phoneticPr fontId="15"/>
  </si>
  <si>
    <t>期間限定景品登場！（～11／30）</t>
    <phoneticPr fontId="15"/>
  </si>
  <si>
    <t>24時間限定景品（10／10）</t>
    <phoneticPr fontId="15"/>
  </si>
  <si>
    <t>カジノウォーズ</t>
    <phoneticPr fontId="15"/>
  </si>
  <si>
    <t>24時間限定景品（～1／6）</t>
    <phoneticPr fontId="15"/>
  </si>
  <si>
    <t>24時間限定景品（11／14）</t>
    <phoneticPr fontId="15"/>
  </si>
  <si>
    <t>24時間限定景品（9／22）</t>
    <phoneticPr fontId="15"/>
  </si>
  <si>
    <t>24時間限定景品（8／22）</t>
    <phoneticPr fontId="15"/>
  </si>
  <si>
    <t>期間限定景品登場！（～2／10）</t>
    <phoneticPr fontId="15"/>
  </si>
  <si>
    <t>シルバーロイヤルキューブ</t>
    <phoneticPr fontId="15"/>
  </si>
  <si>
    <t>hibiscus</t>
  </si>
  <si>
    <t>fuji</t>
  </si>
  <si>
    <t>crown</t>
  </si>
  <si>
    <t>tiara</t>
  </si>
  <si>
    <t>royal</t>
  </si>
  <si>
    <t>dolphin</t>
  </si>
  <si>
    <t>palace</t>
  </si>
  <si>
    <t>fairy</t>
  </si>
  <si>
    <t>seagarden</t>
  </si>
  <si>
    <t>chronos</t>
  </si>
  <si>
    <t>goldsio</t>
  </si>
  <si>
    <t>goldcottage</t>
  </si>
  <si>
    <t>goldhibiscus</t>
  </si>
  <si>
    <t>goldfuji</t>
  </si>
  <si>
    <t>mahana</t>
  </si>
  <si>
    <t>palisades</t>
  </si>
  <si>
    <t>gesyurosu</t>
  </si>
  <si>
    <t>kawazu</t>
  </si>
  <si>
    <t>galaxy</t>
  </si>
  <si>
    <t>snowgarden</t>
  </si>
  <si>
    <t>meiroukan</t>
  </si>
  <si>
    <t>silvertower</t>
  </si>
  <si>
    <t>silverpalace</t>
  </si>
  <si>
    <t>silverfairy</t>
  </si>
  <si>
    <t>silvercottage</t>
  </si>
  <si>
    <t>silverhibiscus</t>
  </si>
  <si>
    <t>silverfuji</t>
  </si>
  <si>
    <t>silvertiara</t>
  </si>
  <si>
    <t>silverseagarden</t>
  </si>
  <si>
    <t>silverchronos</t>
  </si>
  <si>
    <t>silverroyal</t>
  </si>
  <si>
    <t>sio</t>
  </si>
  <si>
    <t>期間限定景品！！遊園地シリーズ</t>
    <phoneticPr fontId="15"/>
  </si>
  <si>
    <t>期間限定景品登場！（～7／8）</t>
    <phoneticPr fontId="15"/>
  </si>
  <si>
    <t>期間限定景品登場！（～10／18）</t>
    <phoneticPr fontId="15"/>
  </si>
  <si>
    <t>期間限定景品登場！（～11／21）</t>
    <phoneticPr fontId="15"/>
  </si>
  <si>
    <t>期間限定景品登場！（～12／12）</t>
    <phoneticPr fontId="15"/>
  </si>
  <si>
    <t>期間限定景品登場！（～1／12）</t>
    <phoneticPr fontId="15"/>
  </si>
  <si>
    <t>期間限定景品登場！（～1／25）</t>
    <phoneticPr fontId="15"/>
  </si>
  <si>
    <t>24時間限定景品（9／19）</t>
    <phoneticPr fontId="15"/>
  </si>
  <si>
    <t>24時間限定景品（10／3）</t>
    <phoneticPr fontId="15"/>
  </si>
  <si>
    <t>24時間限定景品（11／7）</t>
    <phoneticPr fontId="15"/>
  </si>
  <si>
    <t>24時間限定景品（12／5）</t>
    <phoneticPr fontId="15"/>
  </si>
  <si>
    <t>24時間限定景品（～1／6）</t>
    <phoneticPr fontId="15"/>
  </si>
  <si>
    <t>24時間限定景品（1／16）</t>
    <phoneticPr fontId="15"/>
  </si>
  <si>
    <t>24時間限定景品（2／6）</t>
    <phoneticPr fontId="15"/>
  </si>
  <si>
    <t>24時間限定景品（8／8）</t>
    <phoneticPr fontId="15"/>
  </si>
  <si>
    <t>シルバー・グレイス</t>
    <phoneticPr fontId="15"/>
  </si>
  <si>
    <t>natsufune</t>
  </si>
  <si>
    <t>rainbow</t>
  </si>
  <si>
    <t>mermaid</t>
  </si>
  <si>
    <t>bag</t>
  </si>
  <si>
    <t>mart</t>
  </si>
  <si>
    <t>grace</t>
  </si>
  <si>
    <t>millennium</t>
  </si>
  <si>
    <t>kiss</t>
  </si>
  <si>
    <t>ukulele</t>
  </si>
  <si>
    <t>lagoon</t>
  </si>
  <si>
    <t>goldaloha</t>
  </si>
  <si>
    <t>goldnatsufune</t>
  </si>
  <si>
    <t>goldrainbow</t>
  </si>
  <si>
    <t>goldkiss</t>
  </si>
  <si>
    <t>rose</t>
  </si>
  <si>
    <t>shooting</t>
  </si>
  <si>
    <t>ancient</t>
  </si>
  <si>
    <t>andromeda</t>
  </si>
  <si>
    <t>toystore</t>
  </si>
  <si>
    <t>silverkiss</t>
  </si>
  <si>
    <t>silvermart</t>
  </si>
  <si>
    <t>silvermusic</t>
  </si>
  <si>
    <t>silvernatsufune</t>
  </si>
  <si>
    <t>silverrainbow</t>
  </si>
  <si>
    <t>silverlagoon</t>
  </si>
  <si>
    <t>silvermermaid</t>
  </si>
  <si>
    <t>silverbag</t>
  </si>
  <si>
    <t>silvergrace</t>
  </si>
  <si>
    <t>aloha</t>
  </si>
  <si>
    <t>24時間限定景品（9／5）</t>
    <phoneticPr fontId="15"/>
  </si>
  <si>
    <t>24時間限定景品（9／20）</t>
    <phoneticPr fontId="15"/>
  </si>
  <si>
    <t>24時間限定景品（12／19）</t>
    <phoneticPr fontId="15"/>
  </si>
  <si>
    <t>24時間限定景品（～12／29）</t>
    <phoneticPr fontId="15"/>
  </si>
  <si>
    <t>24時間限定景品（～12／29）</t>
    <phoneticPr fontId="15"/>
  </si>
  <si>
    <t>24時間限定景品（～1／1）</t>
    <phoneticPr fontId="15"/>
  </si>
  <si>
    <t>24時間限定景品（1／9）</t>
    <phoneticPr fontId="15"/>
  </si>
  <si>
    <t>24時間限定景品（1／23）</t>
    <phoneticPr fontId="15"/>
  </si>
  <si>
    <t>24時間限定景品（11／22）</t>
    <phoneticPr fontId="15"/>
  </si>
  <si>
    <t>24時間限定景品（10／11）</t>
    <phoneticPr fontId="15"/>
  </si>
  <si>
    <t>期間限定景品登場！（～12／25）</t>
    <phoneticPr fontId="15"/>
  </si>
  <si>
    <t>期間限定景品登場！（～8／10）</t>
    <phoneticPr fontId="15"/>
  </si>
  <si>
    <t>期間限定景品登場！（～10／9）</t>
    <phoneticPr fontId="15"/>
  </si>
  <si>
    <t>シルバー中華・龍彩飯店</t>
    <phoneticPr fontId="15"/>
  </si>
  <si>
    <t>burger</t>
  </si>
  <si>
    <t>tropical</t>
  </si>
  <si>
    <t>steak</t>
  </si>
  <si>
    <t>pancake</t>
  </si>
  <si>
    <t>ice</t>
  </si>
  <si>
    <t>pizza</t>
  </si>
  <si>
    <t>tomarigi</t>
  </si>
  <si>
    <t>kabab</t>
  </si>
  <si>
    <t>omar</t>
  </si>
  <si>
    <t>sushi</t>
  </si>
  <si>
    <t>chinese</t>
  </si>
  <si>
    <t>goldburger</t>
  </si>
  <si>
    <t>goldkabab</t>
  </si>
  <si>
    <t>goldtropical</t>
  </si>
  <si>
    <t>goldsteak</t>
  </si>
  <si>
    <t>macchiato</t>
  </si>
  <si>
    <t>red</t>
  </si>
  <si>
    <t>curry</t>
  </si>
  <si>
    <t>tako</t>
  </si>
  <si>
    <t>silveromar</t>
  </si>
  <si>
    <t>silverpancake</t>
  </si>
  <si>
    <t>silverice</t>
  </si>
  <si>
    <t>silverkabab</t>
  </si>
  <si>
    <t>silvertropical</t>
  </si>
  <si>
    <t>silversteak</t>
  </si>
  <si>
    <t>silversushi</t>
  </si>
  <si>
    <t>silverpizza</t>
  </si>
  <si>
    <t>silverchinese</t>
  </si>
  <si>
    <t>burgerv2</t>
  </si>
  <si>
    <t>tropicalv2</t>
  </si>
  <si>
    <t>steakv2</t>
  </si>
  <si>
    <t>icev2</t>
  </si>
  <si>
    <t>hanajiro</t>
  </si>
  <si>
    <t>24時間限定景品（9／26）</t>
    <phoneticPr fontId="15"/>
  </si>
  <si>
    <t>カジノグランプリ</t>
    <phoneticPr fontId="15"/>
  </si>
  <si>
    <t>-</t>
    <phoneticPr fontId="15"/>
  </si>
  <si>
    <t>spa</t>
  </si>
  <si>
    <t>kamome</t>
  </si>
  <si>
    <t>scuba</t>
  </si>
  <si>
    <t>cinema</t>
  </si>
  <si>
    <t>yacht</t>
  </si>
  <si>
    <t>aria</t>
  </si>
  <si>
    <t>golf</t>
  </si>
  <si>
    <t>tennis</t>
  </si>
  <si>
    <t>kingdom</t>
  </si>
  <si>
    <t>miraitree</t>
  </si>
  <si>
    <t>bayworld</t>
  </si>
  <si>
    <t>goldtennis</t>
  </si>
  <si>
    <t>goldspa</t>
  </si>
  <si>
    <t>goldkamome</t>
  </si>
  <si>
    <t>goldscuba</t>
  </si>
  <si>
    <t>haunted</t>
  </si>
  <si>
    <t>hermosa</t>
  </si>
  <si>
    <t>planetarium</t>
  </si>
  <si>
    <t>survival</t>
  </si>
  <si>
    <t>pumpkin</t>
  </si>
  <si>
    <t>gameplace</t>
  </si>
  <si>
    <t>oahu</t>
  </si>
  <si>
    <t>silverkingdom</t>
  </si>
  <si>
    <t>silvermiraitree</t>
  </si>
  <si>
    <t>silveraria</t>
  </si>
  <si>
    <t>silverspa</t>
  </si>
  <si>
    <t>silverkamome</t>
  </si>
  <si>
    <t>silverscuba</t>
  </si>
  <si>
    <t>silvercinema</t>
  </si>
  <si>
    <t>silveryacht</t>
  </si>
  <si>
    <t>kingdom2</t>
  </si>
  <si>
    <t>期間限定景品登場！（～8／20）</t>
  </si>
  <si>
    <t>期間限定景品登場！（～8／20）</t>
    <phoneticPr fontId="15"/>
  </si>
  <si>
    <t>期間限定景品登場！（～9／17）</t>
  </si>
  <si>
    <t>期間限定景品登場！（～9／17）</t>
    <phoneticPr fontId="15"/>
  </si>
  <si>
    <t>期間限定景品登場！（～10／26）</t>
  </si>
  <si>
    <t>期間限定景品登場！（～10／26）</t>
    <phoneticPr fontId="15"/>
  </si>
  <si>
    <t>期間限定景品登場！（～1／12）</t>
  </si>
  <si>
    <t>期間限定景品登場！（～1／12）</t>
    <phoneticPr fontId="15"/>
  </si>
  <si>
    <t>24時間限定景品（9／21）</t>
  </si>
  <si>
    <t>24時間限定景品（9／21）</t>
    <phoneticPr fontId="15"/>
  </si>
  <si>
    <t>24時間限定景品（10／17）</t>
  </si>
  <si>
    <t>24時間限定景品（10／17）</t>
    <phoneticPr fontId="15"/>
  </si>
  <si>
    <t>24時間限定景品（11／21）</t>
  </si>
  <si>
    <t>24時間限定景品（11／21）</t>
    <phoneticPr fontId="15"/>
  </si>
  <si>
    <t>24時間限定景品（12／12）</t>
  </si>
  <si>
    <t>24時間限定景品（12／12）</t>
    <phoneticPr fontId="15"/>
  </si>
  <si>
    <t>24時間限定景品（～1／6）</t>
  </si>
  <si>
    <t>24時間限定景品（～1／6）</t>
    <phoneticPr fontId="15"/>
  </si>
  <si>
    <t>24時間限定景品（～1／1）</t>
  </si>
  <si>
    <t>24時間限定景品（～1／1）</t>
    <phoneticPr fontId="15"/>
  </si>
  <si>
    <t>24時間限定景品（～12／29）</t>
  </si>
  <si>
    <t>24時間限定景品（～12／29）</t>
    <phoneticPr fontId="15"/>
  </si>
  <si>
    <t>カジノウォーズ</t>
  </si>
  <si>
    <t>カジノウォーズ</t>
    <phoneticPr fontId="15"/>
  </si>
  <si>
    <t>○</t>
    <phoneticPr fontId="15"/>
  </si>
  <si>
    <t>スキルラボ08</t>
    <phoneticPr fontId="15"/>
  </si>
  <si>
    <t>ハイスキルラボ05</t>
    <phoneticPr fontId="15"/>
  </si>
  <si>
    <t>スキルラボ09</t>
    <phoneticPr fontId="15"/>
  </si>
  <si>
    <t>ハイスキルラボ06</t>
    <phoneticPr fontId="15"/>
  </si>
  <si>
    <t>labo01</t>
  </si>
  <si>
    <t>labo01</t>
    <phoneticPr fontId="15"/>
  </si>
  <si>
    <t>labo02</t>
  </si>
  <si>
    <t>labo02</t>
    <phoneticPr fontId="15"/>
  </si>
  <si>
    <t>labo03</t>
  </si>
  <si>
    <t>labo03</t>
    <phoneticPr fontId="15"/>
  </si>
  <si>
    <t>labo04</t>
  </si>
  <si>
    <t>labo04</t>
    <phoneticPr fontId="15"/>
  </si>
  <si>
    <t>labo05</t>
  </si>
  <si>
    <t>labo05</t>
    <phoneticPr fontId="15"/>
  </si>
  <si>
    <t>labo06</t>
  </si>
  <si>
    <t>labo06</t>
    <phoneticPr fontId="15"/>
  </si>
  <si>
    <t>labo07</t>
  </si>
  <si>
    <t>labo07</t>
    <phoneticPr fontId="15"/>
  </si>
  <si>
    <t>labo08</t>
  </si>
  <si>
    <t>labo08</t>
    <phoneticPr fontId="15"/>
  </si>
  <si>
    <t>labo09</t>
  </si>
  <si>
    <t>labo09</t>
    <phoneticPr fontId="15"/>
  </si>
  <si>
    <t>hilabo01</t>
  </si>
  <si>
    <t>hilabo01</t>
    <phoneticPr fontId="15"/>
  </si>
  <si>
    <t>hilabo02</t>
  </si>
  <si>
    <t>hilabo02</t>
    <phoneticPr fontId="15"/>
  </si>
  <si>
    <t>hilabo03</t>
  </si>
  <si>
    <t>hilabo03</t>
    <phoneticPr fontId="15"/>
  </si>
  <si>
    <t>hilabo04</t>
  </si>
  <si>
    <t>hilabo04</t>
    <phoneticPr fontId="15"/>
  </si>
  <si>
    <t>hilabo05</t>
  </si>
  <si>
    <t>hilabo05</t>
    <phoneticPr fontId="15"/>
  </si>
  <si>
    <t>hilabo06</t>
  </si>
  <si>
    <t>hilabo06</t>
    <phoneticPr fontId="15"/>
  </si>
  <si>
    <t>santablue</t>
  </si>
  <si>
    <t>santablue</t>
    <phoneticPr fontId="15"/>
  </si>
  <si>
    <t>santared</t>
  </si>
  <si>
    <t>santared</t>
    <phoneticPr fontId="15"/>
  </si>
  <si>
    <t>スキルアバター登場！（～11／10）</t>
  </si>
  <si>
    <t>スキルアバター登場！（～11／10）</t>
    <phoneticPr fontId="15"/>
  </si>
  <si>
    <t>スキルアバター登場！（～11／21）</t>
  </si>
  <si>
    <t>スキルアバター登場！（～11／21）</t>
    <phoneticPr fontId="15"/>
  </si>
  <si>
    <t>スキルアバター登場！（～11／30）</t>
  </si>
  <si>
    <t>スキルアバター登場！（～11／30）</t>
    <phoneticPr fontId="15"/>
  </si>
  <si>
    <t>スキルアバター登場！（～12／12）</t>
  </si>
  <si>
    <t>スキルアバター登場！（～12／12）</t>
    <phoneticPr fontId="15"/>
  </si>
  <si>
    <t>スキルアバター登場！（～12／25）</t>
  </si>
  <si>
    <t>スキルアバター登場！（～12／25）</t>
    <phoneticPr fontId="15"/>
  </si>
  <si>
    <t>スキルアバター登場！（～12／31）</t>
  </si>
  <si>
    <t>スキルアバター登場！（～12／31）</t>
    <phoneticPr fontId="15"/>
  </si>
  <si>
    <t>スキルアバター登場！（～1／12）</t>
  </si>
  <si>
    <t>スキルアバター登場！（～1／12）</t>
    <phoneticPr fontId="15"/>
  </si>
  <si>
    <t>スキルアバター登場！（～1／25）</t>
  </si>
  <si>
    <t>スキルアバター登場！（～1／25）</t>
    <phoneticPr fontId="15"/>
  </si>
  <si>
    <t>スキルアバター登場！（～1／31）</t>
  </si>
  <si>
    <t>スキルアバター登場！（～1／31）</t>
    <phoneticPr fontId="15"/>
  </si>
  <si>
    <t>スキルアバター登場！（～2／10）</t>
  </si>
  <si>
    <t>スキルアバター登場！（～2／10）</t>
    <phoneticPr fontId="15"/>
  </si>
  <si>
    <t>○</t>
    <phoneticPr fontId="15"/>
  </si>
  <si>
    <t>短縮分</t>
    <rPh sb="0" eb="2">
      <t>タンシュク</t>
    </rPh>
    <rPh sb="2" eb="3">
      <t>フン</t>
    </rPh>
    <phoneticPr fontId="15"/>
  </si>
  <si>
    <t>スキル</t>
    <phoneticPr fontId="15"/>
  </si>
  <si>
    <t>11/01(日)～11/10(火)~~ルーレット/バカラ/ブラックジャックで期間中、イベント時の配当やリーグPtがさらにアップします</t>
  </si>
  <si>
    <t>11/01(日)～11/10(火)~~ルーレット/バカラ/ブラックジャックで期間中、イベント時の配当やリーグPtがさらにアップします</t>
    <phoneticPr fontId="15"/>
  </si>
  <si>
    <t>11/11(水)～11/21(土)~~ルーレット/バカラ/ブラックジャックで期間中、イベント時の配当やリーグPtがアップします</t>
  </si>
  <si>
    <t>11/11(水)～11/21(土)~~ルーレット/バカラ/ブラックジャックで期間中、イベント時の配当やリーグPtがアップします</t>
    <phoneticPr fontId="15"/>
  </si>
  <si>
    <t>11/22(日)～11/30(月)~~ルーレット/バカラ/ブラックジャックで期間中、イベント時の配当やリーグPtがアップします</t>
  </si>
  <si>
    <t>11/22(日)～11/30(月)~~ルーレット/バカラ/ブラックジャックで期間中、イベント時の配当やリーグPtがアップします</t>
    <phoneticPr fontId="15"/>
  </si>
  <si>
    <t>12/01(火)～12/12(土)~~ルーレット/バカラ/ブラックジャックで期間中、イベント時の配当やリーグPtがアップします</t>
  </si>
  <si>
    <t>12/01(火)～12/12(土)~~ルーレット/バカラ/ブラックジャックで期間中、イベント時の配当やリーグPtがアップします</t>
    <phoneticPr fontId="15"/>
  </si>
  <si>
    <t>12/01(火)～12/12(土)~~ルーレット/バカラ/ブラックジャックで期間中、イベント時の配当やリーグPtが大幅アップします</t>
  </si>
  <si>
    <t>12/01(火)～12/12(土)~~ルーレット/バカラ/ブラックジャックで期間中、イベント時の配当やリーグPtが大幅アップします</t>
    <phoneticPr fontId="15"/>
  </si>
  <si>
    <t>12/13(日)～12/25(金)~~BJで期間中、イベント時の配当やリーグPtが大幅アップします (バカラ/ルーレットもアップします)</t>
  </si>
  <si>
    <t>12/13(日)～12/25(金)~~BJで期間中、イベント時の配当やリーグPtが大幅アップします (バカラ/ルーレットもアップします)</t>
    <phoneticPr fontId="15"/>
  </si>
  <si>
    <t>12/13(日)～12/25(金)~~ルーレットで期間中、イベント時の配当やリーグPtが大幅アップします (バカラ/BJもアップします)</t>
  </si>
  <si>
    <t>12/13(日)～12/25(金)~~ルーレットで期間中、イベント時の配当やリーグPtが大幅アップします (バカラ/BJもアップします)</t>
    <phoneticPr fontId="15"/>
  </si>
  <si>
    <t>12/26(土)～12/31(木)~~ルーレット/バカラ/ブラックジャック/大小で期間中、イベント時の配当がアップします</t>
  </si>
  <si>
    <t>12/26(土)～12/31(木)~~ルーレット/バカラ/ブラックジャック/大小で期間中、イベント時の配当がアップします</t>
    <phoneticPr fontId="15"/>
  </si>
  <si>
    <t>12/26(土)～12/31(木)~~ルーレット/バカラ/ブラックジャック/大小で期間中、イベント時の配当が大幅アップします</t>
  </si>
  <si>
    <t>12/26(土)～12/31(木)~~ルーレット/バカラ/ブラックジャック/大小で期間中、イベント時の配当が大幅アップします</t>
    <phoneticPr fontId="15"/>
  </si>
  <si>
    <t>01/01(金)～01/12(火)~~ルーレット/バカラ/ブラックジャックで期間中、イベント時の配当やリーグPtがアップします</t>
  </si>
  <si>
    <t>01/01(金)～01/12(火)~~ルーレット/バカラ/ブラックジャックで期間中、イベント時の配当やリーグPtがアップします</t>
    <phoneticPr fontId="15"/>
  </si>
  <si>
    <t>01/01(金)～01/12(火)~~ルーレット/バカラ/ブラックジャックで期間中、イベント時の配当やリーグPtが大幅アップします</t>
  </si>
  <si>
    <t>01/01(金)～01/12(火)~~ルーレット/バカラ/ブラックジャックで期間中、イベント時の配当やリーグPtが大幅アップします</t>
    <phoneticPr fontId="15"/>
  </si>
  <si>
    <t>01/16(土)～01/25(月)~~ルーレット/バカラ/ブラックジャックで期間中、イベント時の配当やリーグPtがアップします</t>
  </si>
  <si>
    <t>01/16(土)～01/25(月)~~ルーレット/バカラ/ブラックジャックで期間中、イベント時の配当やリーグPtがアップします</t>
    <phoneticPr fontId="15"/>
  </si>
  <si>
    <t>01/16(土)～01/25(月)~~ルーレット/バカラ/ブラックジャックで期間中、イベント時の配当やリーグPtが大幅アップします</t>
  </si>
  <si>
    <t>01/16(土)～01/25(月)~~ルーレット/バカラ/ブラックジャックで期間中、イベント時の配当やリーグPtが大幅アップします</t>
    <phoneticPr fontId="15"/>
  </si>
  <si>
    <t>01/26(火)～01/31(日)~~ルーレット/バカラ/ブラックジャックで期間中、イベント時の配当やリーグPtがアップします</t>
  </si>
  <si>
    <t>01/26(火)～01/31(日)~~ルーレット/バカラ/ブラックジャックで期間中、イベント時の配当やリーグPtがアップします</t>
    <phoneticPr fontId="15"/>
  </si>
  <si>
    <t>01/26(火)～01/31(日)~~ルーレット/バカラ/ブラックジャックで期間中、イベント時の配当やリーグPtが大幅アップします</t>
  </si>
  <si>
    <t>01/26(火)～01/31(日)~~ルーレット/バカラ/ブラックジャックで期間中、イベント時の配当やリーグPtが大幅アップします</t>
    <phoneticPr fontId="15"/>
  </si>
  <si>
    <t>02/01(月)～02/10(水)~~ルーレット/バカラ/ブラックジャックで期間中、イベント時の配当やリーグPtが大幅アップします</t>
  </si>
  <si>
    <t>02/01(月)～02/10(水)~~ルーレット/バカラ/ブラックジャックで期間中、イベント時の配当やリーグPtが大幅アップします</t>
    <phoneticPr fontId="15"/>
  </si>
  <si>
    <t>02/01(月)～02/10(水)~~ルーレット/バカラ/ブラックジャックで期間中、イベント時の配当やリーグPtがアップします</t>
  </si>
  <si>
    <t>02/01(月)～02/10(水)~~ルーレット/バカラ/ブラックジャックで期間中、イベント時の配当やリーグPtがアップします</t>
    <phoneticPr fontId="15"/>
  </si>
  <si>
    <t>MAX
生産</t>
    <rPh sb="4" eb="6">
      <t>セイサン</t>
    </rPh>
    <phoneticPr fontId="15"/>
  </si>
  <si>
    <t>tokyo</t>
  </si>
  <si>
    <t>kingcastle</t>
  </si>
  <si>
    <t>pyramid</t>
  </si>
  <si>
    <t>pirates</t>
  </si>
  <si>
    <t>maharaja</t>
  </si>
  <si>
    <t>全6種 期間限定景品登場！！</t>
  </si>
  <si>
    <t>期間限定景品登場！（～9／10）</t>
  </si>
  <si>
    <t>期間限定景品登場！（～11／10）</t>
  </si>
  <si>
    <t>期間限定景品登場！（～11／30）</t>
  </si>
  <si>
    <t>期間限定景品登場！（～2／10）</t>
  </si>
  <si>
    <t>24時間限定景品（8／22）</t>
  </si>
  <si>
    <t>24時間限定景品（9／22）</t>
  </si>
  <si>
    <t>24時間限定景品（10／10）</t>
  </si>
  <si>
    <t>24時間限定景品（11／14）</t>
  </si>
  <si>
    <t>期間限定景品！！遊園地シリーズ</t>
  </si>
  <si>
    <t>期間限定景品登場！（～7／8）</t>
  </si>
  <si>
    <t>期間限定景品登場！（～10／18）</t>
  </si>
  <si>
    <t>期間限定景品登場！（～11／21）</t>
  </si>
  <si>
    <t>期間限定景品登場！（～12／12）</t>
  </si>
  <si>
    <t>期間限定景品登場！（～1／25）</t>
  </si>
  <si>
    <t>24時間限定景品（8／8）</t>
  </si>
  <si>
    <t>24時間限定景品（9／19）</t>
  </si>
  <si>
    <t>24時間限定景品（10／3）</t>
  </si>
  <si>
    <t>24時間限定景品（11／7）</t>
  </si>
  <si>
    <t>24時間限定景品（12／5）</t>
  </si>
  <si>
    <t>24時間限定景品（1／16）</t>
  </si>
  <si>
    <t>24時間限定景品（2／6）</t>
  </si>
  <si>
    <t>期間限定景品登場！（～8／10）</t>
  </si>
  <si>
    <t>期間限定景品登場！（～10／9）</t>
  </si>
  <si>
    <t>期間限定景品登場！（～12／25）</t>
  </si>
  <si>
    <t>24時間限定景品（9／5）</t>
  </si>
  <si>
    <t>24時間限定景品（9／20）</t>
  </si>
  <si>
    <t>24時間限定景品（10／11）</t>
  </si>
  <si>
    <t>24時間限定景品（11／22）</t>
  </si>
  <si>
    <t>24時間限定景品（12／19）</t>
  </si>
  <si>
    <t>24時間限定景品（1／9）</t>
  </si>
  <si>
    <t>24時間限定景品（1／23）</t>
  </si>
  <si>
    <t>24時間限定景品（9／26）</t>
  </si>
  <si>
    <t>カジノグランプリ</t>
  </si>
  <si>
    <t>経験値
1h</t>
    <rPh sb="0" eb="3">
      <t>ケイケンチ</t>
    </rPh>
    <phoneticPr fontId="15"/>
  </si>
  <si>
    <t>経験値
MAX</t>
    <rPh sb="0" eb="3">
      <t>ケイケンチ</t>
    </rPh>
    <phoneticPr fontId="15"/>
  </si>
  <si>
    <t>生産
1h</t>
    <rPh sb="0" eb="2">
      <t>セイサン</t>
    </rPh>
    <phoneticPr fontId="15"/>
  </si>
  <si>
    <t>生産
MAX</t>
    <rPh sb="0" eb="2">
      <t>セイサン</t>
    </rPh>
    <phoneticPr fontId="15"/>
  </si>
  <si>
    <t>損失カネー</t>
    <rPh sb="0" eb="2">
      <t>ソンシツ</t>
    </rPh>
    <phoneticPr fontId="15"/>
  </si>
  <si>
    <t>必要時給</t>
    <rPh sb="0" eb="2">
      <t>ヒツヨウ</t>
    </rPh>
    <rPh sb="2" eb="4">
      <t>ジキュウ</t>
    </rPh>
    <phoneticPr fontId="15"/>
  </si>
  <si>
    <t>ベース値</t>
    <rPh sb="3" eb="4">
      <t>チ</t>
    </rPh>
    <phoneticPr fontId="15"/>
  </si>
  <si>
    <t>編集用</t>
    <rPh sb="0" eb="3">
      <t>ヘンシュウヨウ</t>
    </rPh>
    <phoneticPr fontId="15"/>
  </si>
  <si>
    <t>来島者
-客数</t>
    <rPh sb="0" eb="2">
      <t>ライトウ</t>
    </rPh>
    <rPh sb="2" eb="3">
      <t>シャ</t>
    </rPh>
    <rPh sb="5" eb="7">
      <t>キャクスウ</t>
    </rPh>
    <phoneticPr fontId="15"/>
  </si>
  <si>
    <t>補正後
来島者</t>
    <rPh sb="0" eb="2">
      <t>ホセイ</t>
    </rPh>
    <rPh sb="2" eb="3">
      <t>ゴ</t>
    </rPh>
    <rPh sb="4" eb="6">
      <t>ライトウ</t>
    </rPh>
    <rPh sb="6" eb="7">
      <t>シャ</t>
    </rPh>
    <phoneticPr fontId="15"/>
  </si>
  <si>
    <t>LV2</t>
    <phoneticPr fontId="15"/>
  </si>
  <si>
    <t>その他</t>
    <rPh sb="2" eb="3">
      <t>タ</t>
    </rPh>
    <phoneticPr fontId="15"/>
  </si>
  <si>
    <t>損失カネー
(回復日数)</t>
    <rPh sb="0" eb="2">
      <t>ソンシツ</t>
    </rPh>
    <rPh sb="7" eb="9">
      <t>カイフク</t>
    </rPh>
    <rPh sb="9" eb="11">
      <t>ニッスウ</t>
    </rPh>
    <phoneticPr fontId="15"/>
  </si>
  <si>
    <t>必要時給
(費用/時間)</t>
    <rPh sb="0" eb="2">
      <t>ヒツヨウ</t>
    </rPh>
    <rPh sb="2" eb="4">
      <t>ジキュウ</t>
    </rPh>
    <rPh sb="6" eb="8">
      <t>ヒヨウ</t>
    </rPh>
    <rPh sb="9" eb="11">
      <t>ジカン</t>
    </rPh>
    <phoneticPr fontId="15"/>
  </si>
  <si>
    <t>期間限定景品登場！（～7／8）</t>
    <phoneticPr fontId="15"/>
  </si>
  <si>
    <t>期間限定景品登場！（～9／27）</t>
  </si>
  <si>
    <t>期間限定景品登場！（～9／27）</t>
    <phoneticPr fontId="15"/>
  </si>
  <si>
    <t>24時間限定景品（8／15）</t>
  </si>
  <si>
    <t>24時間限定景品（8／15）</t>
    <phoneticPr fontId="15"/>
  </si>
  <si>
    <t>24時間限定景品（9／12）</t>
  </si>
  <si>
    <t>24時間限定景品（9／12）</t>
    <phoneticPr fontId="15"/>
  </si>
  <si>
    <t>24時間限定景品（10／24）</t>
  </si>
  <si>
    <t>24時間限定景品（10／24）</t>
    <phoneticPr fontId="15"/>
  </si>
  <si>
    <t>24時間限定景品（11／28）</t>
  </si>
  <si>
    <t>24時間限定景品（11／28）</t>
    <phoneticPr fontId="15"/>
  </si>
  <si>
    <t>24時間限定景品（1／10）</t>
  </si>
  <si>
    <t>24時間限定景品（1／10）</t>
    <phoneticPr fontId="15"/>
  </si>
  <si>
    <t>24時間限定景品（1／30）</t>
  </si>
  <si>
    <t>24時間限定景品（1／30）</t>
    <phoneticPr fontId="15"/>
  </si>
  <si>
    <t>期間限定景品登場！（～9／10）</t>
    <phoneticPr fontId="15"/>
  </si>
  <si>
    <t>期間限定景品登場！（～10／9）</t>
    <phoneticPr fontId="15"/>
  </si>
  <si>
    <t>期間限定景品登場！（～10／18）</t>
    <phoneticPr fontId="15"/>
  </si>
  <si>
    <t>24時間限定景品（8／29）</t>
  </si>
  <si>
    <t>24時間限定景品（8／29）</t>
    <phoneticPr fontId="15"/>
  </si>
  <si>
    <t>来島者補正</t>
    <rPh sb="0" eb="2">
      <t>ライトウ</t>
    </rPh>
    <rPh sb="2" eb="3">
      <t>シャ</t>
    </rPh>
    <rPh sb="3" eb="5">
      <t>ホセイ</t>
    </rPh>
    <phoneticPr fontId="15"/>
  </si>
  <si>
    <t>%</t>
    <phoneticPr fontId="15"/>
  </si>
  <si>
    <t>2行目にチェック(何かの文字)を入れるとその列を非表示にできます</t>
    <rPh sb="1" eb="3">
      <t>ギョウメ</t>
    </rPh>
    <rPh sb="9" eb="10">
      <t>ナン</t>
    </rPh>
    <rPh sb="12" eb="14">
      <t>モジ</t>
    </rPh>
    <rPh sb="16" eb="17">
      <t>イ</t>
    </rPh>
    <rPh sb="22" eb="23">
      <t>レツ</t>
    </rPh>
    <rPh sb="24" eb="27">
      <t>ヒヒョウジ</t>
    </rPh>
    <phoneticPr fontId="15"/>
  </si>
  <si>
    <t>書式用(変更しないこと)</t>
    <rPh sb="0" eb="2">
      <t>ショシキ</t>
    </rPh>
    <rPh sb="2" eb="3">
      <t>ヨウ</t>
    </rPh>
    <rPh sb="4" eb="6">
      <t>ヘンコウ</t>
    </rPh>
    <phoneticPr fontId="15"/>
  </si>
  <si>
    <t>↑元データにあるのと同じボタン。ここからでも作成できます</t>
    <rPh sb="1" eb="2">
      <t>モト</t>
    </rPh>
    <rPh sb="10" eb="11">
      <t>オナ</t>
    </rPh>
    <rPh sb="22" eb="24">
      <t>サクセイ</t>
    </rPh>
    <phoneticPr fontId="15"/>
  </si>
  <si>
    <t>自分のリゾートの来島者補正数値を入れてください。補正値は後から全一覧ページで変更できます</t>
    <rPh sb="0" eb="2">
      <t>ジブン</t>
    </rPh>
    <rPh sb="8" eb="10">
      <t>ライトウ</t>
    </rPh>
    <rPh sb="10" eb="11">
      <t>シャ</t>
    </rPh>
    <rPh sb="11" eb="13">
      <t>ホセイ</t>
    </rPh>
    <rPh sb="13" eb="15">
      <t>スウチ</t>
    </rPh>
    <rPh sb="16" eb="17">
      <t>イ</t>
    </rPh>
    <rPh sb="24" eb="26">
      <t>ホセイ</t>
    </rPh>
    <rPh sb="26" eb="27">
      <t>チ</t>
    </rPh>
    <rPh sb="28" eb="29">
      <t>アト</t>
    </rPh>
    <rPh sb="31" eb="32">
      <t>ゼン</t>
    </rPh>
    <rPh sb="32" eb="34">
      <t>イチラン</t>
    </rPh>
    <rPh sb="38" eb="40">
      <t>ヘンコウ</t>
    </rPh>
    <phoneticPr fontId="15"/>
  </si>
  <si>
    <t>↑</t>
    <phoneticPr fontId="15"/>
  </si>
  <si>
    <t>アクエリアス・パレスver.2</t>
    <phoneticPr fontId="15"/>
  </si>
  <si>
    <t>カジノW</t>
    <phoneticPr fontId="15"/>
  </si>
  <si>
    <t>palace</t>
    <phoneticPr fontId="15"/>
  </si>
  <si>
    <t>palace2</t>
  </si>
  <si>
    <t>palace2</t>
    <phoneticPr fontId="15"/>
  </si>
  <si>
    <t>カジノウォーズ（～2／12）</t>
  </si>
  <si>
    <t>カジノウォーズ（～2／12）</t>
    <phoneticPr fontId="15"/>
  </si>
  <si>
    <t>○</t>
    <phoneticPr fontId="15"/>
  </si>
  <si>
    <t>ミレニアム時計店ver.2</t>
    <phoneticPr fontId="15"/>
  </si>
  <si>
    <t>millennium2</t>
  </si>
  <si>
    <t>カジノウォーズ（～2／12）</t>
    <phoneticPr fontId="15"/>
  </si>
  <si>
    <t>スタジアム・ガイアール</t>
    <phoneticPr fontId="15"/>
  </si>
  <si>
    <t>gaillard</t>
  </si>
  <si>
    <t>gaillard</t>
    <phoneticPr fontId="15"/>
  </si>
  <si>
    <t>○</t>
    <phoneticPr fontId="15"/>
  </si>
  <si>
    <t>カジノ・マスタング</t>
    <phoneticPr fontId="15"/>
  </si>
  <si>
    <t>○</t>
    <phoneticPr fontId="15"/>
  </si>
  <si>
    <t>mustang</t>
  </si>
  <si>
    <t>mustang</t>
    <phoneticPr fontId="15"/>
  </si>
  <si>
    <t>期間限定景品登場！（～2／22）</t>
  </si>
  <si>
    <t>期間限定景品登場！（～2／22）</t>
    <phoneticPr fontId="15"/>
  </si>
  <si>
    <t>スキルラボ10</t>
    <phoneticPr fontId="15"/>
  </si>
  <si>
    <t>ハイスキルラボ07</t>
    <phoneticPr fontId="15"/>
  </si>
  <si>
    <t>labo10</t>
  </si>
  <si>
    <t>hilabo07</t>
  </si>
  <si>
    <t>hilabo07</t>
    <phoneticPr fontId="15"/>
  </si>
  <si>
    <t>labo10</t>
    <phoneticPr fontId="15"/>
  </si>
  <si>
    <t>スキルアバター登場！（～2／22）</t>
  </si>
  <si>
    <t>スキルアバター登場！（～2／22）</t>
    <phoneticPr fontId="15"/>
  </si>
  <si>
    <t>02/13(土)～02/22(月)~~ルーレット/バカラ/ブラックジャックで期間中、イベント時の配当が大幅アップします</t>
  </si>
  <si>
    <t>02/13(土)～02/22(月)~~ルーレット/バカラ/ブラックジャックで期間中、イベント時の配当が大幅アップします</t>
    <rPh sb="6" eb="7">
      <t>ド</t>
    </rPh>
    <rPh sb="15" eb="16">
      <t>ゲツ</t>
    </rPh>
    <phoneticPr fontId="15"/>
  </si>
  <si>
    <t>02/13(土)～02/22(月)~~ルーレット/バカラ/ブラックジャックで期間中、イベント時の配当がアップします</t>
  </si>
  <si>
    <t>02/13(土)～02/22(月)~~ルーレット/バカラ/ブラックジャックで期間中、イベント時の配当がアップします</t>
    <rPh sb="6" eb="7">
      <t>ド</t>
    </rPh>
    <rPh sb="15" eb="16">
      <t>ゲツ</t>
    </rPh>
    <phoneticPr fontId="15"/>
  </si>
  <si>
    <t>シルバーミレニアム時計店</t>
    <rPh sb="9" eb="12">
      <t>トケイテン</t>
    </rPh>
    <phoneticPr fontId="15"/>
  </si>
  <si>
    <t>millennium2</t>
    <phoneticPr fontId="15"/>
  </si>
  <si>
    <t>silvermillennium</t>
  </si>
  <si>
    <t>silvermillennium</t>
    <phoneticPr fontId="15"/>
  </si>
  <si>
    <t>24時間限定景品（2／13）</t>
  </si>
  <si>
    <t>24時間限定景品（2／13）</t>
    <phoneticPr fontId="15"/>
  </si>
  <si>
    <t>カテゴリ</t>
    <phoneticPr fontId="15"/>
  </si>
  <si>
    <t>2マス</t>
    <phoneticPr fontId="15"/>
  </si>
  <si>
    <t>TOKYOカジノ</t>
  </si>
  <si>
    <t>キングキャッスル</t>
  </si>
  <si>
    <t>トレジャーピラミッド</t>
  </si>
  <si>
    <t>ワイルドパイレーツ</t>
  </si>
  <si>
    <t>カジノ・マハラジャ</t>
  </si>
  <si>
    <t>グランドダイナソー</t>
  </si>
  <si>
    <t>ゴールドTOKYOカジノ</t>
  </si>
  <si>
    <t>ゴールドワイルドパイレーツ</t>
  </si>
  <si>
    <t>カジノ・ピュルゴス</t>
  </si>
  <si>
    <t>カジノ・コロッセオ</t>
  </si>
  <si>
    <t>アウロラ・クリスタル</t>
  </si>
  <si>
    <t>シルバーワイルドパイレーツ</t>
  </si>
  <si>
    <t>シルバーカジノ・マハラジャ</t>
  </si>
  <si>
    <t>シルバーコスモプラネット</t>
  </si>
  <si>
    <t>シルバーピラミッド</t>
  </si>
  <si>
    <t>シルバーグランドダイナソー</t>
  </si>
  <si>
    <t>トレジャーピラミッドver.2</t>
  </si>
  <si>
    <t>コテージ・ハイビスカス</t>
  </si>
  <si>
    <t>旅亭・藤娘</t>
  </si>
  <si>
    <t>クラウンタワーホテル</t>
  </si>
  <si>
    <t>ロイヤルキューブ</t>
  </si>
  <si>
    <t>アクエリアス・パレス</t>
  </si>
  <si>
    <t>ホテル・フェアリーツリー</t>
  </si>
  <si>
    <t>プラチナクロノス</t>
  </si>
  <si>
    <t>ゴールド・コテージ</t>
  </si>
  <si>
    <t>ゴールド・ハイビスカス</t>
  </si>
  <si>
    <t>ゴールド旅亭・藤娘</t>
  </si>
  <si>
    <t>ゲシュロス・ホテル</t>
  </si>
  <si>
    <t>天然湯処・かわずの湯</t>
  </si>
  <si>
    <t>HOTEL・GALAXY</t>
  </si>
  <si>
    <t>ホテル・スノーガーデン</t>
  </si>
  <si>
    <t>シルバータワーホテル</t>
  </si>
  <si>
    <t>シルバー・パレス</t>
  </si>
  <si>
    <t>シルバーフェアリーツリー</t>
  </si>
  <si>
    <t>シルバー旅亭・藤娘</t>
  </si>
  <si>
    <t>シルバー・エクスティアラ</t>
  </si>
  <si>
    <t>シルバー・シーガーデン</t>
  </si>
  <si>
    <t>シルバープラチナクロノス</t>
  </si>
  <si>
    <t>シルバーロイヤルキューブ</t>
  </si>
  <si>
    <t>シャツ・アローハ</t>
  </si>
  <si>
    <t>レインボーストア</t>
  </si>
  <si>
    <t>波乗りマーメイド</t>
  </si>
  <si>
    <t>南国マート</t>
  </si>
  <si>
    <t>ファッション・グレイス</t>
  </si>
  <si>
    <t>ジュエリーキッス</t>
  </si>
  <si>
    <t>ゴールドジュエリーキッス</t>
  </si>
  <si>
    <t>シューティング・ハウス</t>
  </si>
  <si>
    <t>アンシエント・ショップ</t>
  </si>
  <si>
    <t>宇宙研究所・アンドロメダ</t>
  </si>
  <si>
    <t>トイストア・メリーピース</t>
  </si>
  <si>
    <t>シルバージュエリーキッス</t>
  </si>
  <si>
    <t>シルバー南国マート</t>
  </si>
  <si>
    <t>シルバーミュージック</t>
  </si>
  <si>
    <t>シルバーレインボーストア</t>
  </si>
  <si>
    <t>シルバー・パールラグーン</t>
  </si>
  <si>
    <t>シルバー波乗りマーメイド</t>
  </si>
  <si>
    <t>シルバーセンチュリーバッグ</t>
  </si>
  <si>
    <t>シルバー・グレイス</t>
  </si>
  <si>
    <t>シルバーミレニアム時計店</t>
  </si>
  <si>
    <t>ミレニアム時計店ver.2</t>
  </si>
  <si>
    <t>サンセットバーガー</t>
  </si>
  <si>
    <t>カフェ・トロピカル</t>
  </si>
  <si>
    <t>モーモーステーキ</t>
  </si>
  <si>
    <t>パンケーキのみつばち</t>
  </si>
  <si>
    <t>マーブルキッズ・アイス</t>
  </si>
  <si>
    <t>ペコリーノ・ピッツァ</t>
  </si>
  <si>
    <t>BAR・波間の止まり木</t>
  </si>
  <si>
    <t>モンスターケバブ</t>
  </si>
  <si>
    <t>ラ・メール・オマール</t>
  </si>
  <si>
    <t>入れ食い寿司</t>
  </si>
  <si>
    <t>中華・龍彩飯店</t>
  </si>
  <si>
    <t>ホテル・しおまねき</t>
  </si>
  <si>
    <t>マリンクラブ・海かもめ</t>
  </si>
  <si>
    <t>SPA・オアシス</t>
  </si>
  <si>
    <t>ドルフィン・コテージ</t>
  </si>
  <si>
    <t>ビーチショップ夏船</t>
  </si>
  <si>
    <t>スキューバ・シーダイバー</t>
  </si>
  <si>
    <t>チャペル・パールラグーン</t>
  </si>
  <si>
    <t>TOKYOシネマズ</t>
  </si>
  <si>
    <t>アクアキングダム</t>
  </si>
  <si>
    <t>ヨットクラブ・風まかせ</t>
  </si>
  <si>
    <t>ホテル・マハナフィオーレ</t>
  </si>
  <si>
    <t>TOKYOみらいツリー</t>
  </si>
  <si>
    <t>ショーシアターARIA</t>
  </si>
  <si>
    <t>ホテル・シーガーデン</t>
  </si>
  <si>
    <t>コスモプラネット</t>
  </si>
  <si>
    <t>ミレニアム時計店</t>
  </si>
  <si>
    <t>サンフラワー・ゴルフ</t>
  </si>
  <si>
    <t>TOKYOベイワールド</t>
  </si>
  <si>
    <t>センチュリーバッグ</t>
  </si>
  <si>
    <t>トレビアンマキアート</t>
  </si>
  <si>
    <t>レッド・アラゴスタ</t>
  </si>
  <si>
    <t>ホーンテッド・シャトー</t>
  </si>
  <si>
    <t>浜だこ本店</t>
  </si>
  <si>
    <t>エルモサ・ミュージアム</t>
  </si>
  <si>
    <t>プラネタリウム・ソラ</t>
  </si>
  <si>
    <t>アッチャー・カリー</t>
  </si>
  <si>
    <t>サバイバル・P・フィールド</t>
  </si>
  <si>
    <t>ホーンテッド・パンプキン</t>
  </si>
  <si>
    <t>ゲームプレイス・チャンピオン</t>
  </si>
  <si>
    <t>シアター・ラニーオアフ</t>
  </si>
  <si>
    <t>旅宿・明楼館</t>
  </si>
  <si>
    <t>カジノ・マスタング</t>
  </si>
  <si>
    <t>サンセットバーガーver.2.0</t>
  </si>
  <si>
    <t>カフェ・トロピカルver.2.0</t>
  </si>
  <si>
    <t>モーモーステーキver.2.0</t>
  </si>
  <si>
    <t>マーブルキッズver.2.0</t>
  </si>
  <si>
    <t>らぁめん亭・華次郎</t>
  </si>
  <si>
    <t>アクアキングダムver.2</t>
  </si>
  <si>
    <t>スタジアム・ガイアール</t>
  </si>
  <si>
    <t>アクエリアス・パレスver.2</t>
  </si>
  <si>
    <t>シルバーアクアキングダム</t>
  </si>
  <si>
    <t>シルバー・ラ・メール</t>
  </si>
  <si>
    <t>シルバーみらいツリー</t>
  </si>
  <si>
    <t>シルバーみつばち</t>
  </si>
  <si>
    <t>シルバーシアターARIA</t>
  </si>
  <si>
    <t>シルバーマーブルアイス</t>
  </si>
  <si>
    <t>シルバーSPA・オアシス</t>
  </si>
  <si>
    <t>シルバービーチショップ夏船</t>
  </si>
  <si>
    <t>シルバーモンスターケバブ</t>
  </si>
  <si>
    <t>シルバー・ハイビスカス</t>
  </si>
  <si>
    <t>シルバーマリン・海かもめ</t>
  </si>
  <si>
    <t>シルバーカフェ・トロピカル</t>
  </si>
  <si>
    <t>シルバー・シーダイバー</t>
  </si>
  <si>
    <t>シルバーモーモーステーキ</t>
  </si>
  <si>
    <t>シルバーTOKYOシネマズ</t>
  </si>
  <si>
    <t>シルバー入れ食い寿司</t>
  </si>
  <si>
    <t>シルバーヨット・風まかせ</t>
  </si>
  <si>
    <t>シルバー・ピッツァ</t>
  </si>
  <si>
    <t>シルバー中華・龍彩飯店</t>
  </si>
  <si>
    <t>ゴールドホテル・しおまねき</t>
  </si>
  <si>
    <t>ゴールドサンセットバーガー</t>
  </si>
  <si>
    <t>ゴールドシャツ・アローハ</t>
  </si>
  <si>
    <t>ゴールドフラワー・テニス</t>
  </si>
  <si>
    <t>ゴールドモンスターケバブ</t>
  </si>
  <si>
    <t>ゴールドビーチショップ夏船</t>
  </si>
  <si>
    <t>ゴールドSPA・オアシス</t>
  </si>
  <si>
    <t>ゴールドカフェ・トロピカル</t>
  </si>
  <si>
    <t>ゴールドレインボーストア</t>
  </si>
  <si>
    <t>ゴールドマリン・海かもめ</t>
  </si>
  <si>
    <t>ゴールドピラミッド</t>
  </si>
  <si>
    <t>ゴールドモーモーステーキ</t>
  </si>
  <si>
    <t>ゴールド・シーダイバー</t>
  </si>
  <si>
    <t>スキルラボ01</t>
  </si>
  <si>
    <t>スキルラボ02</t>
  </si>
  <si>
    <t>スキルラボ03</t>
  </si>
  <si>
    <t>スキルラボ04</t>
  </si>
  <si>
    <t>ハイスキルラボ01</t>
  </si>
  <si>
    <t>サンタラボ（青）</t>
  </si>
  <si>
    <t>サンタラボ（赤）</t>
  </si>
  <si>
    <t>スキルラボ05</t>
  </si>
  <si>
    <t>ハイスキルラボ02</t>
  </si>
  <si>
    <t>スキルラボ06</t>
  </si>
  <si>
    <t>ハイスキルラボ03</t>
  </si>
  <si>
    <t>スキルラボ07</t>
  </si>
  <si>
    <t>ハイスキルラボ04</t>
  </si>
  <si>
    <t>スキルラボ08</t>
  </si>
  <si>
    <t>ハイスキルラボ05</t>
  </si>
  <si>
    <t>ハイスキルラボ06</t>
  </si>
  <si>
    <t>スキルラボ09</t>
  </si>
  <si>
    <t>ハイスキルラボ07</t>
  </si>
  <si>
    <t>スキルラボ10</t>
  </si>
  <si>
    <t>客
単</t>
    <rPh sb="0" eb="1">
      <t>キャク</t>
    </rPh>
    <rPh sb="2" eb="3">
      <t>タン</t>
    </rPh>
    <phoneticPr fontId="15"/>
  </si>
  <si>
    <t>来島者
増加</t>
    <rPh sb="0" eb="2">
      <t>ライトウ</t>
    </rPh>
    <rPh sb="2" eb="3">
      <t>シャ</t>
    </rPh>
    <rPh sb="4" eb="6">
      <t>ゾウカ</t>
    </rPh>
    <phoneticPr fontId="15"/>
  </si>
  <si>
    <t>客数/
来島者</t>
    <rPh sb="0" eb="2">
      <t>キャクスウ</t>
    </rPh>
    <rPh sb="4" eb="6">
      <t>ライトウ</t>
    </rPh>
    <rPh sb="6" eb="7">
      <t>シャ</t>
    </rPh>
    <phoneticPr fontId="15"/>
  </si>
  <si>
    <t>建設中</t>
    <rPh sb="0" eb="2">
      <t>ケンセツ</t>
    </rPh>
    <rPh sb="2" eb="3">
      <t>チュウ</t>
    </rPh>
    <phoneticPr fontId="15"/>
  </si>
  <si>
    <t>人(現LV)</t>
    <rPh sb="0" eb="1">
      <t>ヒト</t>
    </rPh>
    <rPh sb="2" eb="3">
      <t>ゲン</t>
    </rPh>
    <phoneticPr fontId="15"/>
  </si>
  <si>
    <t>生産(現LV)</t>
    <rPh sb="0" eb="2">
      <t>セイサン</t>
    </rPh>
    <rPh sb="3" eb="4">
      <t>ゲン</t>
    </rPh>
    <phoneticPr fontId="15"/>
  </si>
  <si>
    <t>次LV建設</t>
    <rPh sb="0" eb="1">
      <t>ツギ</t>
    </rPh>
    <rPh sb="3" eb="5">
      <t>ケンセツ</t>
    </rPh>
    <phoneticPr fontId="15"/>
  </si>
  <si>
    <t>その他基本値</t>
    <rPh sb="2" eb="3">
      <t>タ</t>
    </rPh>
    <rPh sb="3" eb="5">
      <t>キホン</t>
    </rPh>
    <rPh sb="5" eb="6">
      <t>チ</t>
    </rPh>
    <phoneticPr fontId="15"/>
  </si>
  <si>
    <t>建設
時間</t>
    <rPh sb="0" eb="2">
      <t>ケンセツ</t>
    </rPh>
    <rPh sb="3" eb="5">
      <t>ジカン</t>
    </rPh>
    <phoneticPr fontId="15"/>
  </si>
  <si>
    <t>建設
カネー</t>
    <rPh sb="0" eb="2">
      <t>ケンセツ</t>
    </rPh>
    <phoneticPr fontId="15"/>
  </si>
  <si>
    <t>損失回復
日数</t>
    <rPh sb="0" eb="2">
      <t>ソンシツ</t>
    </rPh>
    <rPh sb="2" eb="4">
      <t>カイフク</t>
    </rPh>
    <rPh sb="5" eb="7">
      <t>ニッスウ</t>
    </rPh>
    <phoneticPr fontId="15"/>
  </si>
  <si>
    <t>必要
時給</t>
    <rPh sb="0" eb="2">
      <t>ヒツヨウ</t>
    </rPh>
    <rPh sb="3" eb="5">
      <t>ジキュウ</t>
    </rPh>
    <phoneticPr fontId="15"/>
  </si>
  <si>
    <t>次LV生産UP値</t>
    <rPh sb="0" eb="1">
      <t>ツギ</t>
    </rPh>
    <rPh sb="3" eb="5">
      <t>セイサン</t>
    </rPh>
    <rPh sb="7" eb="8">
      <t>チ</t>
    </rPh>
    <phoneticPr fontId="15"/>
  </si>
  <si>
    <t>LV5まで生産余力値</t>
    <rPh sb="5" eb="7">
      <t>セイサン</t>
    </rPh>
    <rPh sb="7" eb="9">
      <t>ヨリョク</t>
    </rPh>
    <rPh sb="9" eb="10">
      <t>チ</t>
    </rPh>
    <phoneticPr fontId="15"/>
  </si>
  <si>
    <t>生産MAX
UP</t>
    <rPh sb="0" eb="2">
      <t>セイサン</t>
    </rPh>
    <phoneticPr fontId="15"/>
  </si>
  <si>
    <t>来島者
増加UP</t>
    <rPh sb="0" eb="2">
      <t>ライトウ</t>
    </rPh>
    <rPh sb="2" eb="3">
      <t>シャ</t>
    </rPh>
    <rPh sb="4" eb="6">
      <t>ゾウカ</t>
    </rPh>
    <phoneticPr fontId="15"/>
  </si>
  <si>
    <t>生産1h
UP</t>
    <rPh sb="0" eb="2">
      <t>セイサン</t>
    </rPh>
    <phoneticPr fontId="15"/>
  </si>
  <si>
    <t>生産1h
余力</t>
    <rPh sb="0" eb="2">
      <t>セイサン</t>
    </rPh>
    <rPh sb="5" eb="7">
      <t>ヨリョク</t>
    </rPh>
    <phoneticPr fontId="15"/>
  </si>
  <si>
    <t>生産MAX
余力</t>
    <rPh sb="0" eb="2">
      <t>セイサン</t>
    </rPh>
    <rPh sb="6" eb="8">
      <t>ヨリョク</t>
    </rPh>
    <phoneticPr fontId="15"/>
  </si>
  <si>
    <t>来島者
増加余力</t>
    <rPh sb="0" eb="2">
      <t>ライトウ</t>
    </rPh>
    <rPh sb="2" eb="3">
      <t>シャ</t>
    </rPh>
    <rPh sb="4" eb="6">
      <t>ゾウカ</t>
    </rPh>
    <rPh sb="6" eb="8">
      <t>ヨリョク</t>
    </rPh>
    <phoneticPr fontId="15"/>
  </si>
  <si>
    <t>最終行</t>
    <rPh sb="0" eb="3">
      <t>サイシュウギョウ</t>
    </rPh>
    <phoneticPr fontId="15"/>
  </si>
  <si>
    <t>補正後来島者数(建設中含まない)</t>
    <rPh sb="0" eb="2">
      <t>ホセイ</t>
    </rPh>
    <rPh sb="2" eb="3">
      <t>ゴ</t>
    </rPh>
    <rPh sb="3" eb="5">
      <t>ライトウ</t>
    </rPh>
    <rPh sb="5" eb="6">
      <t>シャ</t>
    </rPh>
    <rPh sb="6" eb="7">
      <t>スウ</t>
    </rPh>
    <rPh sb="8" eb="11">
      <t>ケンセツチュウ</t>
    </rPh>
    <rPh sb="11" eb="12">
      <t>フク</t>
    </rPh>
    <phoneticPr fontId="15"/>
  </si>
  <si>
    <t>客数合計(建設中含まない)</t>
    <rPh sb="0" eb="2">
      <t>キャクスウ</t>
    </rPh>
    <rPh sb="2" eb="4">
      <t>ゴウケイ</t>
    </rPh>
    <rPh sb="5" eb="7">
      <t>ケンセツ</t>
    </rPh>
    <rPh sb="7" eb="8">
      <t>チュウ</t>
    </rPh>
    <rPh sb="8" eb="9">
      <t>フク</t>
    </rPh>
    <phoneticPr fontId="15"/>
  </si>
  <si>
    <t>110%になる来島者</t>
    <rPh sb="7" eb="9">
      <t>ライトウ</t>
    </rPh>
    <rPh sb="9" eb="10">
      <t>シャ</t>
    </rPh>
    <phoneticPr fontId="15"/>
  </si>
  <si>
    <t>1h生産</t>
    <rPh sb="2" eb="4">
      <t>セイサン</t>
    </rPh>
    <phoneticPr fontId="15"/>
  </si>
  <si>
    <t>最大生産</t>
    <rPh sb="0" eb="2">
      <t>サイダイ</t>
    </rPh>
    <rPh sb="2" eb="4">
      <t>セイサン</t>
    </rPh>
    <phoneticPr fontId="15"/>
  </si>
  <si>
    <t>1h経験値</t>
    <rPh sb="2" eb="5">
      <t>ケイケンチ</t>
    </rPh>
    <phoneticPr fontId="15"/>
  </si>
  <si>
    <t>最大経験値</t>
    <rPh sb="0" eb="2">
      <t>サイダイ</t>
    </rPh>
    <rPh sb="2" eb="5">
      <t>ケイケンチ</t>
    </rPh>
    <phoneticPr fontId="15"/>
  </si>
  <si>
    <t>来島者数</t>
    <rPh sb="0" eb="2">
      <t>ライトウ</t>
    </rPh>
    <rPh sb="2" eb="3">
      <t>シャ</t>
    </rPh>
    <rPh sb="3" eb="4">
      <t>スウ</t>
    </rPh>
    <phoneticPr fontId="15"/>
  </si>
  <si>
    <t>集計用</t>
    <rPh sb="0" eb="3">
      <t>シュウケイヨウ</t>
    </rPh>
    <phoneticPr fontId="15"/>
  </si>
  <si>
    <t>乗算数</t>
    <rPh sb="0" eb="2">
      <t>ジョウザン</t>
    </rPh>
    <rPh sb="2" eb="3">
      <t>スウ</t>
    </rPh>
    <phoneticPr fontId="15"/>
  </si>
  <si>
    <t>割合</t>
    <rPh sb="0" eb="2">
      <t>ワリアイ</t>
    </rPh>
    <phoneticPr fontId="15"/>
  </si>
  <si>
    <t>客数合計(建設中含む)(客数右)</t>
    <rPh sb="0" eb="2">
      <t>キャクスウ</t>
    </rPh>
    <rPh sb="2" eb="4">
      <t>ゴウケイ</t>
    </rPh>
    <rPh sb="5" eb="7">
      <t>ケンセツ</t>
    </rPh>
    <rPh sb="7" eb="8">
      <t>チュウ</t>
    </rPh>
    <rPh sb="8" eb="9">
      <t>フク</t>
    </rPh>
    <rPh sb="12" eb="14">
      <t>キャクスウ</t>
    </rPh>
    <rPh sb="14" eb="15">
      <t>ミギ</t>
    </rPh>
    <phoneticPr fontId="15"/>
  </si>
  <si>
    <t>下段来島者数</t>
    <rPh sb="0" eb="2">
      <t>ゲダン</t>
    </rPh>
    <rPh sb="2" eb="4">
      <t>ライトウ</t>
    </rPh>
    <rPh sb="4" eb="5">
      <t>シャ</t>
    </rPh>
    <rPh sb="5" eb="6">
      <t>スウ</t>
    </rPh>
    <phoneticPr fontId="15"/>
  </si>
  <si>
    <t>客数左側</t>
    <rPh sb="0" eb="2">
      <t>キャクスウ</t>
    </rPh>
    <rPh sb="2" eb="4">
      <t>ヒダリガワ</t>
    </rPh>
    <phoneticPr fontId="15"/>
  </si>
  <si>
    <t>メッセージ</t>
    <phoneticPr fontId="15"/>
  </si>
  <si>
    <t>客数
建設中あり</t>
    <rPh sb="0" eb="2">
      <t>キャクスウ</t>
    </rPh>
    <rPh sb="3" eb="6">
      <t>ケンセツチュウ</t>
    </rPh>
    <phoneticPr fontId="15"/>
  </si>
  <si>
    <t>○</t>
    <phoneticPr fontId="15"/>
  </si>
  <si>
    <t>ゴールドタワーホテル</t>
  </si>
  <si>
    <t>ゴールドタワーホテル</t>
    <phoneticPr fontId="15"/>
  </si>
  <si>
    <t>crown</t>
    <phoneticPr fontId="15"/>
  </si>
  <si>
    <t>goldcrown</t>
  </si>
  <si>
    <t>goldcrown</t>
    <phoneticPr fontId="15"/>
  </si>
  <si>
    <t>-</t>
    <phoneticPr fontId="15"/>
  </si>
  <si>
    <t>ゴールド・オマール</t>
  </si>
  <si>
    <t>ゴールド・オマール</t>
    <phoneticPr fontId="15"/>
  </si>
  <si>
    <t>omar</t>
    <phoneticPr fontId="15"/>
  </si>
  <si>
    <t>goldomar</t>
  </si>
  <si>
    <t>goldomar</t>
    <phoneticPr fontId="15"/>
  </si>
  <si>
    <t>ゴールドミュージック</t>
  </si>
  <si>
    <t>ゴールドミュージック</t>
    <phoneticPr fontId="15"/>
  </si>
  <si>
    <t>ukulele</t>
    <phoneticPr fontId="15"/>
  </si>
  <si>
    <t>goldmusic</t>
  </si>
  <si>
    <t>goldmusic</t>
    <phoneticPr fontId="15"/>
  </si>
  <si>
    <t>ゴールドTOKYOシネマズ</t>
  </si>
  <si>
    <t>ゴールドTOKYOシネマズ</t>
    <phoneticPr fontId="15"/>
  </si>
  <si>
    <t>cinema</t>
    <phoneticPr fontId="15"/>
  </si>
  <si>
    <t>goldcinema</t>
  </si>
  <si>
    <t>goldcinema</t>
    <phoneticPr fontId="15"/>
  </si>
  <si>
    <t>限定</t>
    <phoneticPr fontId="15"/>
  </si>
  <si>
    <t>Windows7、Microsoft Excel 2010でのみ動作確認をしています。</t>
    <rPh sb="32" eb="34">
      <t>ドウサ</t>
    </rPh>
    <rPh sb="34" eb="36">
      <t>カクニン</t>
    </rPh>
    <phoneticPr fontId="15"/>
  </si>
  <si>
    <t>施設の並べ替えや一部条件の施設のみ表示したい場合はフィルタ機能を使います。</t>
    <rPh sb="0" eb="2">
      <t>シセツ</t>
    </rPh>
    <rPh sb="3" eb="4">
      <t>ナラ</t>
    </rPh>
    <rPh sb="5" eb="6">
      <t>カ</t>
    </rPh>
    <rPh sb="8" eb="10">
      <t>イチブ</t>
    </rPh>
    <rPh sb="10" eb="12">
      <t>ジョウケン</t>
    </rPh>
    <rPh sb="13" eb="15">
      <t>シセツ</t>
    </rPh>
    <rPh sb="17" eb="19">
      <t>ヒョウジ</t>
    </rPh>
    <rPh sb="22" eb="24">
      <t>バアイ</t>
    </rPh>
    <rPh sb="29" eb="31">
      <t>キノウ</t>
    </rPh>
    <rPh sb="32" eb="33">
      <t>ツカ</t>
    </rPh>
    <phoneticPr fontId="15"/>
  </si>
  <si>
    <t>フィルタ用ページ作成ボタンを押すと、新しくMyリゾート(2)というシートができます。</t>
    <rPh sb="4" eb="5">
      <t>ヨウ</t>
    </rPh>
    <rPh sb="8" eb="10">
      <t>サクセイ</t>
    </rPh>
    <rPh sb="14" eb="15">
      <t>オ</t>
    </rPh>
    <rPh sb="18" eb="19">
      <t>アタラ</t>
    </rPh>
    <phoneticPr fontId="15"/>
  </si>
  <si>
    <t>このページで自由にソートなどが行えるようになります。</t>
    <rPh sb="6" eb="8">
      <t>ジユウ</t>
    </rPh>
    <rPh sb="15" eb="16">
      <t>オコナ</t>
    </rPh>
    <phoneticPr fontId="15"/>
  </si>
  <si>
    <t>建設中のものがあった場合は、自動的にグレードアップが完了したものとみなして表を作っています。</t>
    <rPh sb="0" eb="2">
      <t>ケンセツ</t>
    </rPh>
    <rPh sb="2" eb="3">
      <t>チュウ</t>
    </rPh>
    <rPh sb="10" eb="12">
      <t>バアイ</t>
    </rPh>
    <rPh sb="14" eb="17">
      <t>ジドウテキ</t>
    </rPh>
    <rPh sb="26" eb="28">
      <t>カンリョウ</t>
    </rPh>
    <rPh sb="37" eb="38">
      <t>ヒョウ</t>
    </rPh>
    <rPh sb="39" eb="40">
      <t>ツク</t>
    </rPh>
    <phoneticPr fontId="15"/>
  </si>
  <si>
    <t>※Myリゾート(2)というシートができるので、同じ名前のシートは作らないようにお願いします。</t>
    <rPh sb="23" eb="24">
      <t>オナ</t>
    </rPh>
    <rPh sb="25" eb="27">
      <t>ナマエ</t>
    </rPh>
    <rPh sb="32" eb="33">
      <t>ツク</t>
    </rPh>
    <rPh sb="40" eb="41">
      <t>ネガ</t>
    </rPh>
    <phoneticPr fontId="15"/>
  </si>
  <si>
    <t>上手く動作しなくなることがあります。</t>
    <rPh sb="0" eb="2">
      <t>ウマ</t>
    </rPh>
    <rPh sb="3" eb="5">
      <t>ドウサ</t>
    </rPh>
    <phoneticPr fontId="15"/>
  </si>
  <si>
    <t>フィルタ機能を使えば、次にどれをアップグレードしたらいいかや、どれを倉庫に入れるかなどが</t>
    <rPh sb="4" eb="6">
      <t>キノウ</t>
    </rPh>
    <rPh sb="7" eb="8">
      <t>ツカ</t>
    </rPh>
    <rPh sb="11" eb="12">
      <t>ツギ</t>
    </rPh>
    <rPh sb="34" eb="36">
      <t>ソウコ</t>
    </rPh>
    <rPh sb="37" eb="38">
      <t>イ</t>
    </rPh>
    <phoneticPr fontId="15"/>
  </si>
  <si>
    <t>分かりやすくなります。</t>
    <rPh sb="0" eb="1">
      <t>ワ</t>
    </rPh>
    <phoneticPr fontId="15"/>
  </si>
  <si>
    <t>Myリゾートシートをコピーすることで、複数作ることもできます。</t>
    <rPh sb="19" eb="21">
      <t>フクスウ</t>
    </rPh>
    <rPh sb="21" eb="22">
      <t>ツク</t>
    </rPh>
    <phoneticPr fontId="15"/>
  </si>
  <si>
    <t>現在のリゾートと理想のリゾートを分けて管理するようなことができます。</t>
    <rPh sb="0" eb="2">
      <t>ゲンザイ</t>
    </rPh>
    <rPh sb="8" eb="10">
      <t>リソウ</t>
    </rPh>
    <rPh sb="16" eb="17">
      <t>ワ</t>
    </rPh>
    <rPh sb="19" eb="21">
      <t>カンリ</t>
    </rPh>
    <phoneticPr fontId="15"/>
  </si>
  <si>
    <t>Myリゾートシートを単純にコピーして増やすだけでできます。</t>
    <rPh sb="10" eb="12">
      <t>タンジュン</t>
    </rPh>
    <rPh sb="18" eb="19">
      <t>フ</t>
    </rPh>
    <phoneticPr fontId="15"/>
  </si>
  <si>
    <t>ただし、シート名はMyリゾート(2)以外の名前にしてください。</t>
    <rPh sb="7" eb="8">
      <t>メイ</t>
    </rPh>
    <rPh sb="18" eb="20">
      <t>イガイ</t>
    </rPh>
    <rPh sb="21" eb="23">
      <t>ナマエ</t>
    </rPh>
    <phoneticPr fontId="15"/>
  </si>
  <si>
    <t>Myリゾートのデータを計算するためのデータは「高速化データ」という隠しシートに全て入っています。</t>
    <rPh sb="11" eb="13">
      <t>ケイサン</t>
    </rPh>
    <rPh sb="23" eb="26">
      <t>コウソクカ</t>
    </rPh>
    <rPh sb="33" eb="34">
      <t>カク</t>
    </rPh>
    <rPh sb="39" eb="40">
      <t>スベ</t>
    </rPh>
    <rPh sb="41" eb="42">
      <t>ハイ</t>
    </rPh>
    <phoneticPr fontId="15"/>
  </si>
  <si>
    <t>これは「元データ」シートから必要な情報を抜き出して作ったデータ群です。</t>
    <rPh sb="4" eb="5">
      <t>モト</t>
    </rPh>
    <rPh sb="14" eb="16">
      <t>ヒツヨウ</t>
    </rPh>
    <rPh sb="17" eb="19">
      <t>ジョウホウ</t>
    </rPh>
    <rPh sb="20" eb="21">
      <t>ヌ</t>
    </rPh>
    <rPh sb="22" eb="23">
      <t>ダ</t>
    </rPh>
    <rPh sb="25" eb="26">
      <t>ツク</t>
    </rPh>
    <rPh sb="31" eb="32">
      <t>グン</t>
    </rPh>
    <phoneticPr fontId="15"/>
  </si>
  <si>
    <t>一部予測値も含まれているので、理解した上でご利用ください。</t>
    <rPh sb="0" eb="2">
      <t>イチブ</t>
    </rPh>
    <rPh sb="2" eb="5">
      <t>ヨソクチ</t>
    </rPh>
    <rPh sb="6" eb="7">
      <t>フク</t>
    </rPh>
    <rPh sb="15" eb="17">
      <t>リカイ</t>
    </rPh>
    <rPh sb="19" eb="20">
      <t>ウエ</t>
    </rPh>
    <rPh sb="22" eb="24">
      <t>リヨウ</t>
    </rPh>
    <phoneticPr fontId="15"/>
  </si>
  <si>
    <t>元データが追加変更になった場合には、元データシートの「Myリゾート用」ボタンを押すと、</t>
    <rPh sb="0" eb="1">
      <t>モト</t>
    </rPh>
    <rPh sb="5" eb="7">
      <t>ツイカ</t>
    </rPh>
    <rPh sb="7" eb="9">
      <t>ヘンコウ</t>
    </rPh>
    <rPh sb="13" eb="15">
      <t>バアイ</t>
    </rPh>
    <rPh sb="18" eb="19">
      <t>モト</t>
    </rPh>
    <rPh sb="33" eb="34">
      <t>ヨウ</t>
    </rPh>
    <rPh sb="39" eb="40">
      <t>オ</t>
    </rPh>
    <phoneticPr fontId="15"/>
  </si>
  <si>
    <t>「高速化データ」シートが更新されるようになっています。</t>
    <rPh sb="1" eb="4">
      <t>コウソクカ</t>
    </rPh>
    <rPh sb="12" eb="14">
      <t>コウシン</t>
    </rPh>
    <phoneticPr fontId="15"/>
  </si>
  <si>
    <t>想定外の使い方をすると簡単にエラーが出るかもしれません。</t>
    <rPh sb="0" eb="2">
      <t>ソウテイ</t>
    </rPh>
    <rPh sb="2" eb="3">
      <t>ガイ</t>
    </rPh>
    <rPh sb="4" eb="5">
      <t>ツカ</t>
    </rPh>
    <rPh sb="6" eb="7">
      <t>カタ</t>
    </rPh>
    <rPh sb="11" eb="13">
      <t>カンタン</t>
    </rPh>
    <rPh sb="18" eb="19">
      <t>デ</t>
    </rPh>
    <phoneticPr fontId="15"/>
  </si>
  <si>
    <t>基本的には作者が作者のために作ったものなので、細かいエラー処理は</t>
    <rPh sb="0" eb="3">
      <t>キホンテキ</t>
    </rPh>
    <rPh sb="5" eb="7">
      <t>サクシャ</t>
    </rPh>
    <rPh sb="8" eb="10">
      <t>サクシャ</t>
    </rPh>
    <rPh sb="14" eb="15">
      <t>ツク</t>
    </rPh>
    <rPh sb="23" eb="24">
      <t>コマ</t>
    </rPh>
    <rPh sb="29" eb="31">
      <t>ショリ</t>
    </rPh>
    <phoneticPr fontId="15"/>
  </si>
  <si>
    <t>していません。</t>
    <phoneticPr fontId="15"/>
  </si>
  <si>
    <t>C1セルに自分の来島者補正値を入れるだけです。</t>
    <rPh sb="5" eb="7">
      <t>ジブン</t>
    </rPh>
    <rPh sb="8" eb="10">
      <t>ライトウ</t>
    </rPh>
    <rPh sb="10" eb="11">
      <t>シャ</t>
    </rPh>
    <rPh sb="11" eb="13">
      <t>ホセイ</t>
    </rPh>
    <rPh sb="13" eb="14">
      <t>チ</t>
    </rPh>
    <rPh sb="15" eb="16">
      <t>イ</t>
    </rPh>
    <phoneticPr fontId="15"/>
  </si>
  <si>
    <t>フィルタ機能を使って自分の見たいように見ることができます。</t>
    <rPh sb="4" eb="6">
      <t>キノウ</t>
    </rPh>
    <rPh sb="7" eb="8">
      <t>ツカ</t>
    </rPh>
    <rPh sb="10" eb="12">
      <t>ジブン</t>
    </rPh>
    <rPh sb="13" eb="14">
      <t>ミ</t>
    </rPh>
    <rPh sb="19" eb="20">
      <t>ミ</t>
    </rPh>
    <phoneticPr fontId="15"/>
  </si>
  <si>
    <t>赤文字は推定値になっています。</t>
    <rPh sb="0" eb="1">
      <t>アカ</t>
    </rPh>
    <rPh sb="1" eb="3">
      <t>モジ</t>
    </rPh>
    <rPh sb="4" eb="7">
      <t>スイテイチ</t>
    </rPh>
    <phoneticPr fontId="15"/>
  </si>
  <si>
    <t>wikiの施設全データよりも細かい内容になっていて、フィルタもできて使いやすいはずです。</t>
    <rPh sb="5" eb="7">
      <t>シセツ</t>
    </rPh>
    <rPh sb="7" eb="8">
      <t>ゼン</t>
    </rPh>
    <rPh sb="14" eb="15">
      <t>コマ</t>
    </rPh>
    <rPh sb="17" eb="19">
      <t>ナイヨウ</t>
    </rPh>
    <rPh sb="34" eb="35">
      <t>ツカ</t>
    </rPh>
    <phoneticPr fontId="15"/>
  </si>
  <si>
    <t>ここは施設が追加になったり、データが明らかになった場合に追加するためのシートです。</t>
    <rPh sb="3" eb="5">
      <t>シセツ</t>
    </rPh>
    <rPh sb="6" eb="8">
      <t>ツイカ</t>
    </rPh>
    <rPh sb="18" eb="19">
      <t>アキ</t>
    </rPh>
    <rPh sb="25" eb="27">
      <t>バアイ</t>
    </rPh>
    <rPh sb="28" eb="30">
      <t>ツイカ</t>
    </rPh>
    <phoneticPr fontId="15"/>
  </si>
  <si>
    <t>これが全てのデータの元になっています。</t>
    <rPh sb="3" eb="4">
      <t>スベ</t>
    </rPh>
    <rPh sb="10" eb="11">
      <t>モト</t>
    </rPh>
    <phoneticPr fontId="15"/>
  </si>
  <si>
    <t>定期的にこのシートはバージョンアップする予定ですが、それを待てない場合は、</t>
    <rPh sb="0" eb="3">
      <t>テイキテキ</t>
    </rPh>
    <rPh sb="20" eb="22">
      <t>ヨテイ</t>
    </rPh>
    <rPh sb="29" eb="30">
      <t>マ</t>
    </rPh>
    <rPh sb="33" eb="35">
      <t>バアイ</t>
    </rPh>
    <phoneticPr fontId="15"/>
  </si>
  <si>
    <t>ご自身で更新することもできます。</t>
    <rPh sb="1" eb="3">
      <t>ジシン</t>
    </rPh>
    <rPh sb="4" eb="6">
      <t>コウシン</t>
    </rPh>
    <phoneticPr fontId="15"/>
  </si>
  <si>
    <t>またwikiを編集してくれる方は、このシートを使って編集してくれると大変助かります。</t>
    <rPh sb="7" eb="9">
      <t>ヘンシュウ</t>
    </rPh>
    <rPh sb="14" eb="15">
      <t>カタ</t>
    </rPh>
    <rPh sb="23" eb="24">
      <t>ツカ</t>
    </rPh>
    <rPh sb="26" eb="28">
      <t>ヘンシュウ</t>
    </rPh>
    <rPh sb="34" eb="36">
      <t>タイヘン</t>
    </rPh>
    <rPh sb="36" eb="37">
      <t>タス</t>
    </rPh>
    <phoneticPr fontId="15"/>
  </si>
  <si>
    <t>新しい施設を追加するときは、似たような施設の一つ下に空行を追加して、「予測値入力」</t>
    <rPh sb="0" eb="1">
      <t>アタラ</t>
    </rPh>
    <rPh sb="3" eb="5">
      <t>シセツ</t>
    </rPh>
    <rPh sb="6" eb="8">
      <t>ツイカ</t>
    </rPh>
    <rPh sb="14" eb="15">
      <t>ニ</t>
    </rPh>
    <rPh sb="19" eb="21">
      <t>シセツ</t>
    </rPh>
    <rPh sb="22" eb="23">
      <t>ヒト</t>
    </rPh>
    <rPh sb="24" eb="25">
      <t>シタ</t>
    </rPh>
    <rPh sb="26" eb="28">
      <t>クウギョウ</t>
    </rPh>
    <rPh sb="29" eb="31">
      <t>ツイカ</t>
    </rPh>
    <rPh sb="35" eb="38">
      <t>ヨソクチ</t>
    </rPh>
    <rPh sb="38" eb="40">
      <t>ニュウリョク</t>
    </rPh>
    <phoneticPr fontId="15"/>
  </si>
  <si>
    <t>ボタンを押します。</t>
    <rPh sb="4" eb="5">
      <t>オ</t>
    </rPh>
    <phoneticPr fontId="15"/>
  </si>
  <si>
    <t>すると、すぐ上の情報がコピーされて書き込める基礎ができます。</t>
    <rPh sb="6" eb="7">
      <t>ウエ</t>
    </rPh>
    <rPh sb="8" eb="10">
      <t>ジョウホウ</t>
    </rPh>
    <rPh sb="17" eb="18">
      <t>カ</t>
    </rPh>
    <rPh sb="19" eb="20">
      <t>コ</t>
    </rPh>
    <rPh sb="22" eb="24">
      <t>キソ</t>
    </rPh>
    <phoneticPr fontId="15"/>
  </si>
  <si>
    <t>その後に、生産ベース値と生産時間を最低限記入して、再度「予測値入力」ボタンを押すと、</t>
    <rPh sb="2" eb="3">
      <t>アト</t>
    </rPh>
    <rPh sb="5" eb="7">
      <t>セイサン</t>
    </rPh>
    <rPh sb="10" eb="11">
      <t>チ</t>
    </rPh>
    <rPh sb="12" eb="14">
      <t>セイサン</t>
    </rPh>
    <rPh sb="14" eb="16">
      <t>ジカン</t>
    </rPh>
    <rPh sb="17" eb="20">
      <t>サイテイゲン</t>
    </rPh>
    <rPh sb="20" eb="22">
      <t>キニュウ</t>
    </rPh>
    <rPh sb="25" eb="27">
      <t>サイド</t>
    </rPh>
    <rPh sb="28" eb="31">
      <t>ヨソクチ</t>
    </rPh>
    <rPh sb="31" eb="33">
      <t>ニュウリョク</t>
    </rPh>
    <rPh sb="38" eb="39">
      <t>オ</t>
    </rPh>
    <phoneticPr fontId="15"/>
  </si>
  <si>
    <t>レベル1～5の予測値を自動で計算してくれます。</t>
    <rPh sb="7" eb="10">
      <t>ヨソクチ</t>
    </rPh>
    <rPh sb="11" eb="13">
      <t>ジドウ</t>
    </rPh>
    <rPh sb="14" eb="16">
      <t>ケイサン</t>
    </rPh>
    <phoneticPr fontId="15"/>
  </si>
  <si>
    <t>その他必要に応じて分かるところを記載します。</t>
    <rPh sb="2" eb="3">
      <t>タ</t>
    </rPh>
    <rPh sb="3" eb="5">
      <t>ヒツヨウ</t>
    </rPh>
    <rPh sb="6" eb="7">
      <t>オウ</t>
    </rPh>
    <rPh sb="9" eb="10">
      <t>ワ</t>
    </rPh>
    <rPh sb="16" eb="18">
      <t>キサイ</t>
    </rPh>
    <phoneticPr fontId="15"/>
  </si>
  <si>
    <t>「wikiデータ生成」ボタンでは、ホテル・カジノなどの各カテゴリ用のページと、景品、アバターなどの</t>
    <rPh sb="8" eb="10">
      <t>セイセイ</t>
    </rPh>
    <rPh sb="27" eb="28">
      <t>カク</t>
    </rPh>
    <rPh sb="32" eb="33">
      <t>ヨウ</t>
    </rPh>
    <rPh sb="39" eb="41">
      <t>ケイヒン</t>
    </rPh>
    <phoneticPr fontId="15"/>
  </si>
  <si>
    <t>ページが作成できます。</t>
    <rPh sb="4" eb="6">
      <t>サクセイ</t>
    </rPh>
    <phoneticPr fontId="15"/>
  </si>
  <si>
    <t>wikiデータというフォルダが新しくできるので、その下に必要なものがテキストデータで出力されます。</t>
    <rPh sb="15" eb="16">
      <t>アタラ</t>
    </rPh>
    <rPh sb="26" eb="27">
      <t>シタ</t>
    </rPh>
    <rPh sb="28" eb="30">
      <t>ヒツヨウ</t>
    </rPh>
    <rPh sb="42" eb="44">
      <t>シュツリョク</t>
    </rPh>
    <phoneticPr fontId="15"/>
  </si>
  <si>
    <t>「wiki個別生成」ボタンでは、A列にチェックした施設のデータベース用の出力をします。</t>
    <rPh sb="5" eb="7">
      <t>コベツ</t>
    </rPh>
    <rPh sb="7" eb="9">
      <t>セイセイ</t>
    </rPh>
    <rPh sb="17" eb="18">
      <t>レツ</t>
    </rPh>
    <rPh sb="25" eb="27">
      <t>シセツ</t>
    </rPh>
    <rPh sb="34" eb="35">
      <t>ヨウ</t>
    </rPh>
    <rPh sb="36" eb="38">
      <t>シュツリョク</t>
    </rPh>
    <phoneticPr fontId="15"/>
  </si>
  <si>
    <t>ver.1602201</t>
    <phoneticPr fontId="15"/>
  </si>
  <si>
    <t>　はじめに</t>
    <phoneticPr fontId="15"/>
  </si>
  <si>
    <t>東京カジノプロジェクト
リゾート計算ツール</t>
    <rPh sb="0" eb="2">
      <t>トウキョウ</t>
    </rPh>
    <rPh sb="16" eb="18">
      <t>ケイサン</t>
    </rPh>
    <phoneticPr fontId="15"/>
  </si>
  <si>
    <t>　動作環境</t>
    <rPh sb="1" eb="3">
      <t>ドウサ</t>
    </rPh>
    <rPh sb="3" eb="5">
      <t>カンキョウ</t>
    </rPh>
    <phoneticPr fontId="15"/>
  </si>
  <si>
    <t>　その他</t>
    <rPh sb="3" eb="4">
      <t>タ</t>
    </rPh>
    <phoneticPr fontId="15"/>
  </si>
  <si>
    <t>　「Myリゾート」の使い方</t>
    <rPh sb="10" eb="11">
      <t>ツカ</t>
    </rPh>
    <rPh sb="12" eb="13">
      <t>カタ</t>
    </rPh>
    <phoneticPr fontId="15"/>
  </si>
  <si>
    <t>　入力の仕方</t>
    <rPh sb="1" eb="3">
      <t>ニュウリョク</t>
    </rPh>
    <rPh sb="4" eb="6">
      <t>シカタ</t>
    </rPh>
    <phoneticPr fontId="15"/>
  </si>
  <si>
    <t>　フィルタ機能</t>
    <rPh sb="5" eb="7">
      <t>キノウ</t>
    </rPh>
    <phoneticPr fontId="15"/>
  </si>
  <si>
    <t>　Myリゾートを複数作る</t>
    <rPh sb="8" eb="10">
      <t>フクスウ</t>
    </rPh>
    <rPh sb="10" eb="11">
      <t>ツク</t>
    </rPh>
    <phoneticPr fontId="15"/>
  </si>
  <si>
    <t>　その他注意事項</t>
    <rPh sb="3" eb="4">
      <t>タ</t>
    </rPh>
    <rPh sb="4" eb="6">
      <t>チュウイ</t>
    </rPh>
    <rPh sb="6" eb="8">
      <t>ジコウ</t>
    </rPh>
    <phoneticPr fontId="15"/>
  </si>
  <si>
    <t>　「全一覧」の使い方</t>
    <rPh sb="2" eb="3">
      <t>ゼン</t>
    </rPh>
    <rPh sb="3" eb="5">
      <t>イチラン</t>
    </rPh>
    <rPh sb="7" eb="8">
      <t>ツカ</t>
    </rPh>
    <rPh sb="9" eb="10">
      <t>カタ</t>
    </rPh>
    <phoneticPr fontId="15"/>
  </si>
  <si>
    <t>　「元データ」の使い方</t>
    <rPh sb="2" eb="3">
      <t>モト</t>
    </rPh>
    <rPh sb="8" eb="9">
      <t>ツカ</t>
    </rPh>
    <rPh sb="10" eb="11">
      <t>カタ</t>
    </rPh>
    <phoneticPr fontId="15"/>
  </si>
  <si>
    <t>このツールは「東京カジノプロジェクト」のリゾート管理ツールです。</t>
    <rPh sb="7" eb="9">
      <t>トウキョウ</t>
    </rPh>
    <rPh sb="24" eb="26">
      <t>カンリ</t>
    </rPh>
    <phoneticPr fontId="15"/>
  </si>
  <si>
    <t>・自分のリゾートの生産カネーなどが計算できる(「Myリゾート」シート)</t>
    <rPh sb="1" eb="3">
      <t>ジブン</t>
    </rPh>
    <rPh sb="9" eb="11">
      <t>セイサン</t>
    </rPh>
    <rPh sb="17" eb="19">
      <t>ケイサン</t>
    </rPh>
    <phoneticPr fontId="15"/>
  </si>
  <si>
    <t>・全施設の詳細データ一覧を見ることができる(「全一覧」シート)</t>
    <rPh sb="1" eb="2">
      <t>ゼン</t>
    </rPh>
    <rPh sb="2" eb="4">
      <t>シセツ</t>
    </rPh>
    <rPh sb="5" eb="7">
      <t>ショウサイ</t>
    </rPh>
    <rPh sb="10" eb="12">
      <t>イチラン</t>
    </rPh>
    <rPh sb="13" eb="14">
      <t>ミ</t>
    </rPh>
    <rPh sb="23" eb="24">
      <t>ゼン</t>
    </rPh>
    <rPh sb="24" eb="26">
      <t>イチラン</t>
    </rPh>
    <phoneticPr fontId="15"/>
  </si>
  <si>
    <t>・wiki編集に必要なデータをwiki形式で出力してくれる(「元データ」シートなど)</t>
    <rPh sb="5" eb="7">
      <t>ヘンシュウ</t>
    </rPh>
    <rPh sb="8" eb="10">
      <t>ヒツヨウ</t>
    </rPh>
    <rPh sb="19" eb="21">
      <t>ケイシキ</t>
    </rPh>
    <rPh sb="22" eb="24">
      <t>シュツリョク</t>
    </rPh>
    <rPh sb="31" eb="32">
      <t>モト</t>
    </rPh>
    <phoneticPr fontId="15"/>
  </si>
  <si>
    <t>主に次のような機能があります。</t>
    <rPh sb="0" eb="1">
      <t>オモ</t>
    </rPh>
    <rPh sb="2" eb="3">
      <t>ツギ</t>
    </rPh>
    <rPh sb="7" eb="9">
      <t>キノウ</t>
    </rPh>
    <phoneticPr fontId="15"/>
  </si>
  <si>
    <t>※Myリゾートのみであれば、マクロを利用しなくてもよい方法もあります。</t>
    <rPh sb="18" eb="20">
      <t>リヨウ</t>
    </rPh>
    <rPh sb="27" eb="29">
      <t>ホウホウ</t>
    </rPh>
    <phoneticPr fontId="15"/>
  </si>
  <si>
    <t>画面を開くのに時間が掛かる場合があります。</t>
    <rPh sb="0" eb="2">
      <t>ガメン</t>
    </rPh>
    <rPh sb="3" eb="4">
      <t>ヒラ</t>
    </rPh>
    <rPh sb="7" eb="9">
      <t>ジカン</t>
    </rPh>
    <rPh sb="10" eb="11">
      <t>カ</t>
    </rPh>
    <rPh sb="13" eb="15">
      <t>バアイ</t>
    </rPh>
    <phoneticPr fontId="15"/>
  </si>
  <si>
    <t>※Myリゾートには関数が多く埋め込まれているため、PCの性能によっては</t>
    <rPh sb="9" eb="11">
      <t>カンスウ</t>
    </rPh>
    <rPh sb="12" eb="13">
      <t>オオ</t>
    </rPh>
    <rPh sb="14" eb="15">
      <t>ウ</t>
    </rPh>
    <rPh sb="16" eb="17">
      <t>コ</t>
    </rPh>
    <rPh sb="28" eb="30">
      <t>セイノウ</t>
    </rPh>
    <phoneticPr fontId="15"/>
  </si>
  <si>
    <t>基本的にはマクロを有効にしてご利用ください。</t>
    <rPh sb="0" eb="3">
      <t>キホンテキ</t>
    </rPh>
    <rPh sb="9" eb="11">
      <t>ユウコウ</t>
    </rPh>
    <rPh sb="15" eb="17">
      <t>リヨウ</t>
    </rPh>
    <phoneticPr fontId="15"/>
  </si>
  <si>
    <t>※スマホやタブレットではおそらく上手く動きません。</t>
    <rPh sb="16" eb="18">
      <t>ウマ</t>
    </rPh>
    <rPh sb="19" eb="20">
      <t>ウゴ</t>
    </rPh>
    <phoneticPr fontId="15"/>
  </si>
  <si>
    <t>再配布可ですが、再配布する場合はwikiページへのリンクという形でお願いします。</t>
    <rPh sb="0" eb="3">
      <t>サイハイフ</t>
    </rPh>
    <rPh sb="3" eb="4">
      <t>カ</t>
    </rPh>
    <rPh sb="8" eb="11">
      <t>サイハイフ</t>
    </rPh>
    <rPh sb="13" eb="15">
      <t>バアイ</t>
    </rPh>
    <rPh sb="31" eb="32">
      <t>カタチ</t>
    </rPh>
    <rPh sb="34" eb="35">
      <t>ネガ</t>
    </rPh>
    <phoneticPr fontId="15"/>
  </si>
  <si>
    <t>コメント、要望などありましたらwikiページへコメントをお願いします。</t>
    <rPh sb="5" eb="7">
      <t>ヨウボウ</t>
    </rPh>
    <rPh sb="29" eb="30">
      <t>ネガ</t>
    </rPh>
    <phoneticPr fontId="15"/>
  </si>
  <si>
    <t>東京カジノプロジェクト攻略まとめwiki【カジプロ攻略wiki】</t>
    <rPh sb="0" eb="2">
      <t>トウキョウ</t>
    </rPh>
    <rPh sb="11" eb="13">
      <t>コウリャク</t>
    </rPh>
    <rPh sb="25" eb="27">
      <t>コウリャク</t>
    </rPh>
    <phoneticPr fontId="15"/>
  </si>
  <si>
    <t>http://tokyocasino-project.gamerch.com/</t>
    <phoneticPr fontId="15"/>
  </si>
  <si>
    <t>シルバーフラワー・ゴルフ</t>
  </si>
  <si>
    <t>シルバーフラワー・ゴルフ</t>
    <phoneticPr fontId="15"/>
  </si>
  <si>
    <t>○</t>
    <phoneticPr fontId="15"/>
  </si>
  <si>
    <t>○</t>
    <phoneticPr fontId="15"/>
  </si>
  <si>
    <t>golf</t>
    <phoneticPr fontId="15"/>
  </si>
  <si>
    <t>silvergolf</t>
  </si>
  <si>
    <t>silvergolf</t>
    <phoneticPr fontId="15"/>
  </si>
  <si>
    <t>24時間限定景品（2／20）</t>
  </si>
  <si>
    <t>24時間限定景品（2／20）</t>
    <phoneticPr fontId="15"/>
  </si>
  <si>
    <t>【カジプロ攻略wiki】ツール置場</t>
    <rPh sb="5" eb="7">
      <t>コウリャク</t>
    </rPh>
    <rPh sb="15" eb="17">
      <t>オキバ</t>
    </rPh>
    <phoneticPr fontId="15"/>
  </si>
  <si>
    <t>http://tokyocasino-project.gamerch.com/ツール置場</t>
    <rPh sb="42" eb="44">
      <t>オキバ</t>
    </rPh>
    <phoneticPr fontId="15"/>
  </si>
  <si>
    <t>　簡単説明</t>
    <rPh sb="1" eb="3">
      <t>カンタン</t>
    </rPh>
    <rPh sb="3" eb="5">
      <t>セツメイ</t>
    </rPh>
    <phoneticPr fontId="15"/>
  </si>
  <si>
    <t>自分のリゾートの情報を入力することで、生産カネー合計などが表示できます。</t>
    <rPh sb="0" eb="2">
      <t>ジブン</t>
    </rPh>
    <rPh sb="8" eb="10">
      <t>ジョウホウ</t>
    </rPh>
    <rPh sb="11" eb="13">
      <t>ニュウリョク</t>
    </rPh>
    <rPh sb="19" eb="21">
      <t>セイサン</t>
    </rPh>
    <rPh sb="24" eb="26">
      <t>ゴウケイ</t>
    </rPh>
    <rPh sb="29" eb="31">
      <t>ヒョウジ</t>
    </rPh>
    <phoneticPr fontId="15"/>
  </si>
  <si>
    <t>入力箇所(「Myリゾート」シート)</t>
    <rPh sb="0" eb="2">
      <t>ニュウリョク</t>
    </rPh>
    <rPh sb="2" eb="4">
      <t>カショ</t>
    </rPh>
    <phoneticPr fontId="15"/>
  </si>
  <si>
    <t>・施設名：B列に「名前」を</t>
    <rPh sb="1" eb="3">
      <t>シセツ</t>
    </rPh>
    <rPh sb="3" eb="4">
      <t>メイ</t>
    </rPh>
    <rPh sb="6" eb="7">
      <t>レツ</t>
    </rPh>
    <rPh sb="9" eb="11">
      <t>ナマエ</t>
    </rPh>
    <phoneticPr fontId="15"/>
  </si>
  <si>
    <t>・各施設が建設中かどうか：J列に「○」を</t>
    <rPh sb="1" eb="2">
      <t>カク</t>
    </rPh>
    <rPh sb="2" eb="4">
      <t>シセツ</t>
    </rPh>
    <rPh sb="5" eb="7">
      <t>ケンセツ</t>
    </rPh>
    <rPh sb="7" eb="8">
      <t>チュウ</t>
    </rPh>
    <rPh sb="14" eb="15">
      <t>レツ</t>
    </rPh>
    <phoneticPr fontId="15"/>
  </si>
  <si>
    <t>・各施設のレベル：I列に「0～5」を</t>
    <rPh sb="1" eb="2">
      <t>カク</t>
    </rPh>
    <rPh sb="2" eb="4">
      <t>シセツ</t>
    </rPh>
    <rPh sb="10" eb="11">
      <t>レツ</t>
    </rPh>
    <phoneticPr fontId="15"/>
  </si>
  <si>
    <t>・来島者補正値：B1セルに「パーセント」を</t>
    <rPh sb="1" eb="3">
      <t>ライトウ</t>
    </rPh>
    <rPh sb="3" eb="4">
      <t>シャ</t>
    </rPh>
    <rPh sb="4" eb="6">
      <t>ホセイ</t>
    </rPh>
    <rPh sb="6" eb="7">
      <t>チ</t>
    </rPh>
    <phoneticPr fontId="15"/>
  </si>
  <si>
    <t>※それ以外の個所は変更しないこと。自動計算されます。</t>
    <rPh sb="3" eb="5">
      <t>イガイ</t>
    </rPh>
    <rPh sb="6" eb="8">
      <t>カショ</t>
    </rPh>
    <rPh sb="9" eb="11">
      <t>ヘンコウ</t>
    </rPh>
    <rPh sb="17" eb="19">
      <t>ジドウ</t>
    </rPh>
    <rPh sb="19" eb="21">
      <t>ケイサン</t>
    </rPh>
    <phoneticPr fontId="15"/>
  </si>
  <si>
    <t>見るポイント</t>
    <rPh sb="0" eb="1">
      <t>ミ</t>
    </rPh>
    <phoneticPr fontId="15"/>
  </si>
  <si>
    <t>・上部の赤文字：アプリ内のステータスと同じ数値。</t>
    <rPh sb="1" eb="3">
      <t>ジョウブ</t>
    </rPh>
    <rPh sb="4" eb="5">
      <t>アカ</t>
    </rPh>
    <rPh sb="5" eb="7">
      <t>モジ</t>
    </rPh>
    <rPh sb="11" eb="12">
      <t>ナイ</t>
    </rPh>
    <rPh sb="19" eb="20">
      <t>オナ</t>
    </rPh>
    <rPh sb="21" eb="23">
      <t>スウチ</t>
    </rPh>
    <phoneticPr fontId="15"/>
  </si>
  <si>
    <t>　※レベルや施設に間違いがないかの確認用</t>
    <rPh sb="6" eb="8">
      <t>シセツ</t>
    </rPh>
    <rPh sb="9" eb="11">
      <t>マチガ</t>
    </rPh>
    <rPh sb="17" eb="19">
      <t>カクニン</t>
    </rPh>
    <rPh sb="19" eb="20">
      <t>ヨウ</t>
    </rPh>
    <phoneticPr fontId="15"/>
  </si>
  <si>
    <t>・上部の青文字：総生産や来島者数など(メインとなる情報)</t>
    <rPh sb="1" eb="3">
      <t>ジョウブ</t>
    </rPh>
    <rPh sb="4" eb="5">
      <t>アオ</t>
    </rPh>
    <rPh sb="5" eb="7">
      <t>モジ</t>
    </rPh>
    <rPh sb="8" eb="11">
      <t>ソウセイサン</t>
    </rPh>
    <rPh sb="12" eb="14">
      <t>ライトウ</t>
    </rPh>
    <rPh sb="14" eb="15">
      <t>シャ</t>
    </rPh>
    <rPh sb="15" eb="16">
      <t>スウ</t>
    </rPh>
    <rPh sb="25" eb="27">
      <t>ジョウホウ</t>
    </rPh>
    <phoneticPr fontId="15"/>
  </si>
  <si>
    <t>行の追加削除</t>
    <rPh sb="0" eb="1">
      <t>ギョウ</t>
    </rPh>
    <rPh sb="2" eb="4">
      <t>ツイカ</t>
    </rPh>
    <rPh sb="4" eb="6">
      <t>サクジョ</t>
    </rPh>
    <phoneticPr fontId="15"/>
  </si>
  <si>
    <t>・不要な施設はレベルを0にするか、行削除で。</t>
    <rPh sb="1" eb="3">
      <t>フヨウ</t>
    </rPh>
    <rPh sb="4" eb="6">
      <t>シセツ</t>
    </rPh>
    <rPh sb="17" eb="20">
      <t>ギョウサクジョ</t>
    </rPh>
    <phoneticPr fontId="15"/>
  </si>
  <si>
    <t>・上部にある「行追加」ボタンで。</t>
    <rPh sb="1" eb="2">
      <t>ウエ</t>
    </rPh>
    <rPh sb="2" eb="3">
      <t>ブ</t>
    </rPh>
    <rPh sb="7" eb="8">
      <t>ギョウ</t>
    </rPh>
    <rPh sb="8" eb="10">
      <t>ツイカ</t>
    </rPh>
    <phoneticPr fontId="15"/>
  </si>
  <si>
    <t>ソート</t>
    <phoneticPr fontId="15"/>
  </si>
  <si>
    <t>・「フィルタ用ページ作成」ボタンから</t>
    <rPh sb="6" eb="7">
      <t>ヨウ</t>
    </rPh>
    <rPh sb="10" eb="12">
      <t>サクセイ</t>
    </rPh>
    <phoneticPr fontId="15"/>
  </si>
  <si>
    <t>その他</t>
    <rPh sb="2" eb="3">
      <t>ホカ</t>
    </rPh>
    <phoneticPr fontId="15"/>
  </si>
  <si>
    <t>・詳しいことは以下の説明をご確認ください。</t>
    <rPh sb="1" eb="2">
      <t>クワ</t>
    </rPh>
    <rPh sb="7" eb="9">
      <t>イカ</t>
    </rPh>
    <rPh sb="10" eb="12">
      <t>セツメイ</t>
    </rPh>
    <rPh sb="14" eb="16">
      <t>カクニン</t>
    </rPh>
    <phoneticPr fontId="15"/>
  </si>
  <si>
    <t>入力する箇所は全部で4箇所。</t>
    <rPh sb="0" eb="2">
      <t>ニュウリョク</t>
    </rPh>
    <rPh sb="4" eb="6">
      <t>カショ</t>
    </rPh>
    <rPh sb="7" eb="9">
      <t>ゼンブ</t>
    </rPh>
    <rPh sb="11" eb="13">
      <t>カショ</t>
    </rPh>
    <phoneticPr fontId="15"/>
  </si>
  <si>
    <t>それ以外の所には入力しないこと。</t>
    <rPh sb="2" eb="4">
      <t>イガイ</t>
    </rPh>
    <rPh sb="5" eb="6">
      <t>トコロ</t>
    </rPh>
    <rPh sb="8" eb="10">
      <t>ニュウリョク</t>
    </rPh>
    <phoneticPr fontId="15"/>
  </si>
  <si>
    <t>　来島者補正値</t>
    <rPh sb="1" eb="3">
      <t>ライトウ</t>
    </rPh>
    <rPh sb="3" eb="4">
      <t>シャ</t>
    </rPh>
    <rPh sb="4" eb="6">
      <t>ホセイ</t>
    </rPh>
    <rPh sb="6" eb="7">
      <t>チ</t>
    </rPh>
    <phoneticPr fontId="15"/>
  </si>
  <si>
    <t>入力箇所：B1セル</t>
    <rPh sb="0" eb="2">
      <t>ニュウリョク</t>
    </rPh>
    <rPh sb="2" eb="4">
      <t>カショ</t>
    </rPh>
    <phoneticPr fontId="15"/>
  </si>
  <si>
    <t>ここに入力した来島者補正値を反映して計算されます。</t>
    <rPh sb="3" eb="5">
      <t>ニュウリョク</t>
    </rPh>
    <rPh sb="7" eb="9">
      <t>ライトウ</t>
    </rPh>
    <rPh sb="9" eb="10">
      <t>シャ</t>
    </rPh>
    <rPh sb="10" eb="12">
      <t>ホセイ</t>
    </rPh>
    <rPh sb="12" eb="13">
      <t>チ</t>
    </rPh>
    <rPh sb="14" eb="16">
      <t>ハンエイ</t>
    </rPh>
    <rPh sb="18" eb="20">
      <t>ケイサン</t>
    </rPh>
    <phoneticPr fontId="15"/>
  </si>
  <si>
    <t>来島者補正値は、アプリの右下メニュー→ステータスで来島者の右側に</t>
    <rPh sb="0" eb="2">
      <t>ライトウ</t>
    </rPh>
    <rPh sb="2" eb="3">
      <t>シャ</t>
    </rPh>
    <rPh sb="3" eb="5">
      <t>ホセイ</t>
    </rPh>
    <rPh sb="5" eb="6">
      <t>チ</t>
    </rPh>
    <rPh sb="12" eb="14">
      <t>ミギシタ</t>
    </rPh>
    <rPh sb="25" eb="27">
      <t>ライトウ</t>
    </rPh>
    <rPh sb="27" eb="28">
      <t>シャ</t>
    </rPh>
    <rPh sb="29" eb="31">
      <t>ミギガワ</t>
    </rPh>
    <phoneticPr fontId="15"/>
  </si>
  <si>
    <t>表示されている数値となります。</t>
    <rPh sb="0" eb="2">
      <t>ヒョウジ</t>
    </rPh>
    <rPh sb="7" eb="9">
      <t>スウチ</t>
    </rPh>
    <phoneticPr fontId="15"/>
  </si>
  <si>
    <t>　施設名</t>
    <rPh sb="1" eb="3">
      <t>シセツ</t>
    </rPh>
    <rPh sb="3" eb="4">
      <t>メイ</t>
    </rPh>
    <phoneticPr fontId="15"/>
  </si>
  <si>
    <t>入力箇所：B列45行目～</t>
    <rPh sb="0" eb="2">
      <t>ニュウリョク</t>
    </rPh>
    <rPh sb="2" eb="4">
      <t>カショ</t>
    </rPh>
    <rPh sb="6" eb="7">
      <t>レツ</t>
    </rPh>
    <rPh sb="9" eb="10">
      <t>ギョウ</t>
    </rPh>
    <rPh sb="10" eb="11">
      <t>メ</t>
    </rPh>
    <phoneticPr fontId="15"/>
  </si>
  <si>
    <t>自分のリゾートに建っている施設を全て入力します。</t>
    <rPh sb="0" eb="2">
      <t>ジブン</t>
    </rPh>
    <rPh sb="8" eb="9">
      <t>タ</t>
    </rPh>
    <rPh sb="13" eb="15">
      <t>シセツ</t>
    </rPh>
    <rPh sb="16" eb="17">
      <t>スベ</t>
    </rPh>
    <rPh sb="18" eb="20">
      <t>ニュウリョク</t>
    </rPh>
    <phoneticPr fontId="15"/>
  </si>
  <si>
    <t>入力は「全一覧」シートの施設名をコピーして使うと便利です。</t>
    <rPh sb="0" eb="2">
      <t>ニュウリョク</t>
    </rPh>
    <rPh sb="4" eb="5">
      <t>ゼン</t>
    </rPh>
    <rPh sb="5" eb="7">
      <t>イチラン</t>
    </rPh>
    <rPh sb="12" eb="14">
      <t>シセツ</t>
    </rPh>
    <rPh sb="14" eb="15">
      <t>メイ</t>
    </rPh>
    <rPh sb="21" eb="22">
      <t>ツカ</t>
    </rPh>
    <rPh sb="24" eb="26">
      <t>ベンリ</t>
    </rPh>
    <phoneticPr fontId="15"/>
  </si>
  <si>
    <t>※名前が一文字でも間違ってしまうと計算が上手くされないのでコピーがお勧め。</t>
    <rPh sb="1" eb="3">
      <t>ナマエ</t>
    </rPh>
    <rPh sb="4" eb="7">
      <t>イチモジ</t>
    </rPh>
    <rPh sb="9" eb="11">
      <t>マチガ</t>
    </rPh>
    <rPh sb="17" eb="19">
      <t>ケイサン</t>
    </rPh>
    <rPh sb="20" eb="22">
      <t>ウマ</t>
    </rPh>
    <rPh sb="34" eb="35">
      <t>スス</t>
    </rPh>
    <phoneticPr fontId="15"/>
  </si>
  <si>
    <t>一番下には「最終行」という名前のものがありますが、これは計算で使うので</t>
    <rPh sb="0" eb="2">
      <t>イチバン</t>
    </rPh>
    <rPh sb="2" eb="3">
      <t>シタ</t>
    </rPh>
    <rPh sb="6" eb="9">
      <t>サイシュウギョウ</t>
    </rPh>
    <rPh sb="13" eb="15">
      <t>ナマエ</t>
    </rPh>
    <rPh sb="28" eb="30">
      <t>ケイサン</t>
    </rPh>
    <rPh sb="31" eb="32">
      <t>ツカ</t>
    </rPh>
    <phoneticPr fontId="15"/>
  </si>
  <si>
    <t>そのままにしておいてください。</t>
    <phoneticPr fontId="15"/>
  </si>
  <si>
    <t>また、この「最終行」より下には何も記載しないでください。</t>
    <rPh sb="6" eb="9">
      <t>サイシュウギョウ</t>
    </rPh>
    <rPh sb="12" eb="13">
      <t>シタ</t>
    </rPh>
    <rPh sb="15" eb="16">
      <t>ナニ</t>
    </rPh>
    <rPh sb="17" eb="19">
      <t>キサイ</t>
    </rPh>
    <phoneticPr fontId="15"/>
  </si>
  <si>
    <t>　施設レベル</t>
    <rPh sb="1" eb="3">
      <t>シセツ</t>
    </rPh>
    <phoneticPr fontId="15"/>
  </si>
  <si>
    <t>入力する数値は0～5となります。</t>
    <rPh sb="0" eb="2">
      <t>ニュウリョク</t>
    </rPh>
    <rPh sb="4" eb="6">
      <t>スウチ</t>
    </rPh>
    <phoneticPr fontId="15"/>
  </si>
  <si>
    <t>Lv0にしておけば、カネー生産などで合算されなくなります。</t>
    <rPh sb="13" eb="15">
      <t>セイサン</t>
    </rPh>
    <rPh sb="18" eb="20">
      <t>ガッサン</t>
    </rPh>
    <phoneticPr fontId="15"/>
  </si>
  <si>
    <t>Lv0はまだ建てていない施設をリストに載せたい時に使います。</t>
    <rPh sb="6" eb="7">
      <t>タ</t>
    </rPh>
    <rPh sb="12" eb="14">
      <t>シセツ</t>
    </rPh>
    <rPh sb="19" eb="20">
      <t>ノ</t>
    </rPh>
    <rPh sb="23" eb="24">
      <t>トキ</t>
    </rPh>
    <rPh sb="25" eb="26">
      <t>ツカ</t>
    </rPh>
    <phoneticPr fontId="15"/>
  </si>
  <si>
    <t>　建設中の状態</t>
    <rPh sb="1" eb="4">
      <t>ケンセツチュウ</t>
    </rPh>
    <rPh sb="5" eb="7">
      <t>ジョウタイ</t>
    </rPh>
    <phoneticPr fontId="15"/>
  </si>
  <si>
    <t>入力箇所：I列45行目～</t>
    <rPh sb="0" eb="2">
      <t>ニュウリョク</t>
    </rPh>
    <rPh sb="2" eb="4">
      <t>カショ</t>
    </rPh>
    <rPh sb="6" eb="7">
      <t>レツ</t>
    </rPh>
    <rPh sb="9" eb="10">
      <t>ギョウ</t>
    </rPh>
    <rPh sb="10" eb="11">
      <t>メ</t>
    </rPh>
    <phoneticPr fontId="15"/>
  </si>
  <si>
    <t>入力箇所：J列45行目～</t>
    <rPh sb="0" eb="2">
      <t>ニュウリョク</t>
    </rPh>
    <rPh sb="2" eb="4">
      <t>カショ</t>
    </rPh>
    <rPh sb="6" eb="7">
      <t>レツ</t>
    </rPh>
    <rPh sb="9" eb="10">
      <t>ギョウ</t>
    </rPh>
    <rPh sb="10" eb="11">
      <t>メ</t>
    </rPh>
    <phoneticPr fontId="15"/>
  </si>
  <si>
    <t>建設中の施設に「○」でチェックします。</t>
    <rPh sb="0" eb="2">
      <t>ケンセツ</t>
    </rPh>
    <rPh sb="2" eb="3">
      <t>チュウ</t>
    </rPh>
    <rPh sb="4" eb="6">
      <t>シセツ</t>
    </rPh>
    <phoneticPr fontId="15"/>
  </si>
  <si>
    <t>建設中でないものは何も記載しないようにします。</t>
    <rPh sb="0" eb="2">
      <t>ケンセツ</t>
    </rPh>
    <rPh sb="2" eb="3">
      <t>チュウ</t>
    </rPh>
    <rPh sb="9" eb="10">
      <t>ナニ</t>
    </rPh>
    <rPh sb="11" eb="13">
      <t>キサイ</t>
    </rPh>
    <phoneticPr fontId="15"/>
  </si>
  <si>
    <t>チェックは「○」でなくても数字・文字なんでも可能です。</t>
    <rPh sb="13" eb="15">
      <t>スウジ</t>
    </rPh>
    <rPh sb="16" eb="18">
      <t>モジ</t>
    </rPh>
    <rPh sb="22" eb="24">
      <t>カノウ</t>
    </rPh>
    <phoneticPr fontId="15"/>
  </si>
  <si>
    <t>何かがセルに入っていると建設中とみなすようになっています。</t>
    <rPh sb="0" eb="1">
      <t>ナニ</t>
    </rPh>
    <rPh sb="6" eb="7">
      <t>ハイ</t>
    </rPh>
    <rPh sb="12" eb="14">
      <t>ケンセツ</t>
    </rPh>
    <rPh sb="14" eb="15">
      <t>チュウ</t>
    </rPh>
    <phoneticPr fontId="15"/>
  </si>
  <si>
    <t>建設中のもののレベルは直前のレベルに設定しておきます。</t>
    <rPh sb="0" eb="2">
      <t>ケンセツ</t>
    </rPh>
    <rPh sb="2" eb="3">
      <t>チュウ</t>
    </rPh>
    <rPh sb="11" eb="13">
      <t>チョクゼン</t>
    </rPh>
    <rPh sb="18" eb="20">
      <t>セッテイ</t>
    </rPh>
    <phoneticPr fontId="15"/>
  </si>
  <si>
    <t>倉庫から出している途中のものはそのレベルに設定しておきます。</t>
    <rPh sb="0" eb="2">
      <t>ソウコ</t>
    </rPh>
    <rPh sb="4" eb="5">
      <t>ダ</t>
    </rPh>
    <rPh sb="9" eb="11">
      <t>トチュウ</t>
    </rPh>
    <rPh sb="21" eb="23">
      <t>セッテイ</t>
    </rPh>
    <phoneticPr fontId="15"/>
  </si>
  <si>
    <t>初めて建てる場合はレベルを0に設定しておきます。</t>
    <rPh sb="0" eb="1">
      <t>ハジ</t>
    </rPh>
    <rPh sb="3" eb="4">
      <t>タ</t>
    </rPh>
    <rPh sb="6" eb="8">
      <t>バアイ</t>
    </rPh>
    <rPh sb="15" eb="17">
      <t>セッテイ</t>
    </rPh>
    <phoneticPr fontId="15"/>
  </si>
  <si>
    <t>例)</t>
    <rPh sb="0" eb="1">
      <t>レイ</t>
    </rPh>
    <phoneticPr fontId="15"/>
  </si>
  <si>
    <t>・レベルを2から3に上げるとき：レベル2</t>
    <rPh sb="10" eb="11">
      <t>ア</t>
    </rPh>
    <phoneticPr fontId="15"/>
  </si>
  <si>
    <t>・新しく入手した施設を建てる時：レベル0</t>
    <rPh sb="1" eb="2">
      <t>アタラ</t>
    </rPh>
    <rPh sb="4" eb="6">
      <t>ニュウシュ</t>
    </rPh>
    <rPh sb="8" eb="10">
      <t>シセツ</t>
    </rPh>
    <rPh sb="11" eb="12">
      <t>タ</t>
    </rPh>
    <rPh sb="14" eb="15">
      <t>トキ</t>
    </rPh>
    <phoneticPr fontId="15"/>
  </si>
  <si>
    <t>このように設定すると、カネー生産などが正しく計算できます。</t>
    <rPh sb="5" eb="7">
      <t>セッテイ</t>
    </rPh>
    <rPh sb="14" eb="16">
      <t>セイサン</t>
    </rPh>
    <rPh sb="19" eb="20">
      <t>タダ</t>
    </rPh>
    <rPh sb="22" eb="24">
      <t>ケイサン</t>
    </rPh>
    <phoneticPr fontId="15"/>
  </si>
  <si>
    <t>・倉庫からレベル5の施設を建てている時：レベル5</t>
    <rPh sb="1" eb="3">
      <t>ソウコ</t>
    </rPh>
    <rPh sb="10" eb="12">
      <t>シセツ</t>
    </rPh>
    <rPh sb="13" eb="14">
      <t>タ</t>
    </rPh>
    <rPh sb="18" eb="19">
      <t>トキ</t>
    </rPh>
    <phoneticPr fontId="15"/>
  </si>
  <si>
    <t>　それ以外</t>
    <rPh sb="3" eb="5">
      <t>イガイ</t>
    </rPh>
    <phoneticPr fontId="15"/>
  </si>
  <si>
    <t>これらの4つの情報を元にすべてが自動で計算されます。</t>
    <rPh sb="7" eb="9">
      <t>ジョウホウ</t>
    </rPh>
    <rPh sb="10" eb="11">
      <t>モト</t>
    </rPh>
    <rPh sb="16" eb="18">
      <t>ジドウ</t>
    </rPh>
    <rPh sb="19" eb="21">
      <t>ケイサン</t>
    </rPh>
    <phoneticPr fontId="15"/>
  </si>
  <si>
    <t>それ以外に記載するところはありません。記載してはいけません。</t>
    <rPh sb="2" eb="4">
      <t>イガイ</t>
    </rPh>
    <rPh sb="5" eb="7">
      <t>キサイ</t>
    </rPh>
    <rPh sb="19" eb="21">
      <t>キサイ</t>
    </rPh>
    <phoneticPr fontId="15"/>
  </si>
  <si>
    <t>　情報の見方</t>
    <rPh sb="1" eb="3">
      <t>ジョウホウ</t>
    </rPh>
    <rPh sb="4" eb="6">
      <t>ミカタ</t>
    </rPh>
    <phoneticPr fontId="15"/>
  </si>
  <si>
    <t>「どの施設を建てれば生産カネーが多くなるのか」</t>
    <rPh sb="3" eb="5">
      <t>シセツ</t>
    </rPh>
    <rPh sb="6" eb="7">
      <t>タ</t>
    </rPh>
    <rPh sb="10" eb="12">
      <t>セイサン</t>
    </rPh>
    <rPh sb="16" eb="17">
      <t>オオ</t>
    </rPh>
    <phoneticPr fontId="15"/>
  </si>
  <si>
    <t>「次にどの施設をアップグレードしたらよいのか」</t>
    <rPh sb="1" eb="2">
      <t>ツギ</t>
    </rPh>
    <rPh sb="5" eb="7">
      <t>シセツ</t>
    </rPh>
    <phoneticPr fontId="15"/>
  </si>
  <si>
    <t>「来島者補正はどれくらいあったらよいのか」</t>
    <rPh sb="1" eb="3">
      <t>ライトウ</t>
    </rPh>
    <rPh sb="3" eb="4">
      <t>シャ</t>
    </rPh>
    <rPh sb="4" eb="6">
      <t>ホセイ</t>
    </rPh>
    <phoneticPr fontId="15"/>
  </si>
  <si>
    <t>「今の生産カネーの時給はどのくらいか」</t>
    <rPh sb="1" eb="2">
      <t>イマ</t>
    </rPh>
    <rPh sb="3" eb="5">
      <t>セイサン</t>
    </rPh>
    <rPh sb="9" eb="11">
      <t>ジキュウ</t>
    </rPh>
    <phoneticPr fontId="15"/>
  </si>
  <si>
    <t>「倉庫に入れるのはどれを入れたらいいのか」</t>
    <rPh sb="1" eb="3">
      <t>ソウコ</t>
    </rPh>
    <rPh sb="4" eb="5">
      <t>イ</t>
    </rPh>
    <rPh sb="12" eb="13">
      <t>イ</t>
    </rPh>
    <phoneticPr fontId="15"/>
  </si>
  <si>
    <t>などを知ることができます。</t>
    <rPh sb="3" eb="4">
      <t>シ</t>
    </rPh>
    <phoneticPr fontId="15"/>
  </si>
  <si>
    <t>計算された情報を見ることで、</t>
    <rPh sb="0" eb="2">
      <t>ケイサン</t>
    </rPh>
    <rPh sb="5" eb="7">
      <t>ジョウホウ</t>
    </rPh>
    <rPh sb="8" eb="9">
      <t>ミ</t>
    </rPh>
    <phoneticPr fontId="15"/>
  </si>
  <si>
    <t>　リゾート合計数値(上部青字)</t>
    <rPh sb="5" eb="7">
      <t>ゴウケイ</t>
    </rPh>
    <rPh sb="7" eb="9">
      <t>スウチ</t>
    </rPh>
    <rPh sb="10" eb="12">
      <t>ジョウブ</t>
    </rPh>
    <rPh sb="12" eb="14">
      <t>アオジ</t>
    </rPh>
    <phoneticPr fontId="15"/>
  </si>
  <si>
    <t>画面上部の青字で記載された部分がメインとなる数値となります。</t>
    <rPh sb="0" eb="2">
      <t>ガメン</t>
    </rPh>
    <rPh sb="2" eb="4">
      <t>ジョウブ</t>
    </rPh>
    <rPh sb="5" eb="7">
      <t>アオジ</t>
    </rPh>
    <rPh sb="8" eb="10">
      <t>キサイ</t>
    </rPh>
    <rPh sb="13" eb="15">
      <t>ブブン</t>
    </rPh>
    <rPh sb="22" eb="24">
      <t>スウチ</t>
    </rPh>
    <phoneticPr fontId="15"/>
  </si>
  <si>
    <t>ここにリゾートの合計値が表示されています。</t>
    <rPh sb="8" eb="10">
      <t>ゴウケイ</t>
    </rPh>
    <rPh sb="10" eb="11">
      <t>チ</t>
    </rPh>
    <rPh sb="12" eb="14">
      <t>ヒョウジ</t>
    </rPh>
    <phoneticPr fontId="15"/>
  </si>
  <si>
    <t>・カネー生産(生産時間最大時)</t>
    <rPh sb="4" eb="6">
      <t>セイサン</t>
    </rPh>
    <rPh sb="7" eb="9">
      <t>セイサン</t>
    </rPh>
    <rPh sb="9" eb="11">
      <t>ジカン</t>
    </rPh>
    <rPh sb="11" eb="13">
      <t>サイダイ</t>
    </rPh>
    <rPh sb="13" eb="14">
      <t>ジ</t>
    </rPh>
    <phoneticPr fontId="15"/>
  </si>
  <si>
    <t>・カネー生産(1時間あたり)</t>
    <rPh sb="4" eb="6">
      <t>セイサン</t>
    </rPh>
    <rPh sb="8" eb="10">
      <t>ジカン</t>
    </rPh>
    <phoneticPr fontId="15"/>
  </si>
  <si>
    <t>・獲得経験値(生産時間最大時)</t>
    <rPh sb="1" eb="3">
      <t>カクトク</t>
    </rPh>
    <rPh sb="3" eb="6">
      <t>ケイケンチ</t>
    </rPh>
    <rPh sb="7" eb="9">
      <t>セイサン</t>
    </rPh>
    <rPh sb="9" eb="11">
      <t>ジカン</t>
    </rPh>
    <rPh sb="11" eb="13">
      <t>サイダイ</t>
    </rPh>
    <rPh sb="13" eb="14">
      <t>ジ</t>
    </rPh>
    <phoneticPr fontId="15"/>
  </si>
  <si>
    <t>・獲得経験値(1時間あたり)</t>
    <rPh sb="1" eb="3">
      <t>カクトク</t>
    </rPh>
    <rPh sb="3" eb="6">
      <t>ケイケンチ</t>
    </rPh>
    <rPh sb="8" eb="10">
      <t>ジカン</t>
    </rPh>
    <phoneticPr fontId="15"/>
  </si>
  <si>
    <t>・来島者数合計</t>
    <rPh sb="1" eb="3">
      <t>ライトウ</t>
    </rPh>
    <rPh sb="3" eb="4">
      <t>シャ</t>
    </rPh>
    <rPh sb="4" eb="5">
      <t>スウ</t>
    </rPh>
    <rPh sb="5" eb="7">
      <t>ゴウケイ</t>
    </rPh>
    <phoneticPr fontId="15"/>
  </si>
  <si>
    <t>・客数合計</t>
    <rPh sb="1" eb="3">
      <t>キャクスウ</t>
    </rPh>
    <rPh sb="3" eb="5">
      <t>ゴウケイ</t>
    </rPh>
    <phoneticPr fontId="15"/>
  </si>
  <si>
    <t>建設中のものは含まないようになっています。(実際のアプリと同じ)</t>
    <rPh sb="0" eb="2">
      <t>ケンセツ</t>
    </rPh>
    <rPh sb="2" eb="3">
      <t>チュウ</t>
    </rPh>
    <rPh sb="7" eb="8">
      <t>フク</t>
    </rPh>
    <rPh sb="22" eb="24">
      <t>ジッサイ</t>
    </rPh>
    <rPh sb="29" eb="30">
      <t>オナ</t>
    </rPh>
    <phoneticPr fontId="15"/>
  </si>
  <si>
    <t>施設やレベルを変えてこれらの数値がどう変わるのかを見ることで、</t>
    <rPh sb="0" eb="2">
      <t>シセツ</t>
    </rPh>
    <rPh sb="7" eb="8">
      <t>カ</t>
    </rPh>
    <rPh sb="14" eb="16">
      <t>スウチ</t>
    </rPh>
    <rPh sb="19" eb="20">
      <t>カ</t>
    </rPh>
    <rPh sb="25" eb="26">
      <t>ミ</t>
    </rPh>
    <phoneticPr fontId="15"/>
  </si>
  <si>
    <t>リゾート開発で次に何をすれば良いのかを発見することができるようになります。</t>
    <rPh sb="4" eb="6">
      <t>カイハツ</t>
    </rPh>
    <rPh sb="7" eb="8">
      <t>ツギ</t>
    </rPh>
    <rPh sb="9" eb="10">
      <t>ナニ</t>
    </rPh>
    <rPh sb="14" eb="15">
      <t>ヨ</t>
    </rPh>
    <rPh sb="19" eb="21">
      <t>ハッケン</t>
    </rPh>
    <phoneticPr fontId="15"/>
  </si>
  <si>
    <t>来島者と客数の関係は比率として右側に表示しています。</t>
    <rPh sb="0" eb="2">
      <t>ライトウ</t>
    </rPh>
    <rPh sb="2" eb="3">
      <t>シャ</t>
    </rPh>
    <rPh sb="4" eb="6">
      <t>キャクスウ</t>
    </rPh>
    <rPh sb="7" eb="9">
      <t>カンケイ</t>
    </rPh>
    <rPh sb="10" eb="12">
      <t>ヒリツ</t>
    </rPh>
    <rPh sb="15" eb="17">
      <t>ミギガワ</t>
    </rPh>
    <rPh sb="18" eb="20">
      <t>ヒョウジ</t>
    </rPh>
    <phoneticPr fontId="15"/>
  </si>
  <si>
    <t>この数値を見て、簡単なアドバイスとメッセージをその下に表示しています。</t>
    <rPh sb="2" eb="4">
      <t>スウチ</t>
    </rPh>
    <rPh sb="5" eb="6">
      <t>ミ</t>
    </rPh>
    <rPh sb="8" eb="10">
      <t>カンタン</t>
    </rPh>
    <rPh sb="25" eb="26">
      <t>シタ</t>
    </rPh>
    <rPh sb="27" eb="29">
      <t>ヒョウジ</t>
    </rPh>
    <phoneticPr fontId="15"/>
  </si>
  <si>
    <t>また、ルート攻略をする場合の来島者上限も左側に表示しています。</t>
    <rPh sb="6" eb="8">
      <t>コウリャク</t>
    </rPh>
    <rPh sb="11" eb="13">
      <t>バアイ</t>
    </rPh>
    <rPh sb="14" eb="16">
      <t>ライトウ</t>
    </rPh>
    <rPh sb="16" eb="17">
      <t>シャ</t>
    </rPh>
    <rPh sb="17" eb="19">
      <t>ジョウゲン</t>
    </rPh>
    <rPh sb="20" eb="21">
      <t>ヒダリ</t>
    </rPh>
    <rPh sb="21" eb="22">
      <t>ガワ</t>
    </rPh>
    <rPh sb="23" eb="25">
      <t>ヒョウジ</t>
    </rPh>
    <phoneticPr fontId="15"/>
  </si>
  <si>
    <t>比率が110%を超えるとアバターが施設に入らなくなるので、その上限となります。</t>
    <rPh sb="0" eb="2">
      <t>ヒリツ</t>
    </rPh>
    <rPh sb="8" eb="9">
      <t>コ</t>
    </rPh>
    <rPh sb="17" eb="19">
      <t>シセツ</t>
    </rPh>
    <rPh sb="20" eb="21">
      <t>ハイ</t>
    </rPh>
    <rPh sb="31" eb="33">
      <t>ジョウゲン</t>
    </rPh>
    <phoneticPr fontId="15"/>
  </si>
  <si>
    <t>　リゾート合計数値確認用(上部左側赤字)</t>
    <rPh sb="5" eb="7">
      <t>ゴウケイ</t>
    </rPh>
    <rPh sb="7" eb="9">
      <t>スウチ</t>
    </rPh>
    <rPh sb="9" eb="11">
      <t>カクニン</t>
    </rPh>
    <rPh sb="11" eb="12">
      <t>ヨウ</t>
    </rPh>
    <rPh sb="13" eb="15">
      <t>ジョウブ</t>
    </rPh>
    <rPh sb="15" eb="17">
      <t>ヒダリガワ</t>
    </rPh>
    <rPh sb="17" eb="19">
      <t>アカジ</t>
    </rPh>
    <phoneticPr fontId="15"/>
  </si>
  <si>
    <t>画面上部左側の赤字で記載された部分は、確認用の数値となります。</t>
    <rPh sb="0" eb="2">
      <t>ガメン</t>
    </rPh>
    <rPh sb="2" eb="4">
      <t>ジョウブ</t>
    </rPh>
    <rPh sb="4" eb="5">
      <t>ヒダリ</t>
    </rPh>
    <rPh sb="5" eb="6">
      <t>ガワ</t>
    </rPh>
    <rPh sb="7" eb="9">
      <t>アカジ</t>
    </rPh>
    <rPh sb="10" eb="12">
      <t>キサイ</t>
    </rPh>
    <rPh sb="15" eb="17">
      <t>ブブン</t>
    </rPh>
    <rPh sb="19" eb="21">
      <t>カクニン</t>
    </rPh>
    <rPh sb="21" eb="22">
      <t>ヨウ</t>
    </rPh>
    <rPh sb="23" eb="25">
      <t>スウチ</t>
    </rPh>
    <phoneticPr fontId="15"/>
  </si>
  <si>
    <t>アプリ内の右下メニュー→ステータスで表示される情報と同じ数値になります。</t>
    <rPh sb="3" eb="4">
      <t>ナイ</t>
    </rPh>
    <rPh sb="5" eb="7">
      <t>ミギシタ</t>
    </rPh>
    <rPh sb="18" eb="20">
      <t>ヒョウジ</t>
    </rPh>
    <rPh sb="23" eb="25">
      <t>ジョウホウ</t>
    </rPh>
    <rPh sb="26" eb="27">
      <t>オナ</t>
    </rPh>
    <rPh sb="28" eb="30">
      <t>スウチ</t>
    </rPh>
    <phoneticPr fontId="15"/>
  </si>
  <si>
    <t>この赤字の数値が、アプリ内の数値と同じかどうかを確認することで、</t>
    <rPh sb="2" eb="4">
      <t>アカジ</t>
    </rPh>
    <rPh sb="5" eb="7">
      <t>スウチ</t>
    </rPh>
    <rPh sb="12" eb="13">
      <t>ナイ</t>
    </rPh>
    <rPh sb="14" eb="16">
      <t>スウチ</t>
    </rPh>
    <rPh sb="17" eb="18">
      <t>オナ</t>
    </rPh>
    <rPh sb="24" eb="26">
      <t>カクニン</t>
    </rPh>
    <phoneticPr fontId="15"/>
  </si>
  <si>
    <t>リスト内の施設名とレベル、建設中に間違いがないかを発見することができます。</t>
    <rPh sb="3" eb="4">
      <t>ナイ</t>
    </rPh>
    <rPh sb="5" eb="7">
      <t>シセツ</t>
    </rPh>
    <rPh sb="7" eb="8">
      <t>メイ</t>
    </rPh>
    <rPh sb="13" eb="16">
      <t>ケンセツチュウ</t>
    </rPh>
    <rPh sb="17" eb="19">
      <t>マチガ</t>
    </rPh>
    <rPh sb="25" eb="27">
      <t>ハッケン</t>
    </rPh>
    <phoneticPr fontId="15"/>
  </si>
  <si>
    <t>見るべきポイントは</t>
    <rPh sb="0" eb="1">
      <t>ミ</t>
    </rPh>
    <phoneticPr fontId="15"/>
  </si>
  <si>
    <t>・カネー生産</t>
    <rPh sb="4" eb="6">
      <t>セイサン</t>
    </rPh>
    <phoneticPr fontId="15"/>
  </si>
  <si>
    <t>・客数右側</t>
    <rPh sb="1" eb="3">
      <t>キャクスウ</t>
    </rPh>
    <rPh sb="3" eb="5">
      <t>ミギガワ</t>
    </rPh>
    <phoneticPr fontId="15"/>
  </si>
  <si>
    <t>・来島者数左側</t>
    <rPh sb="1" eb="3">
      <t>ライトウ</t>
    </rPh>
    <rPh sb="3" eb="4">
      <t>シャ</t>
    </rPh>
    <rPh sb="4" eb="5">
      <t>スウ</t>
    </rPh>
    <rPh sb="5" eb="6">
      <t>ヒダリ</t>
    </rPh>
    <rPh sb="6" eb="7">
      <t>ガワ</t>
    </rPh>
    <phoneticPr fontId="15"/>
  </si>
  <si>
    <t>・来島者数右側(補正値％)</t>
    <rPh sb="1" eb="3">
      <t>ライトウ</t>
    </rPh>
    <rPh sb="3" eb="4">
      <t>シャ</t>
    </rPh>
    <rPh sb="4" eb="5">
      <t>スウ</t>
    </rPh>
    <rPh sb="5" eb="7">
      <t>ミギガワ</t>
    </rPh>
    <rPh sb="8" eb="10">
      <t>ホセイ</t>
    </rPh>
    <rPh sb="10" eb="11">
      <t>チ</t>
    </rPh>
    <phoneticPr fontId="15"/>
  </si>
  <si>
    <t>となります。</t>
    <phoneticPr fontId="15"/>
  </si>
  <si>
    <t>※客数左側は計算上誤差が出ることがあるので、ずれていても問題ないです。</t>
    <rPh sb="1" eb="3">
      <t>キャクスウ</t>
    </rPh>
    <rPh sb="3" eb="4">
      <t>ヒダリ</t>
    </rPh>
    <rPh sb="4" eb="5">
      <t>ガワ</t>
    </rPh>
    <rPh sb="6" eb="8">
      <t>ケイサン</t>
    </rPh>
    <rPh sb="8" eb="9">
      <t>ジョウ</t>
    </rPh>
    <rPh sb="9" eb="11">
      <t>ゴサ</t>
    </rPh>
    <rPh sb="12" eb="13">
      <t>デ</t>
    </rPh>
    <rPh sb="28" eb="30">
      <t>モンダイ</t>
    </rPh>
    <phoneticPr fontId="15"/>
  </si>
  <si>
    <t>これらの数値が全て一緒であることが確認できれば、リストが正しいことになります。</t>
    <rPh sb="4" eb="6">
      <t>スウチ</t>
    </rPh>
    <rPh sb="7" eb="8">
      <t>スベ</t>
    </rPh>
    <rPh sb="9" eb="11">
      <t>イッショ</t>
    </rPh>
    <rPh sb="17" eb="19">
      <t>カクニン</t>
    </rPh>
    <rPh sb="28" eb="29">
      <t>タダ</t>
    </rPh>
    <phoneticPr fontId="15"/>
  </si>
  <si>
    <t>　各施設数値</t>
    <rPh sb="1" eb="2">
      <t>カク</t>
    </rPh>
    <rPh sb="2" eb="4">
      <t>シセツ</t>
    </rPh>
    <rPh sb="4" eb="6">
      <t>スウチ</t>
    </rPh>
    <phoneticPr fontId="15"/>
  </si>
  <si>
    <t>45行目から下の数値は全て各施設の詳細データとなります。</t>
    <rPh sb="2" eb="4">
      <t>ギョウメ</t>
    </rPh>
    <rPh sb="6" eb="7">
      <t>シタ</t>
    </rPh>
    <rPh sb="8" eb="10">
      <t>スウチ</t>
    </rPh>
    <rPh sb="11" eb="12">
      <t>スベ</t>
    </rPh>
    <rPh sb="13" eb="14">
      <t>カク</t>
    </rPh>
    <rPh sb="14" eb="16">
      <t>シセツ</t>
    </rPh>
    <rPh sb="17" eb="19">
      <t>ショウサイ</t>
    </rPh>
    <phoneticPr fontId="15"/>
  </si>
  <si>
    <t>施設名をB列に入れることでこれらの数値が変化します。</t>
    <rPh sb="0" eb="2">
      <t>シセツ</t>
    </rPh>
    <rPh sb="2" eb="3">
      <t>メイ</t>
    </rPh>
    <rPh sb="5" eb="6">
      <t>レツ</t>
    </rPh>
    <rPh sb="7" eb="8">
      <t>イ</t>
    </rPh>
    <rPh sb="17" eb="19">
      <t>スウチ</t>
    </rPh>
    <rPh sb="20" eb="22">
      <t>ヘンカ</t>
    </rPh>
    <phoneticPr fontId="15"/>
  </si>
  <si>
    <t>・Lv5の施設データ</t>
    <rPh sb="5" eb="7">
      <t>シセツ</t>
    </rPh>
    <phoneticPr fontId="15"/>
  </si>
  <si>
    <t>・現Lvでの施設データ</t>
    <rPh sb="1" eb="2">
      <t>ゲン</t>
    </rPh>
    <rPh sb="6" eb="8">
      <t>シセツ</t>
    </rPh>
    <phoneticPr fontId="15"/>
  </si>
  <si>
    <t>・施設の生産時間などの基本データ</t>
    <rPh sb="1" eb="3">
      <t>シセツ</t>
    </rPh>
    <rPh sb="4" eb="6">
      <t>セイサン</t>
    </rPh>
    <rPh sb="6" eb="8">
      <t>ジカン</t>
    </rPh>
    <rPh sb="11" eb="13">
      <t>キホン</t>
    </rPh>
    <phoneticPr fontId="15"/>
  </si>
  <si>
    <t>・次レベルのためのデータ</t>
    <rPh sb="1" eb="2">
      <t>ツギ</t>
    </rPh>
    <phoneticPr fontId="15"/>
  </si>
  <si>
    <t>・Lv5までの余力値データ</t>
    <rPh sb="7" eb="9">
      <t>ヨリョク</t>
    </rPh>
    <rPh sb="9" eb="10">
      <t>チ</t>
    </rPh>
    <phoneticPr fontId="15"/>
  </si>
  <si>
    <t>などがあります。</t>
    <phoneticPr fontId="15"/>
  </si>
  <si>
    <t>これら以外にもデータはありますが、非表示にしているものがあります。</t>
    <rPh sb="3" eb="5">
      <t>イガイ</t>
    </rPh>
    <rPh sb="17" eb="20">
      <t>ヒヒョウジ</t>
    </rPh>
    <phoneticPr fontId="15"/>
  </si>
  <si>
    <t>例えばLv1時のデータや経験値に関するデータなどです。</t>
    <rPh sb="12" eb="15">
      <t>ケイケンチ</t>
    </rPh>
    <rPh sb="16" eb="17">
      <t>カン</t>
    </rPh>
    <phoneticPr fontId="15"/>
  </si>
  <si>
    <t>必要に応じて再表示すれば確認することができます。</t>
    <rPh sb="0" eb="2">
      <t>ヒツヨウ</t>
    </rPh>
    <rPh sb="3" eb="4">
      <t>オウ</t>
    </rPh>
    <rPh sb="6" eb="9">
      <t>サイヒョウジ</t>
    </rPh>
    <rPh sb="12" eb="14">
      <t>カクニン</t>
    </rPh>
    <phoneticPr fontId="15"/>
  </si>
  <si>
    <t>各自のプレイスタイルに合わせて、必要なデータの表示/非表示を切り替えてください</t>
    <rPh sb="0" eb="2">
      <t>カクジ</t>
    </rPh>
    <rPh sb="11" eb="12">
      <t>ア</t>
    </rPh>
    <rPh sb="16" eb="18">
      <t>ヒツヨウ</t>
    </rPh>
    <rPh sb="23" eb="25">
      <t>ヒョウジ</t>
    </rPh>
    <rPh sb="26" eb="29">
      <t>ヒヒョウジ</t>
    </rPh>
    <rPh sb="30" eb="31">
      <t>キ</t>
    </rPh>
    <rPh sb="32" eb="33">
      <t>カ</t>
    </rPh>
    <phoneticPr fontId="15"/>
  </si>
  <si>
    <t>分かりにくいところだけ一部解説しておきます。</t>
    <rPh sb="0" eb="1">
      <t>ワ</t>
    </rPh>
    <rPh sb="11" eb="13">
      <t>イチブ</t>
    </rPh>
    <rPh sb="13" eb="15">
      <t>カイセツ</t>
    </rPh>
    <phoneticPr fontId="15"/>
  </si>
  <si>
    <t>・次Lv建設：損失回復日数</t>
    <rPh sb="1" eb="2">
      <t>ツギ</t>
    </rPh>
    <rPh sb="4" eb="6">
      <t>ケンセツ</t>
    </rPh>
    <rPh sb="7" eb="9">
      <t>ソンシツ</t>
    </rPh>
    <rPh sb="9" eb="11">
      <t>カイフク</t>
    </rPh>
    <rPh sb="11" eb="13">
      <t>ニッスウ</t>
    </rPh>
    <phoneticPr fontId="15"/>
  </si>
  <si>
    <t>アップグレードに必要なカネーを取り戻すのに何日かかるかの数値です。</t>
    <rPh sb="8" eb="10">
      <t>ヒツヨウ</t>
    </rPh>
    <rPh sb="15" eb="16">
      <t>ト</t>
    </rPh>
    <rPh sb="17" eb="18">
      <t>モド</t>
    </rPh>
    <rPh sb="21" eb="23">
      <t>ナンニチ</t>
    </rPh>
    <rPh sb="28" eb="30">
      <t>スウチ</t>
    </rPh>
    <phoneticPr fontId="15"/>
  </si>
  <si>
    <t>例えばこの数値が30であれば、30日後にようやくカネーがプラスになるという</t>
    <rPh sb="0" eb="1">
      <t>タト</t>
    </rPh>
    <rPh sb="5" eb="7">
      <t>スウチ</t>
    </rPh>
    <rPh sb="17" eb="18">
      <t>ニチ</t>
    </rPh>
    <rPh sb="18" eb="19">
      <t>ゴ</t>
    </rPh>
    <phoneticPr fontId="15"/>
  </si>
  <si>
    <t>意味になります。</t>
    <rPh sb="0" eb="2">
      <t>イミ</t>
    </rPh>
    <phoneticPr fontId="15"/>
  </si>
  <si>
    <t>・次Lv建設：必要時給</t>
    <rPh sb="1" eb="2">
      <t>ツギ</t>
    </rPh>
    <rPh sb="4" eb="6">
      <t>ケンセツ</t>
    </rPh>
    <rPh sb="7" eb="9">
      <t>ヒツヨウ</t>
    </rPh>
    <rPh sb="9" eb="11">
      <t>ジキュウ</t>
    </rPh>
    <phoneticPr fontId="15"/>
  </si>
  <si>
    <t>アップグレードに必要なカネーを建設時間で割った数値になります。</t>
    <rPh sb="8" eb="10">
      <t>ヒツヨウ</t>
    </rPh>
    <rPh sb="15" eb="17">
      <t>ケンセツ</t>
    </rPh>
    <rPh sb="17" eb="19">
      <t>ジカン</t>
    </rPh>
    <rPh sb="20" eb="21">
      <t>ワ</t>
    </rPh>
    <rPh sb="23" eb="25">
      <t>スウチ</t>
    </rPh>
    <phoneticPr fontId="15"/>
  </si>
  <si>
    <t>この数値以上の時給があれば、カネーが増えていく計算となります。</t>
    <rPh sb="2" eb="4">
      <t>スウチ</t>
    </rPh>
    <rPh sb="4" eb="6">
      <t>イジョウ</t>
    </rPh>
    <rPh sb="7" eb="9">
      <t>ジキュウ</t>
    </rPh>
    <rPh sb="18" eb="19">
      <t>フ</t>
    </rPh>
    <rPh sb="23" eb="25">
      <t>ケイサン</t>
    </rPh>
    <phoneticPr fontId="15"/>
  </si>
  <si>
    <t>カネーを貯めたい時に使える数値です。</t>
    <rPh sb="4" eb="5">
      <t>タ</t>
    </rPh>
    <rPh sb="8" eb="9">
      <t>トキ</t>
    </rPh>
    <rPh sb="10" eb="11">
      <t>ツカ</t>
    </rPh>
    <rPh sb="13" eb="15">
      <t>スウチ</t>
    </rPh>
    <phoneticPr fontId="15"/>
  </si>
  <si>
    <t>・次Lv生産UP値</t>
    <rPh sb="1" eb="2">
      <t>ツギ</t>
    </rPh>
    <rPh sb="4" eb="6">
      <t>セイサン</t>
    </rPh>
    <rPh sb="8" eb="9">
      <t>チ</t>
    </rPh>
    <phoneticPr fontId="15"/>
  </si>
  <si>
    <t>アップグレードすることで生産カネー・来島者がどれだけ上がるかという数値です。</t>
    <rPh sb="12" eb="14">
      <t>セイサン</t>
    </rPh>
    <rPh sb="18" eb="20">
      <t>ライトウ</t>
    </rPh>
    <rPh sb="20" eb="21">
      <t>シャ</t>
    </rPh>
    <rPh sb="26" eb="27">
      <t>ア</t>
    </rPh>
    <rPh sb="33" eb="35">
      <t>スウチ</t>
    </rPh>
    <phoneticPr fontId="15"/>
  </si>
  <si>
    <t>・Lv5まで生産余力値</t>
    <rPh sb="6" eb="8">
      <t>セイサン</t>
    </rPh>
    <rPh sb="8" eb="10">
      <t>ヨリョク</t>
    </rPh>
    <rPh sb="10" eb="11">
      <t>チ</t>
    </rPh>
    <phoneticPr fontId="15"/>
  </si>
  <si>
    <t>Lv5と現Lvとの差分の数値です。</t>
    <rPh sb="4" eb="5">
      <t>ゲン</t>
    </rPh>
    <rPh sb="9" eb="11">
      <t>サブン</t>
    </rPh>
    <rPh sb="12" eb="14">
      <t>スウチ</t>
    </rPh>
    <phoneticPr fontId="15"/>
  </si>
  <si>
    <t>数値の高いものを見つけることで優先的にアップグレードする目安になります。</t>
    <rPh sb="0" eb="2">
      <t>スウチ</t>
    </rPh>
    <rPh sb="3" eb="4">
      <t>タカ</t>
    </rPh>
    <rPh sb="8" eb="9">
      <t>ミ</t>
    </rPh>
    <rPh sb="15" eb="18">
      <t>ユウセンテキ</t>
    </rPh>
    <rPh sb="28" eb="30">
      <t>メヤス</t>
    </rPh>
    <phoneticPr fontId="15"/>
  </si>
  <si>
    <t>次Lv生産UP値と同様にアップグレードの目安となります。</t>
    <rPh sb="0" eb="1">
      <t>ツギ</t>
    </rPh>
    <rPh sb="3" eb="5">
      <t>セイサン</t>
    </rPh>
    <rPh sb="7" eb="8">
      <t>チ</t>
    </rPh>
    <rPh sb="9" eb="11">
      <t>ドウヨウ</t>
    </rPh>
    <rPh sb="20" eb="22">
      <t>メヤス</t>
    </rPh>
    <phoneticPr fontId="15"/>
  </si>
  <si>
    <t>　施設の追加と削除</t>
    <rPh sb="1" eb="3">
      <t>シセツ</t>
    </rPh>
    <rPh sb="4" eb="6">
      <t>ツイカ</t>
    </rPh>
    <rPh sb="7" eb="9">
      <t>サクジョ</t>
    </rPh>
    <phoneticPr fontId="15"/>
  </si>
  <si>
    <t>新しい施設を追加したい場合、不要になった施設が出てきた場合は</t>
    <rPh sb="0" eb="1">
      <t>アタラ</t>
    </rPh>
    <rPh sb="3" eb="5">
      <t>シセツ</t>
    </rPh>
    <rPh sb="6" eb="8">
      <t>ツイカ</t>
    </rPh>
    <rPh sb="11" eb="13">
      <t>バアイ</t>
    </rPh>
    <rPh sb="14" eb="16">
      <t>フヨウ</t>
    </rPh>
    <rPh sb="20" eb="22">
      <t>シセツ</t>
    </rPh>
    <rPh sb="23" eb="24">
      <t>デ</t>
    </rPh>
    <rPh sb="27" eb="29">
      <t>バアイ</t>
    </rPh>
    <phoneticPr fontId="15"/>
  </si>
  <si>
    <t>表に対して行の追加・削除をします。</t>
    <rPh sb="0" eb="1">
      <t>ヒョウ</t>
    </rPh>
    <rPh sb="2" eb="3">
      <t>タイ</t>
    </rPh>
    <rPh sb="5" eb="6">
      <t>ギョウ</t>
    </rPh>
    <rPh sb="7" eb="9">
      <t>ツイカ</t>
    </rPh>
    <rPh sb="10" eb="12">
      <t>サクジョ</t>
    </rPh>
    <phoneticPr fontId="15"/>
  </si>
  <si>
    <t>計算式が多く埋め込まれているので、操作を間違うと合計値などの</t>
    <rPh sb="0" eb="2">
      <t>ケイサン</t>
    </rPh>
    <rPh sb="2" eb="3">
      <t>シキ</t>
    </rPh>
    <rPh sb="4" eb="5">
      <t>オオ</t>
    </rPh>
    <rPh sb="6" eb="7">
      <t>ウ</t>
    </rPh>
    <rPh sb="8" eb="9">
      <t>コ</t>
    </rPh>
    <rPh sb="17" eb="19">
      <t>ソウサ</t>
    </rPh>
    <rPh sb="20" eb="22">
      <t>マチガ</t>
    </rPh>
    <rPh sb="24" eb="26">
      <t>ゴウケイ</t>
    </rPh>
    <rPh sb="26" eb="27">
      <t>チ</t>
    </rPh>
    <phoneticPr fontId="15"/>
  </si>
  <si>
    <t>計算結果がおかしくなることがあります。</t>
    <rPh sb="0" eb="2">
      <t>ケイサン</t>
    </rPh>
    <rPh sb="2" eb="4">
      <t>ケッカ</t>
    </rPh>
    <phoneticPr fontId="15"/>
  </si>
  <si>
    <t>　追加する場合</t>
    <rPh sb="1" eb="3">
      <t>ツイカ</t>
    </rPh>
    <rPh sb="5" eb="7">
      <t>バアイ</t>
    </rPh>
    <phoneticPr fontId="15"/>
  </si>
  <si>
    <t>いくつか方法があります。</t>
    <rPh sb="4" eb="6">
      <t>ホウホウ</t>
    </rPh>
    <phoneticPr fontId="15"/>
  </si>
  <si>
    <t>画面上の方に「行追加」ボタンがあるので、これで追加します。</t>
    <rPh sb="0" eb="2">
      <t>ガメン</t>
    </rPh>
    <rPh sb="2" eb="3">
      <t>ウエ</t>
    </rPh>
    <rPh sb="4" eb="5">
      <t>ホウ</t>
    </rPh>
    <rPh sb="7" eb="8">
      <t>ギョウ</t>
    </rPh>
    <rPh sb="8" eb="10">
      <t>ツイカ</t>
    </rPh>
    <rPh sb="23" eb="25">
      <t>ツイカ</t>
    </rPh>
    <phoneticPr fontId="15"/>
  </si>
  <si>
    <t>マクロが作動し、最終行の1つ上に新しい行が追加されます。</t>
    <rPh sb="4" eb="6">
      <t>サドウ</t>
    </rPh>
    <rPh sb="8" eb="11">
      <t>サイシュウギョウ</t>
    </rPh>
    <rPh sb="14" eb="15">
      <t>ウエ</t>
    </rPh>
    <rPh sb="16" eb="17">
      <t>アタラ</t>
    </rPh>
    <rPh sb="19" eb="20">
      <t>ギョウ</t>
    </rPh>
    <rPh sb="21" eb="23">
      <t>ツイカ</t>
    </rPh>
    <phoneticPr fontId="15"/>
  </si>
  <si>
    <t>施設名はすぐ上の施設名をコピーしているので、正しい施設名に変えます。</t>
    <rPh sb="0" eb="2">
      <t>シセツ</t>
    </rPh>
    <rPh sb="2" eb="3">
      <t>メイ</t>
    </rPh>
    <rPh sb="6" eb="7">
      <t>ウエ</t>
    </rPh>
    <rPh sb="8" eb="10">
      <t>シセツ</t>
    </rPh>
    <rPh sb="10" eb="11">
      <t>メイ</t>
    </rPh>
    <rPh sb="22" eb="23">
      <t>タダ</t>
    </rPh>
    <rPh sb="25" eb="27">
      <t>シセツ</t>
    </rPh>
    <rPh sb="27" eb="28">
      <t>メイ</t>
    </rPh>
    <rPh sb="29" eb="30">
      <t>カ</t>
    </rPh>
    <phoneticPr fontId="15"/>
  </si>
  <si>
    <t>レベルと建設中状態も正しいものに変えます。</t>
    <rPh sb="4" eb="6">
      <t>ケンセツ</t>
    </rPh>
    <rPh sb="6" eb="7">
      <t>チュウ</t>
    </rPh>
    <rPh sb="7" eb="9">
      <t>ジョウタイ</t>
    </rPh>
    <rPh sb="10" eb="11">
      <t>タダ</t>
    </rPh>
    <rPh sb="16" eb="17">
      <t>カ</t>
    </rPh>
    <phoneticPr fontId="15"/>
  </si>
  <si>
    <t>この方法が最も安全で確実な方法です。</t>
    <rPh sb="2" eb="4">
      <t>ホウホウ</t>
    </rPh>
    <rPh sb="5" eb="6">
      <t>モット</t>
    </rPh>
    <rPh sb="7" eb="9">
      <t>アンゼン</t>
    </rPh>
    <rPh sb="10" eb="12">
      <t>カクジツ</t>
    </rPh>
    <rPh sb="13" eb="15">
      <t>ホウホウ</t>
    </rPh>
    <phoneticPr fontId="15"/>
  </si>
  <si>
    <t>1.　「行追加」ボタンで追加</t>
    <rPh sb="4" eb="5">
      <t>ギョウ</t>
    </rPh>
    <rPh sb="5" eb="7">
      <t>ツイカ</t>
    </rPh>
    <rPh sb="12" eb="14">
      <t>ツイカ</t>
    </rPh>
    <phoneticPr fontId="15"/>
  </si>
  <si>
    <t>2.　表の途中に「行追加」ボタンで追加</t>
    <rPh sb="3" eb="4">
      <t>ヒョウ</t>
    </rPh>
    <rPh sb="5" eb="7">
      <t>トチュウ</t>
    </rPh>
    <rPh sb="9" eb="10">
      <t>ギョウ</t>
    </rPh>
    <rPh sb="10" eb="12">
      <t>ツイカ</t>
    </rPh>
    <rPh sb="17" eb="19">
      <t>ツイカ</t>
    </rPh>
    <phoneticPr fontId="15"/>
  </si>
  <si>
    <t>表の途中に行を追加することもできます。</t>
    <rPh sb="0" eb="1">
      <t>ヒョウ</t>
    </rPh>
    <rPh sb="2" eb="4">
      <t>トチュウ</t>
    </rPh>
    <rPh sb="5" eb="6">
      <t>ギョウ</t>
    </rPh>
    <rPh sb="7" eb="9">
      <t>ツイカ</t>
    </rPh>
    <phoneticPr fontId="15"/>
  </si>
  <si>
    <t>追加したいところで、右クリックなどをして空の行を挿入します。</t>
    <rPh sb="0" eb="2">
      <t>ツイカ</t>
    </rPh>
    <rPh sb="10" eb="11">
      <t>ミギ</t>
    </rPh>
    <rPh sb="20" eb="21">
      <t>カラ</t>
    </rPh>
    <rPh sb="22" eb="23">
      <t>ギョウ</t>
    </rPh>
    <rPh sb="24" eb="26">
      <t>ソウニュウ</t>
    </rPh>
    <phoneticPr fontId="15"/>
  </si>
  <si>
    <t>その状態で「行追加」ボタンを押すと、空の行に追加されます。</t>
    <rPh sb="2" eb="4">
      <t>ジョウタイ</t>
    </rPh>
    <rPh sb="6" eb="7">
      <t>ギョウ</t>
    </rPh>
    <rPh sb="7" eb="9">
      <t>ツイカ</t>
    </rPh>
    <rPh sb="14" eb="15">
      <t>オ</t>
    </rPh>
    <rPh sb="18" eb="19">
      <t>クウ</t>
    </rPh>
    <rPh sb="20" eb="21">
      <t>ギョウ</t>
    </rPh>
    <rPh sb="22" eb="24">
      <t>ツイカ</t>
    </rPh>
    <phoneticPr fontId="15"/>
  </si>
  <si>
    <t>施設名はすぐ上の施設名がコピーされているので、同様に正しく変更します。</t>
    <rPh sb="0" eb="2">
      <t>シセツ</t>
    </rPh>
    <rPh sb="2" eb="3">
      <t>メイ</t>
    </rPh>
    <rPh sb="6" eb="7">
      <t>ウエ</t>
    </rPh>
    <rPh sb="8" eb="10">
      <t>シセツ</t>
    </rPh>
    <rPh sb="10" eb="11">
      <t>メイ</t>
    </rPh>
    <rPh sb="23" eb="25">
      <t>ドウヨウ</t>
    </rPh>
    <rPh sb="26" eb="27">
      <t>タダ</t>
    </rPh>
    <rPh sb="29" eb="31">
      <t>ヘンコウ</t>
    </rPh>
    <phoneticPr fontId="15"/>
  </si>
  <si>
    <t>この方法では1行ずつでなくても、複数行まとめて追加することもできます。</t>
    <rPh sb="2" eb="4">
      <t>ホウホウ</t>
    </rPh>
    <rPh sb="7" eb="8">
      <t>ギョウ</t>
    </rPh>
    <rPh sb="16" eb="18">
      <t>フクスウ</t>
    </rPh>
    <rPh sb="18" eb="19">
      <t>ギョウ</t>
    </rPh>
    <rPh sb="23" eb="25">
      <t>ツイカ</t>
    </rPh>
    <phoneticPr fontId="15"/>
  </si>
  <si>
    <t>エクセルのコピー機能は使わずに、「行追加」ボタンを利用してください。</t>
    <rPh sb="8" eb="10">
      <t>キノウ</t>
    </rPh>
    <rPh sb="11" eb="12">
      <t>ツカ</t>
    </rPh>
    <rPh sb="17" eb="18">
      <t>ギョウ</t>
    </rPh>
    <rPh sb="18" eb="20">
      <t>ツイカ</t>
    </rPh>
    <rPh sb="25" eb="27">
      <t>リヨウ</t>
    </rPh>
    <phoneticPr fontId="15"/>
  </si>
  <si>
    <t>3.　「行追加」ボタンを使わず追加</t>
    <rPh sb="4" eb="5">
      <t>ギョウ</t>
    </rPh>
    <rPh sb="5" eb="7">
      <t>ツイカ</t>
    </rPh>
    <rPh sb="12" eb="13">
      <t>ツカ</t>
    </rPh>
    <rPh sb="15" eb="17">
      <t>ツイカ</t>
    </rPh>
    <phoneticPr fontId="15"/>
  </si>
  <si>
    <t>マクロが使えないなどの理由で「行追加」ボタンを使わない場合は、</t>
    <rPh sb="4" eb="5">
      <t>ツカ</t>
    </rPh>
    <rPh sb="11" eb="13">
      <t>リユウ</t>
    </rPh>
    <rPh sb="15" eb="16">
      <t>ギョウ</t>
    </rPh>
    <rPh sb="16" eb="18">
      <t>ツイカ</t>
    </rPh>
    <rPh sb="23" eb="24">
      <t>ツカ</t>
    </rPh>
    <rPh sb="27" eb="29">
      <t>バアイ</t>
    </rPh>
    <phoneticPr fontId="15"/>
  </si>
  <si>
    <t>エクセルの行の挿入とコピーで行います.</t>
    <rPh sb="5" eb="6">
      <t>ギョウ</t>
    </rPh>
    <rPh sb="7" eb="9">
      <t>ソウニュウ</t>
    </rPh>
    <rPh sb="14" eb="15">
      <t>オコナ</t>
    </rPh>
    <phoneticPr fontId="15"/>
  </si>
  <si>
    <t>行を挿入するのは2と同じですが、コピーするときには「数式のみのコピー」の</t>
    <rPh sb="0" eb="1">
      <t>ギョウ</t>
    </rPh>
    <rPh sb="2" eb="4">
      <t>ソウニュウ</t>
    </rPh>
    <rPh sb="10" eb="11">
      <t>オナ</t>
    </rPh>
    <rPh sb="26" eb="28">
      <t>スウシキ</t>
    </rPh>
    <phoneticPr fontId="15"/>
  </si>
  <si>
    <t>方法でコピーをします.</t>
    <rPh sb="0" eb="2">
      <t>ホウホウ</t>
    </rPh>
    <phoneticPr fontId="15"/>
  </si>
  <si>
    <t>具体的なやり方は検索などで確認を.</t>
    <rPh sb="0" eb="3">
      <t>グタイテキ</t>
    </rPh>
    <rPh sb="6" eb="7">
      <t>カタ</t>
    </rPh>
    <rPh sb="8" eb="10">
      <t>ケンサク</t>
    </rPh>
    <rPh sb="13" eb="15">
      <t>カクニン</t>
    </rPh>
    <phoneticPr fontId="15"/>
  </si>
  <si>
    <t>　削除する場合</t>
    <rPh sb="1" eb="3">
      <t>サクジョ</t>
    </rPh>
    <rPh sb="5" eb="7">
      <t>バアイ</t>
    </rPh>
    <phoneticPr fontId="15"/>
  </si>
  <si>
    <t>条件付き書式設定が正しく反映されなくなります。</t>
    <rPh sb="0" eb="2">
      <t>ジョウケン</t>
    </rPh>
    <rPh sb="2" eb="3">
      <t>ツ</t>
    </rPh>
    <rPh sb="4" eb="6">
      <t>ショシキ</t>
    </rPh>
    <rPh sb="6" eb="8">
      <t>セッテイ</t>
    </rPh>
    <rPh sb="9" eb="10">
      <t>タダ</t>
    </rPh>
    <rPh sb="12" eb="14">
      <t>ハンエイ</t>
    </rPh>
    <phoneticPr fontId="15"/>
  </si>
  <si>
    <t>不要となった施設の行は、エクセルの行削除で削除できます.</t>
    <rPh sb="0" eb="2">
      <t>フヨウ</t>
    </rPh>
    <rPh sb="6" eb="8">
      <t>シセツ</t>
    </rPh>
    <rPh sb="9" eb="10">
      <t>ギョウ</t>
    </rPh>
    <rPh sb="17" eb="18">
      <t>ギョウ</t>
    </rPh>
    <rPh sb="18" eb="20">
      <t>サクジョ</t>
    </rPh>
    <rPh sb="21" eb="23">
      <t>サクジョ</t>
    </rPh>
    <phoneticPr fontId="15"/>
  </si>
  <si>
    <t>または、レベルを0にするという方法で合算値に反映させなくする方法もあります.</t>
    <rPh sb="15" eb="17">
      <t>ホウホウ</t>
    </rPh>
    <rPh sb="18" eb="20">
      <t>ガッサン</t>
    </rPh>
    <rPh sb="20" eb="21">
      <t>チ</t>
    </rPh>
    <rPh sb="22" eb="24">
      <t>ハンエイ</t>
    </rPh>
    <rPh sb="30" eb="32">
      <t>ホウホウ</t>
    </rPh>
    <phoneticPr fontId="15"/>
  </si>
  <si>
    <t>　目次</t>
    <rPh sb="1" eb="3">
      <t>モクジ</t>
    </rPh>
    <phoneticPr fontId="15"/>
  </si>
  <si>
    <t>はじめに</t>
    <phoneticPr fontId="15"/>
  </si>
  <si>
    <t>動作環境</t>
    <rPh sb="0" eb="2">
      <t>ドウサ</t>
    </rPh>
    <rPh sb="2" eb="4">
      <t>カンキョウ</t>
    </rPh>
    <phoneticPr fontId="15"/>
  </si>
  <si>
    <t>その他</t>
    <rPh sb="2" eb="3">
      <t>タ</t>
    </rPh>
    <phoneticPr fontId="15"/>
  </si>
  <si>
    <t>「Myリゾート」の使い方</t>
    <rPh sb="9" eb="10">
      <t>ツカ</t>
    </rPh>
    <rPh sb="11" eb="12">
      <t>カタ</t>
    </rPh>
    <phoneticPr fontId="15"/>
  </si>
  <si>
    <t>「全一覧」の使い方</t>
    <rPh sb="1" eb="2">
      <t>ゼン</t>
    </rPh>
    <rPh sb="2" eb="4">
      <t>イチラン</t>
    </rPh>
    <rPh sb="6" eb="7">
      <t>ツカ</t>
    </rPh>
    <rPh sb="8" eb="9">
      <t>カタ</t>
    </rPh>
    <phoneticPr fontId="15"/>
  </si>
  <si>
    <t>「元データ」の使い方</t>
    <rPh sb="1" eb="2">
      <t>モト</t>
    </rPh>
    <rPh sb="7" eb="8">
      <t>ツカ</t>
    </rPh>
    <rPh sb="9" eb="10">
      <t>カタ</t>
    </rPh>
    <phoneticPr fontId="15"/>
  </si>
</sst>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76" formatCode="#,##0_ "/>
    <numFmt numFmtId="177" formatCode="#,##0_);[Red]\(#,##0\)"/>
    <numFmt numFmtId="178" formatCode="#,##0.0_ "/>
    <numFmt numFmtId="179" formatCode="0.000_);[Red]\(0.000\)"/>
    <numFmt numFmtId="180" formatCode="#,##0.00_ "/>
    <numFmt numFmtId="181" formatCode="#,##0.00_);[Red]\(#,##0.00\)"/>
    <numFmt numFmtId="182" formatCode="0.000_ "/>
    <numFmt numFmtId="183" formatCode="#,##0.0_);[Red]\(#,##0.0\)"/>
    <numFmt numFmtId="184" formatCode="#,##0.0000_);[Red]\(#,##0.0000\)"/>
    <numFmt numFmtId="185" formatCode="0_ "/>
    <numFmt numFmtId="186" formatCode="0.00_ "/>
    <numFmt numFmtId="187" formatCode="#,##0_ ;[Red]\-#,##0\ "/>
    <numFmt numFmtId="188" formatCode="#,##0.000_ "/>
    <numFmt numFmtId="189" formatCode="0.0%"/>
  </numFmts>
  <fonts count="57">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b/>
      <sz val="11"/>
      <color theme="1"/>
      <name val="ＭＳ Ｐゴシック"/>
      <family val="3"/>
      <charset val="128"/>
      <scheme val="minor"/>
    </font>
    <font>
      <sz val="11"/>
      <color theme="1"/>
      <name val="ＭＳ Ｐゴシック"/>
      <family val="3"/>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0"/>
      <name val="Arial"/>
      <family val="2"/>
    </font>
    <font>
      <sz val="8"/>
      <color theme="1"/>
      <name val="ＭＳ Ｐゴシック"/>
      <family val="2"/>
      <scheme val="minor"/>
    </font>
    <font>
      <sz val="8"/>
      <color theme="1"/>
      <name val="ＭＳ Ｐゴシック"/>
      <family val="3"/>
      <charset val="128"/>
      <scheme val="minor"/>
    </font>
    <font>
      <sz val="9"/>
      <color theme="1"/>
      <name val="ＭＳ Ｐゴシック"/>
      <family val="2"/>
      <scheme val="minor"/>
    </font>
    <font>
      <sz val="9"/>
      <color theme="1"/>
      <name val="ＭＳ Ｐゴシック"/>
      <family val="3"/>
      <charset val="128"/>
      <scheme val="minor"/>
    </font>
    <font>
      <b/>
      <sz val="9"/>
      <color theme="1"/>
      <name val="ＭＳ Ｐゴシック"/>
      <family val="3"/>
      <charset val="128"/>
      <scheme val="minor"/>
    </font>
    <font>
      <sz val="11"/>
      <name val="ＭＳ Ｐゴシック"/>
      <family val="2"/>
      <scheme val="minor"/>
    </font>
    <font>
      <b/>
      <sz val="8"/>
      <color theme="1"/>
      <name val="ＭＳ Ｐゴシック"/>
      <family val="3"/>
      <charset val="128"/>
      <scheme val="minor"/>
    </font>
    <font>
      <sz val="11"/>
      <color rgb="FFFF0000"/>
      <name val="ＭＳ Ｐゴシック"/>
      <family val="2"/>
      <scheme val="minor"/>
    </font>
    <font>
      <b/>
      <sz val="10"/>
      <color theme="1"/>
      <name val="ＭＳ Ｐゴシック"/>
      <family val="3"/>
      <charset val="128"/>
      <scheme val="minor"/>
    </font>
    <font>
      <sz val="10"/>
      <color theme="1"/>
      <name val="ＭＳ Ｐゴシック"/>
      <family val="3"/>
      <charset val="128"/>
      <scheme val="minor"/>
    </font>
    <font>
      <sz val="11"/>
      <color rgb="FF000000"/>
      <name val="ＭＳ Ｐゴシック"/>
      <family val="2"/>
      <scheme val="minor"/>
    </font>
    <font>
      <sz val="11"/>
      <name val="ＭＳ Ｐゴシック"/>
      <family val="3"/>
      <charset val="128"/>
      <scheme val="minor"/>
    </font>
    <font>
      <sz val="11"/>
      <color rgb="FF000000"/>
      <name val="ＭＳ Ｐゴシック"/>
      <family val="3"/>
      <charset val="128"/>
    </font>
    <font>
      <sz val="9"/>
      <color rgb="FF000000"/>
      <name val="ＭＳ Ｐゴシック"/>
      <family val="3"/>
      <charset val="128"/>
    </font>
    <font>
      <sz val="11"/>
      <color theme="1"/>
      <name val="HG丸ｺﾞｼｯｸM-PRO"/>
      <family val="3"/>
      <charset val="128"/>
    </font>
    <font>
      <b/>
      <sz val="18"/>
      <color theme="1"/>
      <name val="HG丸ｺﾞｼｯｸM-PRO"/>
      <family val="3"/>
      <charset val="128"/>
    </font>
    <font>
      <b/>
      <sz val="18"/>
      <color theme="1"/>
      <name val="ＭＳ Ｐゴシック"/>
      <family val="2"/>
      <scheme val="minor"/>
    </font>
    <font>
      <b/>
      <sz val="11"/>
      <color theme="1"/>
      <name val="HG丸ｺﾞｼｯｸM-PRO"/>
      <family val="3"/>
      <charset val="128"/>
    </font>
    <font>
      <b/>
      <sz val="11"/>
      <color theme="0"/>
      <name val="HG丸ｺﾞｼｯｸM-PRO"/>
      <family val="3"/>
      <charset val="128"/>
    </font>
    <font>
      <b/>
      <sz val="11"/>
      <color theme="0"/>
      <name val="ＭＳ Ｐゴシック"/>
      <family val="2"/>
      <scheme val="minor"/>
    </font>
    <font>
      <sz val="9"/>
      <color theme="1"/>
      <name val="HG丸ｺﾞｼｯｸM-PRO"/>
      <family val="3"/>
      <charset val="128"/>
    </font>
    <font>
      <u/>
      <sz val="11"/>
      <color theme="10"/>
      <name val="ＭＳ Ｐゴシック"/>
      <family val="2"/>
      <scheme val="minor"/>
    </font>
  </fonts>
  <fills count="6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2" tint="-0.49998474074526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9" tint="0.3999450666829432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FDE9D9"/>
        <bgColor indexed="64"/>
      </patternFill>
    </fill>
    <fill>
      <patternFill patternType="solid">
        <fgColor rgb="FFDAEEF3"/>
        <bgColor indexed="64"/>
      </patternFill>
    </fill>
    <fill>
      <patternFill patternType="solid">
        <fgColor rgb="FFE4DFEC"/>
        <bgColor indexed="64"/>
      </patternFill>
    </fill>
    <fill>
      <patternFill patternType="solid">
        <fgColor rgb="FFEBF1DE"/>
        <bgColor indexed="64"/>
      </patternFill>
    </fill>
    <fill>
      <patternFill patternType="solid">
        <fgColor rgb="FFF2DCDB"/>
        <bgColor indexed="64"/>
      </patternFill>
    </fill>
    <fill>
      <patternFill patternType="solid">
        <fgColor rgb="FFDDD9C4"/>
        <bgColor indexed="64"/>
      </patternFill>
    </fill>
    <fill>
      <patternFill patternType="solid">
        <fgColor theme="0"/>
        <bgColor indexed="64"/>
      </patternFill>
    </fill>
    <fill>
      <patternFill patternType="solid">
        <fgColor theme="6" tint="0.59999389629810485"/>
        <bgColor theme="6" tint="-0.24994659260841701"/>
      </patternFill>
    </fill>
    <fill>
      <patternFill patternType="solid">
        <fgColor theme="6" tint="0.79998168889431442"/>
        <bgColor theme="6" tint="-0.24994659260841701"/>
      </patternFill>
    </fill>
    <fill>
      <patternFill patternType="solid">
        <fgColor theme="6" tint="-0.24994659260841701"/>
        <bgColor indexed="64"/>
      </patternFill>
    </fill>
  </fills>
  <borders count="139">
    <border>
      <left/>
      <right/>
      <top/>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double">
        <color indexed="64"/>
      </top>
      <bottom style="double">
        <color indexed="64"/>
      </bottom>
      <diagonal/>
    </border>
    <border>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double">
        <color indexed="64"/>
      </top>
      <bottom style="double">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double">
        <color indexed="64"/>
      </top>
      <bottom style="double">
        <color indexed="64"/>
      </bottom>
      <diagonal/>
    </border>
    <border>
      <left style="double">
        <color indexed="64"/>
      </left>
      <right style="thin">
        <color indexed="64"/>
      </right>
      <top/>
      <bottom style="medium">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double">
        <color indexed="64"/>
      </top>
      <bottom style="double">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double">
        <color indexed="64"/>
      </right>
      <top style="double">
        <color indexed="64"/>
      </top>
      <bottom style="double">
        <color indexed="64"/>
      </bottom>
      <diagonal/>
    </border>
    <border>
      <left style="thin">
        <color indexed="64"/>
      </left>
      <right style="thin">
        <color indexed="64"/>
      </right>
      <top style="double">
        <color indexed="64"/>
      </top>
      <bottom style="medium">
        <color indexed="64"/>
      </bottom>
      <diagonal/>
    </border>
    <border>
      <left/>
      <right style="thin">
        <color indexed="64"/>
      </right>
      <top style="medium">
        <color indexed="64"/>
      </top>
      <bottom style="double">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double">
        <color indexed="64"/>
      </right>
      <top style="double">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top style="double">
        <color indexed="64"/>
      </top>
      <bottom style="double">
        <color indexed="64"/>
      </bottom>
      <diagonal/>
    </border>
    <border>
      <left style="double">
        <color indexed="64"/>
      </left>
      <right style="double">
        <color indexed="64"/>
      </right>
      <top/>
      <bottom style="medium">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medium">
        <color indexed="64"/>
      </bottom>
      <diagonal/>
    </border>
    <border>
      <left/>
      <right/>
      <top style="thin">
        <color indexed="64"/>
      </top>
      <bottom/>
      <diagonal/>
    </border>
    <border>
      <left style="thin">
        <color indexed="64"/>
      </left>
      <right style="double">
        <color indexed="64"/>
      </right>
      <top style="double">
        <color indexed="64"/>
      </top>
      <bottom style="medium">
        <color indexed="64"/>
      </bottom>
      <diagonal/>
    </border>
    <border>
      <left style="double">
        <color indexed="64"/>
      </left>
      <right/>
      <top style="thin">
        <color indexed="64"/>
      </top>
      <bottom style="thin">
        <color indexed="64"/>
      </bottom>
      <diagonal/>
    </border>
    <border>
      <left style="thin">
        <color indexed="64"/>
      </left>
      <right style="double">
        <color indexed="64"/>
      </right>
      <top style="thin">
        <color indexed="64"/>
      </top>
      <bottom/>
      <diagonal/>
    </border>
    <border>
      <left style="double">
        <color indexed="64"/>
      </left>
      <right/>
      <top/>
      <bottom style="thin">
        <color indexed="64"/>
      </bottom>
      <diagonal/>
    </border>
    <border>
      <left style="double">
        <color indexed="64"/>
      </left>
      <right style="thin">
        <color indexed="64"/>
      </right>
      <top style="thin">
        <color indexed="64"/>
      </top>
      <bottom/>
      <diagonal/>
    </border>
    <border>
      <left style="double">
        <color indexed="64"/>
      </left>
      <right style="double">
        <color indexed="64"/>
      </right>
      <top style="thin">
        <color indexed="64"/>
      </top>
      <bottom/>
      <diagonal/>
    </border>
    <border>
      <left style="medium">
        <color indexed="64"/>
      </left>
      <right style="thin">
        <color indexed="64"/>
      </right>
      <top/>
      <bottom style="thin">
        <color indexed="64"/>
      </bottom>
      <diagonal/>
    </border>
    <border>
      <left/>
      <right/>
      <top style="medium">
        <color indexed="64"/>
      </top>
      <bottom/>
      <diagonal/>
    </border>
    <border>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double">
        <color indexed="64"/>
      </top>
      <bottom style="double">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double">
        <color indexed="64"/>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double">
        <color indexed="64"/>
      </top>
      <bottom/>
      <diagonal/>
    </border>
    <border>
      <left style="double">
        <color indexed="64"/>
      </left>
      <right style="double">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right style="double">
        <color indexed="64"/>
      </right>
      <top style="medium">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top style="thin">
        <color indexed="64"/>
      </top>
      <bottom style="medium">
        <color indexed="64"/>
      </bottom>
      <diagonal/>
    </border>
    <border>
      <left style="thin">
        <color indexed="64"/>
      </left>
      <right style="double">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double">
        <color indexed="64"/>
      </right>
      <top style="double">
        <color indexed="64"/>
      </top>
      <bottom/>
      <diagonal/>
    </border>
    <border>
      <left style="medium">
        <color indexed="64"/>
      </left>
      <right style="double">
        <color indexed="64"/>
      </right>
      <top/>
      <bottom style="medium">
        <color indexed="64"/>
      </bottom>
      <diagonal/>
    </border>
    <border>
      <left style="double">
        <color indexed="64"/>
      </left>
      <right/>
      <top style="double">
        <color indexed="64"/>
      </top>
      <bottom style="medium">
        <color indexed="64"/>
      </bottom>
      <diagonal/>
    </border>
    <border>
      <left style="double">
        <color indexed="64"/>
      </left>
      <right style="thin">
        <color indexed="64"/>
      </right>
      <top style="medium">
        <color indexed="64"/>
      </top>
      <bottom style="double">
        <color indexed="64"/>
      </bottom>
      <diagonal/>
    </border>
    <border>
      <left style="thin">
        <color indexed="64"/>
      </left>
      <right style="double">
        <color indexed="64"/>
      </right>
      <top style="medium">
        <color indexed="64"/>
      </top>
      <bottom style="double">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medium">
        <color indexed="64"/>
      </bottom>
      <diagonal/>
    </border>
    <border>
      <left style="thin">
        <color indexed="64"/>
      </left>
      <right style="medium">
        <color indexed="64"/>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double">
        <color indexed="64"/>
      </top>
      <bottom style="thin">
        <color indexed="64"/>
      </bottom>
      <diagonal/>
    </border>
    <border>
      <left/>
      <right style="double">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6" tint="-0.24994659260841701"/>
      </left>
      <right/>
      <top style="thin">
        <color theme="6" tint="-0.24994659260841701"/>
      </top>
      <bottom/>
      <diagonal/>
    </border>
    <border>
      <left/>
      <right/>
      <top style="thin">
        <color theme="6" tint="-0.24994659260841701"/>
      </top>
      <bottom/>
      <diagonal/>
    </border>
    <border>
      <left/>
      <right style="thin">
        <color theme="6" tint="-0.24994659260841701"/>
      </right>
      <top style="thin">
        <color theme="6" tint="-0.24994659260841701"/>
      </top>
      <bottom/>
      <diagonal/>
    </border>
    <border>
      <left style="thin">
        <color theme="6" tint="-0.24994659260841701"/>
      </left>
      <right/>
      <top/>
      <bottom style="thin">
        <color theme="6" tint="-0.24994659260841701"/>
      </bottom>
      <diagonal/>
    </border>
    <border>
      <left/>
      <right/>
      <top/>
      <bottom style="thin">
        <color theme="6" tint="-0.24994659260841701"/>
      </bottom>
      <diagonal/>
    </border>
    <border>
      <left/>
      <right style="thin">
        <color theme="6" tint="-0.24994659260841701"/>
      </right>
      <top/>
      <bottom style="thin">
        <color theme="6" tint="-0.24994659260841701"/>
      </bottom>
      <diagonal/>
    </border>
    <border>
      <left style="thick">
        <color theme="6" tint="0.39994506668294322"/>
      </left>
      <right/>
      <top style="thick">
        <color theme="6" tint="0.39994506668294322"/>
      </top>
      <bottom/>
      <diagonal/>
    </border>
    <border>
      <left/>
      <right/>
      <top style="thick">
        <color theme="6" tint="0.39994506668294322"/>
      </top>
      <bottom/>
      <diagonal/>
    </border>
    <border>
      <left/>
      <right style="thick">
        <color theme="6" tint="0.39994506668294322"/>
      </right>
      <top style="thick">
        <color theme="6" tint="0.39994506668294322"/>
      </top>
      <bottom/>
      <diagonal/>
    </border>
    <border>
      <left style="thick">
        <color theme="6" tint="0.39994506668294322"/>
      </left>
      <right/>
      <top/>
      <bottom/>
      <diagonal/>
    </border>
    <border>
      <left/>
      <right style="thick">
        <color theme="6" tint="0.39994506668294322"/>
      </right>
      <top/>
      <bottom/>
      <diagonal/>
    </border>
    <border>
      <left style="thick">
        <color theme="6" tint="0.39994506668294322"/>
      </left>
      <right/>
      <top/>
      <bottom style="thick">
        <color theme="6" tint="0.39994506668294322"/>
      </bottom>
      <diagonal/>
    </border>
    <border>
      <left/>
      <right/>
      <top/>
      <bottom style="thick">
        <color theme="6" tint="0.39994506668294322"/>
      </bottom>
      <diagonal/>
    </border>
    <border>
      <left/>
      <right style="thick">
        <color theme="6" tint="0.39994506668294322"/>
      </right>
      <top/>
      <bottom style="thick">
        <color theme="6" tint="0.39994506668294322"/>
      </bottom>
      <diagonal/>
    </border>
    <border>
      <left style="thin">
        <color theme="6" tint="0.79998168889431442"/>
      </left>
      <right/>
      <top style="thin">
        <color theme="6" tint="0.79998168889431442"/>
      </top>
      <bottom/>
      <diagonal/>
    </border>
    <border>
      <left/>
      <right/>
      <top style="thin">
        <color theme="6" tint="0.79998168889431442"/>
      </top>
      <bottom/>
      <diagonal/>
    </border>
    <border>
      <left/>
      <right style="thin">
        <color theme="6" tint="0.79998168889431442"/>
      </right>
      <top style="thin">
        <color theme="6" tint="0.79998168889431442"/>
      </top>
      <bottom/>
      <diagonal/>
    </border>
    <border>
      <left style="thin">
        <color theme="6" tint="0.79998168889431442"/>
      </left>
      <right/>
      <top/>
      <bottom style="thin">
        <color theme="6" tint="0.79998168889431442"/>
      </bottom>
      <diagonal/>
    </border>
    <border>
      <left/>
      <right/>
      <top/>
      <bottom style="thin">
        <color theme="6" tint="0.79998168889431442"/>
      </bottom>
      <diagonal/>
    </border>
    <border>
      <left/>
      <right style="thin">
        <color theme="6" tint="0.79998168889431442"/>
      </right>
      <top/>
      <bottom style="thin">
        <color theme="6" tint="0.79998168889431442"/>
      </bottom>
      <diagonal/>
    </border>
    <border>
      <left style="thin">
        <color theme="6" tint="0.39994506668294322"/>
      </left>
      <right/>
      <top style="thin">
        <color theme="6" tint="0.39994506668294322"/>
      </top>
      <bottom style="thin">
        <color theme="6" tint="0.39991454817346722"/>
      </bottom>
      <diagonal/>
    </border>
    <border>
      <left/>
      <right style="thin">
        <color theme="6" tint="0.39994506668294322"/>
      </right>
      <top style="thin">
        <color theme="6" tint="0.39994506668294322"/>
      </top>
      <bottom style="thin">
        <color theme="6" tint="0.39991454817346722"/>
      </bottom>
      <diagonal/>
    </border>
  </borders>
  <cellStyleXfs count="1856">
    <xf numFmtId="0" fontId="0" fillId="0" borderId="0"/>
    <xf numFmtId="0" fontId="18" fillId="0" borderId="0" applyNumberFormat="0" applyFill="0" applyBorder="0" applyAlignment="0" applyProtection="0">
      <alignment vertical="center"/>
    </xf>
    <xf numFmtId="0" fontId="19" fillId="0" borderId="2" applyNumberFormat="0" applyFill="0" applyAlignment="0" applyProtection="0">
      <alignment vertical="center"/>
    </xf>
    <xf numFmtId="0" fontId="20" fillId="0" borderId="3" applyNumberFormat="0" applyFill="0" applyAlignment="0" applyProtection="0">
      <alignment vertical="center"/>
    </xf>
    <xf numFmtId="0" fontId="21" fillId="0" borderId="4" applyNumberFormat="0" applyFill="0" applyAlignment="0" applyProtection="0">
      <alignment vertical="center"/>
    </xf>
    <xf numFmtId="0" fontId="21" fillId="0" borderId="0" applyNumberFormat="0" applyFill="0" applyBorder="0" applyAlignment="0" applyProtection="0">
      <alignment vertical="center"/>
    </xf>
    <xf numFmtId="0" fontId="22" fillId="2" borderId="0" applyNumberFormat="0" applyBorder="0" applyAlignment="0" applyProtection="0">
      <alignment vertical="center"/>
    </xf>
    <xf numFmtId="0" fontId="23" fillId="3" borderId="0" applyNumberFormat="0" applyBorder="0" applyAlignment="0" applyProtection="0">
      <alignment vertical="center"/>
    </xf>
    <xf numFmtId="0" fontId="24" fillId="4" borderId="0" applyNumberFormat="0" applyBorder="0" applyAlignment="0" applyProtection="0">
      <alignment vertical="center"/>
    </xf>
    <xf numFmtId="0" fontId="25" fillId="5" borderId="5" applyNumberFormat="0" applyAlignment="0" applyProtection="0">
      <alignment vertical="center"/>
    </xf>
    <xf numFmtId="0" fontId="26" fillId="6" borderId="6" applyNumberFormat="0" applyAlignment="0" applyProtection="0">
      <alignment vertical="center"/>
    </xf>
    <xf numFmtId="0" fontId="27" fillId="6" borderId="5" applyNumberFormat="0" applyAlignment="0" applyProtection="0">
      <alignment vertical="center"/>
    </xf>
    <xf numFmtId="0" fontId="28" fillId="0" borderId="7" applyNumberFormat="0" applyFill="0" applyAlignment="0" applyProtection="0">
      <alignment vertical="center"/>
    </xf>
    <xf numFmtId="0" fontId="29" fillId="7" borderId="8" applyNumberFormat="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10" applyNumberFormat="0" applyFill="0" applyAlignment="0" applyProtection="0">
      <alignment vertical="center"/>
    </xf>
    <xf numFmtId="0" fontId="33" fillId="9" borderId="0" applyNumberFormat="0" applyBorder="0" applyAlignment="0" applyProtection="0">
      <alignment vertical="center"/>
    </xf>
    <xf numFmtId="0" fontId="14" fillId="10" borderId="0" applyNumberFormat="0" applyBorder="0" applyAlignment="0" applyProtection="0">
      <alignment vertical="center"/>
    </xf>
    <xf numFmtId="0" fontId="14" fillId="11" borderId="0" applyNumberFormat="0" applyBorder="0" applyAlignment="0" applyProtection="0">
      <alignment vertical="center"/>
    </xf>
    <xf numFmtId="0" fontId="33" fillId="12" borderId="0" applyNumberFormat="0" applyBorder="0" applyAlignment="0" applyProtection="0">
      <alignment vertical="center"/>
    </xf>
    <xf numFmtId="0" fontId="33" fillId="13"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14" fillId="18" borderId="0" applyNumberFormat="0" applyBorder="0" applyAlignment="0" applyProtection="0">
      <alignment vertical="center"/>
    </xf>
    <xf numFmtId="0" fontId="14" fillId="19" borderId="0" applyNumberFormat="0" applyBorder="0" applyAlignment="0" applyProtection="0">
      <alignment vertical="center"/>
    </xf>
    <xf numFmtId="0" fontId="33" fillId="20" borderId="0" applyNumberFormat="0" applyBorder="0" applyAlignment="0" applyProtection="0">
      <alignment vertical="center"/>
    </xf>
    <xf numFmtId="0" fontId="33" fillId="21" borderId="0" applyNumberFormat="0" applyBorder="0" applyAlignment="0" applyProtection="0">
      <alignment vertical="center"/>
    </xf>
    <xf numFmtId="0" fontId="14" fillId="22" borderId="0" applyNumberFormat="0" applyBorder="0" applyAlignment="0" applyProtection="0">
      <alignment vertical="center"/>
    </xf>
    <xf numFmtId="0" fontId="14" fillId="23" borderId="0" applyNumberFormat="0" applyBorder="0" applyAlignment="0" applyProtection="0">
      <alignment vertical="center"/>
    </xf>
    <xf numFmtId="0" fontId="33" fillId="24" borderId="0" applyNumberFormat="0" applyBorder="0" applyAlignment="0" applyProtection="0">
      <alignment vertical="center"/>
    </xf>
    <xf numFmtId="0" fontId="33" fillId="25" borderId="0" applyNumberFormat="0" applyBorder="0" applyAlignment="0" applyProtection="0">
      <alignment vertical="center"/>
    </xf>
    <xf numFmtId="0" fontId="14" fillId="26" borderId="0" applyNumberFormat="0" applyBorder="0" applyAlignment="0" applyProtection="0">
      <alignment vertical="center"/>
    </xf>
    <xf numFmtId="0" fontId="14" fillId="27" borderId="0" applyNumberFormat="0" applyBorder="0" applyAlignment="0" applyProtection="0">
      <alignment vertical="center"/>
    </xf>
    <xf numFmtId="0" fontId="33" fillId="28" borderId="0" applyNumberFormat="0" applyBorder="0" applyAlignment="0" applyProtection="0">
      <alignment vertical="center"/>
    </xf>
    <xf numFmtId="0" fontId="33"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33" fillId="32" borderId="0" applyNumberFormat="0" applyBorder="0" applyAlignment="0" applyProtection="0">
      <alignment vertical="center"/>
    </xf>
    <xf numFmtId="0" fontId="14" fillId="0" borderId="0">
      <alignment vertical="center"/>
    </xf>
    <xf numFmtId="0" fontId="14" fillId="8" borderId="9" applyNumberFormat="0" applyFont="0" applyAlignment="0" applyProtection="0">
      <alignment vertical="center"/>
    </xf>
    <xf numFmtId="0" fontId="14" fillId="0" borderId="0">
      <alignment vertical="center"/>
    </xf>
    <xf numFmtId="0" fontId="14" fillId="8" borderId="9" applyNumberFormat="0" applyFont="0" applyAlignment="0" applyProtection="0">
      <alignment vertical="center"/>
    </xf>
    <xf numFmtId="0" fontId="14" fillId="10" borderId="0" applyNumberFormat="0" applyBorder="0" applyAlignment="0" applyProtection="0">
      <alignment vertical="center"/>
    </xf>
    <xf numFmtId="0" fontId="14" fillId="11"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14" fillId="18" borderId="0" applyNumberFormat="0" applyBorder="0" applyAlignment="0" applyProtection="0">
      <alignment vertical="center"/>
    </xf>
    <xf numFmtId="0" fontId="14" fillId="19" borderId="0" applyNumberFormat="0" applyBorder="0" applyAlignment="0" applyProtection="0">
      <alignment vertical="center"/>
    </xf>
    <xf numFmtId="0" fontId="14" fillId="22" borderId="0" applyNumberFormat="0" applyBorder="0" applyAlignment="0" applyProtection="0">
      <alignment vertical="center"/>
    </xf>
    <xf numFmtId="0" fontId="14" fillId="23" borderId="0" applyNumberFormat="0" applyBorder="0" applyAlignment="0" applyProtection="0">
      <alignment vertical="center"/>
    </xf>
    <xf numFmtId="0" fontId="14" fillId="26" borderId="0" applyNumberFormat="0" applyBorder="0" applyAlignment="0" applyProtection="0">
      <alignment vertical="center"/>
    </xf>
    <xf numFmtId="0" fontId="14" fillId="27"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4" fillId="0" borderId="0">
      <alignment vertical="center"/>
    </xf>
    <xf numFmtId="0" fontId="14" fillId="8" borderId="9" applyNumberFormat="0" applyFont="0" applyAlignment="0" applyProtection="0">
      <alignment vertical="center"/>
    </xf>
    <xf numFmtId="0" fontId="14" fillId="10" borderId="0" applyNumberFormat="0" applyBorder="0" applyAlignment="0" applyProtection="0">
      <alignment vertical="center"/>
    </xf>
    <xf numFmtId="0" fontId="14" fillId="11" borderId="0" applyNumberFormat="0" applyBorder="0" applyAlignment="0" applyProtection="0">
      <alignment vertical="center"/>
    </xf>
    <xf numFmtId="0" fontId="14" fillId="14" borderId="0" applyNumberFormat="0" applyBorder="0" applyAlignment="0" applyProtection="0">
      <alignment vertical="center"/>
    </xf>
    <xf numFmtId="0" fontId="14" fillId="15" borderId="0" applyNumberFormat="0" applyBorder="0" applyAlignment="0" applyProtection="0">
      <alignment vertical="center"/>
    </xf>
    <xf numFmtId="0" fontId="14" fillId="18" borderId="0" applyNumberFormat="0" applyBorder="0" applyAlignment="0" applyProtection="0">
      <alignment vertical="center"/>
    </xf>
    <xf numFmtId="0" fontId="14" fillId="19" borderId="0" applyNumberFormat="0" applyBorder="0" applyAlignment="0" applyProtection="0">
      <alignment vertical="center"/>
    </xf>
    <xf numFmtId="0" fontId="14" fillId="22" borderId="0" applyNumberFormat="0" applyBorder="0" applyAlignment="0" applyProtection="0">
      <alignment vertical="center"/>
    </xf>
    <xf numFmtId="0" fontId="14" fillId="23" borderId="0" applyNumberFormat="0" applyBorder="0" applyAlignment="0" applyProtection="0">
      <alignment vertical="center"/>
    </xf>
    <xf numFmtId="0" fontId="14" fillId="26" borderId="0" applyNumberFormat="0" applyBorder="0" applyAlignment="0" applyProtection="0">
      <alignment vertical="center"/>
    </xf>
    <xf numFmtId="0" fontId="14" fillId="27"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14" borderId="0" applyNumberFormat="0" applyBorder="0" applyAlignment="0" applyProtection="0">
      <alignment vertical="center"/>
    </xf>
    <xf numFmtId="0" fontId="13" fillId="15" borderId="0" applyNumberFormat="0" applyBorder="0" applyAlignment="0" applyProtection="0">
      <alignment vertical="center"/>
    </xf>
    <xf numFmtId="0" fontId="13" fillId="18" borderId="0" applyNumberFormat="0" applyBorder="0" applyAlignment="0" applyProtection="0">
      <alignment vertical="center"/>
    </xf>
    <xf numFmtId="0" fontId="13" fillId="19" borderId="0" applyNumberFormat="0" applyBorder="0" applyAlignment="0" applyProtection="0">
      <alignment vertical="center"/>
    </xf>
    <xf numFmtId="0" fontId="13" fillId="22" borderId="0" applyNumberFormat="0" applyBorder="0" applyAlignment="0" applyProtection="0">
      <alignment vertical="center"/>
    </xf>
    <xf numFmtId="0" fontId="13" fillId="23" borderId="0" applyNumberFormat="0" applyBorder="0" applyAlignment="0" applyProtection="0">
      <alignment vertical="center"/>
    </xf>
    <xf numFmtId="0" fontId="13" fillId="26" borderId="0" applyNumberFormat="0" applyBorder="0" applyAlignment="0" applyProtection="0">
      <alignment vertical="center"/>
    </xf>
    <xf numFmtId="0" fontId="13" fillId="27"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3" fillId="0" borderId="0">
      <alignment vertical="center"/>
    </xf>
    <xf numFmtId="0" fontId="13" fillId="8" borderId="9" applyNumberFormat="0" applyFont="0" applyAlignment="0" applyProtection="0">
      <alignment vertical="center"/>
    </xf>
    <xf numFmtId="0" fontId="13" fillId="0" borderId="0">
      <alignment vertical="center"/>
    </xf>
    <xf numFmtId="0" fontId="13" fillId="8" borderId="9" applyNumberFormat="0" applyFont="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14" borderId="0" applyNumberFormat="0" applyBorder="0" applyAlignment="0" applyProtection="0">
      <alignment vertical="center"/>
    </xf>
    <xf numFmtId="0" fontId="13" fillId="15" borderId="0" applyNumberFormat="0" applyBorder="0" applyAlignment="0" applyProtection="0">
      <alignment vertical="center"/>
    </xf>
    <xf numFmtId="0" fontId="13" fillId="18" borderId="0" applyNumberFormat="0" applyBorder="0" applyAlignment="0" applyProtection="0">
      <alignment vertical="center"/>
    </xf>
    <xf numFmtId="0" fontId="13" fillId="19" borderId="0" applyNumberFormat="0" applyBorder="0" applyAlignment="0" applyProtection="0">
      <alignment vertical="center"/>
    </xf>
    <xf numFmtId="0" fontId="13" fillId="22" borderId="0" applyNumberFormat="0" applyBorder="0" applyAlignment="0" applyProtection="0">
      <alignment vertical="center"/>
    </xf>
    <xf numFmtId="0" fontId="13" fillId="23" borderId="0" applyNumberFormat="0" applyBorder="0" applyAlignment="0" applyProtection="0">
      <alignment vertical="center"/>
    </xf>
    <xf numFmtId="0" fontId="13" fillId="26" borderId="0" applyNumberFormat="0" applyBorder="0" applyAlignment="0" applyProtection="0">
      <alignment vertical="center"/>
    </xf>
    <xf numFmtId="0" fontId="13" fillId="27"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3" fillId="0" borderId="0">
      <alignment vertical="center"/>
    </xf>
    <xf numFmtId="0" fontId="13" fillId="8" borderId="9" applyNumberFormat="0" applyFont="0" applyAlignment="0" applyProtection="0">
      <alignment vertical="center"/>
    </xf>
    <xf numFmtId="0" fontId="13" fillId="10" borderId="0" applyNumberFormat="0" applyBorder="0" applyAlignment="0" applyProtection="0">
      <alignment vertical="center"/>
    </xf>
    <xf numFmtId="0" fontId="13" fillId="11" borderId="0" applyNumberFormat="0" applyBorder="0" applyAlignment="0" applyProtection="0">
      <alignment vertical="center"/>
    </xf>
    <xf numFmtId="0" fontId="13" fillId="14" borderId="0" applyNumberFormat="0" applyBorder="0" applyAlignment="0" applyProtection="0">
      <alignment vertical="center"/>
    </xf>
    <xf numFmtId="0" fontId="13" fillId="15" borderId="0" applyNumberFormat="0" applyBorder="0" applyAlignment="0" applyProtection="0">
      <alignment vertical="center"/>
    </xf>
    <xf numFmtId="0" fontId="13" fillId="18" borderId="0" applyNumberFormat="0" applyBorder="0" applyAlignment="0" applyProtection="0">
      <alignment vertical="center"/>
    </xf>
    <xf numFmtId="0" fontId="13" fillId="19" borderId="0" applyNumberFormat="0" applyBorder="0" applyAlignment="0" applyProtection="0">
      <alignment vertical="center"/>
    </xf>
    <xf numFmtId="0" fontId="13" fillId="22" borderId="0" applyNumberFormat="0" applyBorder="0" applyAlignment="0" applyProtection="0">
      <alignment vertical="center"/>
    </xf>
    <xf numFmtId="0" fontId="13" fillId="23" borderId="0" applyNumberFormat="0" applyBorder="0" applyAlignment="0" applyProtection="0">
      <alignment vertical="center"/>
    </xf>
    <xf numFmtId="0" fontId="13" fillId="26" borderId="0" applyNumberFormat="0" applyBorder="0" applyAlignment="0" applyProtection="0">
      <alignment vertical="center"/>
    </xf>
    <xf numFmtId="0" fontId="13" fillId="27"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22" borderId="0" applyNumberFormat="0" applyBorder="0" applyAlignment="0" applyProtection="0">
      <alignment vertical="center"/>
    </xf>
    <xf numFmtId="0" fontId="12" fillId="23" borderId="0" applyNumberFormat="0" applyBorder="0" applyAlignment="0" applyProtection="0">
      <alignment vertical="center"/>
    </xf>
    <xf numFmtId="0" fontId="12" fillId="26" borderId="0" applyNumberFormat="0" applyBorder="0" applyAlignment="0" applyProtection="0">
      <alignment vertical="center"/>
    </xf>
    <xf numFmtId="0" fontId="12" fillId="27" borderId="0" applyNumberFormat="0" applyBorder="0" applyAlignment="0" applyProtection="0">
      <alignment vertical="center"/>
    </xf>
    <xf numFmtId="0" fontId="12" fillId="30" borderId="0" applyNumberFormat="0" applyBorder="0" applyAlignment="0" applyProtection="0">
      <alignment vertical="center"/>
    </xf>
    <xf numFmtId="0" fontId="12" fillId="31" borderId="0" applyNumberFormat="0" applyBorder="0" applyAlignment="0" applyProtection="0">
      <alignment vertical="center"/>
    </xf>
    <xf numFmtId="0" fontId="12" fillId="0" borderId="0">
      <alignment vertical="center"/>
    </xf>
    <xf numFmtId="0" fontId="12" fillId="8" borderId="9" applyNumberFormat="0" applyFont="0" applyAlignment="0" applyProtection="0">
      <alignment vertical="center"/>
    </xf>
    <xf numFmtId="0" fontId="12" fillId="0" borderId="0">
      <alignment vertical="center"/>
    </xf>
    <xf numFmtId="0" fontId="12" fillId="8" borderId="9" applyNumberFormat="0" applyFont="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22" borderId="0" applyNumberFormat="0" applyBorder="0" applyAlignment="0" applyProtection="0">
      <alignment vertical="center"/>
    </xf>
    <xf numFmtId="0" fontId="12" fillId="23" borderId="0" applyNumberFormat="0" applyBorder="0" applyAlignment="0" applyProtection="0">
      <alignment vertical="center"/>
    </xf>
    <xf numFmtId="0" fontId="12" fillId="26" borderId="0" applyNumberFormat="0" applyBorder="0" applyAlignment="0" applyProtection="0">
      <alignment vertical="center"/>
    </xf>
    <xf numFmtId="0" fontId="12" fillId="27" borderId="0" applyNumberFormat="0" applyBorder="0" applyAlignment="0" applyProtection="0">
      <alignment vertical="center"/>
    </xf>
    <xf numFmtId="0" fontId="12" fillId="30" borderId="0" applyNumberFormat="0" applyBorder="0" applyAlignment="0" applyProtection="0">
      <alignment vertical="center"/>
    </xf>
    <xf numFmtId="0" fontId="12" fillId="31" borderId="0" applyNumberFormat="0" applyBorder="0" applyAlignment="0" applyProtection="0">
      <alignment vertical="center"/>
    </xf>
    <xf numFmtId="0" fontId="12" fillId="0" borderId="0">
      <alignment vertical="center"/>
    </xf>
    <xf numFmtId="0" fontId="12" fillId="8" borderId="9" applyNumberFormat="0" applyFont="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22" borderId="0" applyNumberFormat="0" applyBorder="0" applyAlignment="0" applyProtection="0">
      <alignment vertical="center"/>
    </xf>
    <xf numFmtId="0" fontId="12" fillId="23" borderId="0" applyNumberFormat="0" applyBorder="0" applyAlignment="0" applyProtection="0">
      <alignment vertical="center"/>
    </xf>
    <xf numFmtId="0" fontId="12" fillId="26" borderId="0" applyNumberFormat="0" applyBorder="0" applyAlignment="0" applyProtection="0">
      <alignment vertical="center"/>
    </xf>
    <xf numFmtId="0" fontId="12" fillId="27" borderId="0" applyNumberFormat="0" applyBorder="0" applyAlignment="0" applyProtection="0">
      <alignment vertical="center"/>
    </xf>
    <xf numFmtId="0" fontId="12" fillId="30" borderId="0" applyNumberFormat="0" applyBorder="0" applyAlignment="0" applyProtection="0">
      <alignment vertical="center"/>
    </xf>
    <xf numFmtId="0" fontId="12" fillId="31" borderId="0" applyNumberFormat="0" applyBorder="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18" borderId="0" applyNumberFormat="0" applyBorder="0" applyAlignment="0" applyProtection="0">
      <alignment vertical="center"/>
    </xf>
    <xf numFmtId="0" fontId="11" fillId="19"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1" fillId="30" borderId="0" applyNumberFormat="0" applyBorder="0" applyAlignment="0" applyProtection="0">
      <alignment vertical="center"/>
    </xf>
    <xf numFmtId="0" fontId="11" fillId="31" borderId="0" applyNumberFormat="0" applyBorder="0" applyAlignment="0" applyProtection="0">
      <alignment vertical="center"/>
    </xf>
    <xf numFmtId="0" fontId="11" fillId="0" borderId="0">
      <alignment vertical="center"/>
    </xf>
    <xf numFmtId="0" fontId="11" fillId="8" borderId="9" applyNumberFormat="0" applyFont="0" applyAlignment="0" applyProtection="0">
      <alignment vertical="center"/>
    </xf>
    <xf numFmtId="0" fontId="11" fillId="0" borderId="0">
      <alignment vertical="center"/>
    </xf>
    <xf numFmtId="0" fontId="11" fillId="8" borderId="9" applyNumberFormat="0" applyFont="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18" borderId="0" applyNumberFormat="0" applyBorder="0" applyAlignment="0" applyProtection="0">
      <alignment vertical="center"/>
    </xf>
    <xf numFmtId="0" fontId="11" fillId="19"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1" fillId="30" borderId="0" applyNumberFormat="0" applyBorder="0" applyAlignment="0" applyProtection="0">
      <alignment vertical="center"/>
    </xf>
    <xf numFmtId="0" fontId="11" fillId="31" borderId="0" applyNumberFormat="0" applyBorder="0" applyAlignment="0" applyProtection="0">
      <alignment vertical="center"/>
    </xf>
    <xf numFmtId="0" fontId="11" fillId="0" borderId="0">
      <alignment vertical="center"/>
    </xf>
    <xf numFmtId="0" fontId="11" fillId="8" borderId="9" applyNumberFormat="0" applyFont="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18" borderId="0" applyNumberFormat="0" applyBorder="0" applyAlignment="0" applyProtection="0">
      <alignment vertical="center"/>
    </xf>
    <xf numFmtId="0" fontId="11" fillId="19"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1" fillId="30" borderId="0" applyNumberFormat="0" applyBorder="0" applyAlignment="0" applyProtection="0">
      <alignment vertical="center"/>
    </xf>
    <xf numFmtId="0" fontId="11" fillId="31" borderId="0" applyNumberFormat="0" applyBorder="0" applyAlignment="0" applyProtection="0">
      <alignment vertical="center"/>
    </xf>
    <xf numFmtId="0" fontId="10" fillId="10" borderId="0" applyNumberFormat="0" applyBorder="0" applyAlignment="0" applyProtection="0">
      <alignment vertical="center"/>
    </xf>
    <xf numFmtId="0" fontId="10" fillId="11"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8" borderId="0" applyNumberFormat="0" applyBorder="0" applyAlignment="0" applyProtection="0">
      <alignment vertical="center"/>
    </xf>
    <xf numFmtId="0" fontId="10" fillId="19"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0" fillId="30" borderId="0" applyNumberFormat="0" applyBorder="0" applyAlignment="0" applyProtection="0">
      <alignment vertical="center"/>
    </xf>
    <xf numFmtId="0" fontId="10" fillId="31" borderId="0" applyNumberFormat="0" applyBorder="0" applyAlignment="0" applyProtection="0">
      <alignment vertical="center"/>
    </xf>
    <xf numFmtId="0" fontId="10" fillId="0" borderId="0">
      <alignment vertical="center"/>
    </xf>
    <xf numFmtId="0" fontId="10" fillId="8" borderId="9" applyNumberFormat="0" applyFont="0" applyAlignment="0" applyProtection="0">
      <alignment vertical="center"/>
    </xf>
    <xf numFmtId="0" fontId="10" fillId="0" borderId="0">
      <alignment vertical="center"/>
    </xf>
    <xf numFmtId="0" fontId="10" fillId="8" borderId="9" applyNumberFormat="0" applyFont="0" applyAlignment="0" applyProtection="0">
      <alignment vertical="center"/>
    </xf>
    <xf numFmtId="0" fontId="10" fillId="10" borderId="0" applyNumberFormat="0" applyBorder="0" applyAlignment="0" applyProtection="0">
      <alignment vertical="center"/>
    </xf>
    <xf numFmtId="0" fontId="10" fillId="11"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8" borderId="0" applyNumberFormat="0" applyBorder="0" applyAlignment="0" applyProtection="0">
      <alignment vertical="center"/>
    </xf>
    <xf numFmtId="0" fontId="10" fillId="19"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0" fillId="30" borderId="0" applyNumberFormat="0" applyBorder="0" applyAlignment="0" applyProtection="0">
      <alignment vertical="center"/>
    </xf>
    <xf numFmtId="0" fontId="10" fillId="31" borderId="0" applyNumberFormat="0" applyBorder="0" applyAlignment="0" applyProtection="0">
      <alignment vertical="center"/>
    </xf>
    <xf numFmtId="0" fontId="10" fillId="0" borderId="0">
      <alignment vertical="center"/>
    </xf>
    <xf numFmtId="0" fontId="10" fillId="8" borderId="9" applyNumberFormat="0" applyFont="0" applyAlignment="0" applyProtection="0">
      <alignment vertical="center"/>
    </xf>
    <xf numFmtId="0" fontId="10" fillId="10" borderId="0" applyNumberFormat="0" applyBorder="0" applyAlignment="0" applyProtection="0">
      <alignment vertical="center"/>
    </xf>
    <xf numFmtId="0" fontId="10" fillId="11"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8" borderId="0" applyNumberFormat="0" applyBorder="0" applyAlignment="0" applyProtection="0">
      <alignment vertical="center"/>
    </xf>
    <xf numFmtId="0" fontId="10" fillId="19"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0" fillId="30" borderId="0" applyNumberFormat="0" applyBorder="0" applyAlignment="0" applyProtection="0">
      <alignment vertical="center"/>
    </xf>
    <xf numFmtId="0" fontId="10" fillId="31" borderId="0" applyNumberFormat="0" applyBorder="0" applyAlignment="0" applyProtection="0">
      <alignment vertical="center"/>
    </xf>
    <xf numFmtId="0" fontId="9" fillId="10" borderId="0" applyNumberFormat="0" applyBorder="0" applyAlignment="0" applyProtection="0">
      <alignment vertical="center"/>
    </xf>
    <xf numFmtId="0" fontId="9" fillId="11" borderId="0" applyNumberFormat="0" applyBorder="0" applyAlignment="0" applyProtection="0">
      <alignment vertical="center"/>
    </xf>
    <xf numFmtId="0" fontId="9" fillId="14" borderId="0" applyNumberFormat="0" applyBorder="0" applyAlignment="0" applyProtection="0">
      <alignment vertical="center"/>
    </xf>
    <xf numFmtId="0" fontId="9" fillId="15" borderId="0" applyNumberFormat="0" applyBorder="0" applyAlignment="0" applyProtection="0">
      <alignment vertical="center"/>
    </xf>
    <xf numFmtId="0" fontId="9" fillId="18" borderId="0" applyNumberFormat="0" applyBorder="0" applyAlignment="0" applyProtection="0">
      <alignment vertical="center"/>
    </xf>
    <xf numFmtId="0" fontId="9" fillId="19" borderId="0" applyNumberFormat="0" applyBorder="0" applyAlignment="0" applyProtection="0">
      <alignment vertical="center"/>
    </xf>
    <xf numFmtId="0" fontId="9" fillId="22" borderId="0" applyNumberFormat="0" applyBorder="0" applyAlignment="0" applyProtection="0">
      <alignment vertical="center"/>
    </xf>
    <xf numFmtId="0" fontId="9" fillId="23" borderId="0" applyNumberFormat="0" applyBorder="0" applyAlignment="0" applyProtection="0">
      <alignment vertical="center"/>
    </xf>
    <xf numFmtId="0" fontId="9" fillId="26" borderId="0" applyNumberFormat="0" applyBorder="0" applyAlignment="0" applyProtection="0">
      <alignment vertical="center"/>
    </xf>
    <xf numFmtId="0" fontId="9" fillId="27" borderId="0" applyNumberFormat="0" applyBorder="0" applyAlignment="0" applyProtection="0">
      <alignment vertical="center"/>
    </xf>
    <xf numFmtId="0" fontId="9" fillId="30" borderId="0" applyNumberFormat="0" applyBorder="0" applyAlignment="0" applyProtection="0">
      <alignment vertical="center"/>
    </xf>
    <xf numFmtId="0" fontId="9" fillId="31" borderId="0" applyNumberFormat="0" applyBorder="0" applyAlignment="0" applyProtection="0">
      <alignment vertical="center"/>
    </xf>
    <xf numFmtId="0" fontId="9" fillId="0" borderId="0">
      <alignment vertical="center"/>
    </xf>
    <xf numFmtId="0" fontId="9" fillId="8" borderId="9" applyNumberFormat="0" applyFont="0" applyAlignment="0" applyProtection="0">
      <alignment vertical="center"/>
    </xf>
    <xf numFmtId="0" fontId="9" fillId="0" borderId="0">
      <alignment vertical="center"/>
    </xf>
    <xf numFmtId="0" fontId="9" fillId="8" borderId="9" applyNumberFormat="0" applyFont="0" applyAlignment="0" applyProtection="0">
      <alignment vertical="center"/>
    </xf>
    <xf numFmtId="0" fontId="9" fillId="10" borderId="0" applyNumberFormat="0" applyBorder="0" applyAlignment="0" applyProtection="0">
      <alignment vertical="center"/>
    </xf>
    <xf numFmtId="0" fontId="9" fillId="11" borderId="0" applyNumberFormat="0" applyBorder="0" applyAlignment="0" applyProtection="0">
      <alignment vertical="center"/>
    </xf>
    <xf numFmtId="0" fontId="9" fillId="14" borderId="0" applyNumberFormat="0" applyBorder="0" applyAlignment="0" applyProtection="0">
      <alignment vertical="center"/>
    </xf>
    <xf numFmtId="0" fontId="9" fillId="15" borderId="0" applyNumberFormat="0" applyBorder="0" applyAlignment="0" applyProtection="0">
      <alignment vertical="center"/>
    </xf>
    <xf numFmtId="0" fontId="9" fillId="18" borderId="0" applyNumberFormat="0" applyBorder="0" applyAlignment="0" applyProtection="0">
      <alignment vertical="center"/>
    </xf>
    <xf numFmtId="0" fontId="9" fillId="19" borderId="0" applyNumberFormat="0" applyBorder="0" applyAlignment="0" applyProtection="0">
      <alignment vertical="center"/>
    </xf>
    <xf numFmtId="0" fontId="9" fillId="22" borderId="0" applyNumberFormat="0" applyBorder="0" applyAlignment="0" applyProtection="0">
      <alignment vertical="center"/>
    </xf>
    <xf numFmtId="0" fontId="9" fillId="23" borderId="0" applyNumberFormat="0" applyBorder="0" applyAlignment="0" applyProtection="0">
      <alignment vertical="center"/>
    </xf>
    <xf numFmtId="0" fontId="9" fillId="26" borderId="0" applyNumberFormat="0" applyBorder="0" applyAlignment="0" applyProtection="0">
      <alignment vertical="center"/>
    </xf>
    <xf numFmtId="0" fontId="9" fillId="27" borderId="0" applyNumberFormat="0" applyBorder="0" applyAlignment="0" applyProtection="0">
      <alignment vertical="center"/>
    </xf>
    <xf numFmtId="0" fontId="9" fillId="30" borderId="0" applyNumberFormat="0" applyBorder="0" applyAlignment="0" applyProtection="0">
      <alignment vertical="center"/>
    </xf>
    <xf numFmtId="0" fontId="9" fillId="31" borderId="0" applyNumberFormat="0" applyBorder="0" applyAlignment="0" applyProtection="0">
      <alignment vertical="center"/>
    </xf>
    <xf numFmtId="0" fontId="9" fillId="0" borderId="0">
      <alignment vertical="center"/>
    </xf>
    <xf numFmtId="0" fontId="9" fillId="8" borderId="9" applyNumberFormat="0" applyFont="0" applyAlignment="0" applyProtection="0">
      <alignment vertical="center"/>
    </xf>
    <xf numFmtId="0" fontId="9" fillId="10" borderId="0" applyNumberFormat="0" applyBorder="0" applyAlignment="0" applyProtection="0">
      <alignment vertical="center"/>
    </xf>
    <xf numFmtId="0" fontId="9" fillId="11" borderId="0" applyNumberFormat="0" applyBorder="0" applyAlignment="0" applyProtection="0">
      <alignment vertical="center"/>
    </xf>
    <xf numFmtId="0" fontId="9" fillId="14" borderId="0" applyNumberFormat="0" applyBorder="0" applyAlignment="0" applyProtection="0">
      <alignment vertical="center"/>
    </xf>
    <xf numFmtId="0" fontId="9" fillId="15" borderId="0" applyNumberFormat="0" applyBorder="0" applyAlignment="0" applyProtection="0">
      <alignment vertical="center"/>
    </xf>
    <xf numFmtId="0" fontId="9" fillId="18" borderId="0" applyNumberFormat="0" applyBorder="0" applyAlignment="0" applyProtection="0">
      <alignment vertical="center"/>
    </xf>
    <xf numFmtId="0" fontId="9" fillId="19" borderId="0" applyNumberFormat="0" applyBorder="0" applyAlignment="0" applyProtection="0">
      <alignment vertical="center"/>
    </xf>
    <xf numFmtId="0" fontId="9" fillId="22" borderId="0" applyNumberFormat="0" applyBorder="0" applyAlignment="0" applyProtection="0">
      <alignment vertical="center"/>
    </xf>
    <xf numFmtId="0" fontId="9" fillId="23" borderId="0" applyNumberFormat="0" applyBorder="0" applyAlignment="0" applyProtection="0">
      <alignment vertical="center"/>
    </xf>
    <xf numFmtId="0" fontId="9" fillId="26" borderId="0" applyNumberFormat="0" applyBorder="0" applyAlignment="0" applyProtection="0">
      <alignment vertical="center"/>
    </xf>
    <xf numFmtId="0" fontId="9" fillId="27" borderId="0" applyNumberFormat="0" applyBorder="0" applyAlignment="0" applyProtection="0">
      <alignment vertical="center"/>
    </xf>
    <xf numFmtId="0" fontId="9" fillId="30" borderId="0" applyNumberFormat="0" applyBorder="0" applyAlignment="0" applyProtection="0">
      <alignment vertical="center"/>
    </xf>
    <xf numFmtId="0" fontId="9" fillId="31" borderId="0" applyNumberFormat="0" applyBorder="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0" borderId="0">
      <alignment vertical="center"/>
    </xf>
    <xf numFmtId="0" fontId="8" fillId="8" borderId="9" applyNumberFormat="0" applyFont="0" applyAlignment="0" applyProtection="0">
      <alignment vertical="center"/>
    </xf>
    <xf numFmtId="0" fontId="8" fillId="0" borderId="0">
      <alignment vertical="center"/>
    </xf>
    <xf numFmtId="0" fontId="8" fillId="8" borderId="9"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8" fillId="0" borderId="0">
      <alignment vertical="center"/>
    </xf>
    <xf numFmtId="0" fontId="8" fillId="8" borderId="9" applyNumberFormat="0" applyFont="0" applyAlignment="0" applyProtection="0">
      <alignment vertical="center"/>
    </xf>
    <xf numFmtId="0" fontId="8" fillId="10" borderId="0" applyNumberFormat="0" applyBorder="0" applyAlignment="0" applyProtection="0">
      <alignment vertical="center"/>
    </xf>
    <xf numFmtId="0" fontId="8" fillId="11" borderId="0" applyNumberFormat="0" applyBorder="0" applyAlignment="0" applyProtection="0">
      <alignment vertical="center"/>
    </xf>
    <xf numFmtId="0" fontId="8" fillId="14" borderId="0" applyNumberFormat="0" applyBorder="0" applyAlignment="0" applyProtection="0">
      <alignment vertical="center"/>
    </xf>
    <xf numFmtId="0" fontId="8" fillId="15" borderId="0" applyNumberFormat="0" applyBorder="0" applyAlignment="0" applyProtection="0">
      <alignment vertical="center"/>
    </xf>
    <xf numFmtId="0" fontId="8" fillId="18" borderId="0" applyNumberFormat="0" applyBorder="0" applyAlignment="0" applyProtection="0">
      <alignment vertical="center"/>
    </xf>
    <xf numFmtId="0" fontId="8" fillId="19" borderId="0" applyNumberFormat="0" applyBorder="0" applyAlignment="0" applyProtection="0">
      <alignment vertical="center"/>
    </xf>
    <xf numFmtId="0" fontId="8" fillId="22" borderId="0" applyNumberFormat="0" applyBorder="0" applyAlignment="0" applyProtection="0">
      <alignment vertical="center"/>
    </xf>
    <xf numFmtId="0" fontId="8" fillId="23" borderId="0" applyNumberFormat="0" applyBorder="0" applyAlignment="0" applyProtection="0">
      <alignment vertical="center"/>
    </xf>
    <xf numFmtId="0" fontId="8" fillId="26" borderId="0" applyNumberFormat="0" applyBorder="0" applyAlignment="0" applyProtection="0">
      <alignment vertical="center"/>
    </xf>
    <xf numFmtId="0" fontId="8" fillId="27" borderId="0" applyNumberFormat="0" applyBorder="0" applyAlignment="0" applyProtection="0">
      <alignment vertical="center"/>
    </xf>
    <xf numFmtId="0" fontId="8" fillId="30" borderId="0" applyNumberFormat="0" applyBorder="0" applyAlignment="0" applyProtection="0">
      <alignment vertical="center"/>
    </xf>
    <xf numFmtId="0" fontId="8" fillId="31" borderId="0" applyNumberFormat="0" applyBorder="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0" borderId="0">
      <alignment vertical="center"/>
    </xf>
    <xf numFmtId="0" fontId="7" fillId="8" borderId="9" applyNumberFormat="0" applyFont="0" applyAlignment="0" applyProtection="0">
      <alignment vertical="center"/>
    </xf>
    <xf numFmtId="0" fontId="7" fillId="0" borderId="0">
      <alignment vertical="center"/>
    </xf>
    <xf numFmtId="0" fontId="7" fillId="8" borderId="9"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0" borderId="0">
      <alignment vertical="center"/>
    </xf>
    <xf numFmtId="0" fontId="7" fillId="8" borderId="9" applyNumberFormat="0" applyFont="0" applyAlignment="0" applyProtection="0">
      <alignment vertical="center"/>
    </xf>
    <xf numFmtId="0" fontId="7" fillId="10" borderId="0" applyNumberFormat="0" applyBorder="0" applyAlignment="0" applyProtection="0">
      <alignment vertical="center"/>
    </xf>
    <xf numFmtId="0" fontId="7" fillId="11" borderId="0" applyNumberFormat="0" applyBorder="0" applyAlignment="0" applyProtection="0">
      <alignment vertical="center"/>
    </xf>
    <xf numFmtId="0" fontId="7" fillId="14" borderId="0" applyNumberFormat="0" applyBorder="0" applyAlignment="0" applyProtection="0">
      <alignment vertical="center"/>
    </xf>
    <xf numFmtId="0" fontId="7" fillId="15" borderId="0" applyNumberFormat="0" applyBorder="0" applyAlignment="0" applyProtection="0">
      <alignment vertical="center"/>
    </xf>
    <xf numFmtId="0" fontId="7" fillId="18" borderId="0" applyNumberFormat="0" applyBorder="0" applyAlignment="0" applyProtection="0">
      <alignment vertical="center"/>
    </xf>
    <xf numFmtId="0" fontId="7" fillId="19" borderId="0" applyNumberFormat="0" applyBorder="0" applyAlignment="0" applyProtection="0">
      <alignment vertical="center"/>
    </xf>
    <xf numFmtId="0" fontId="7" fillId="22" borderId="0" applyNumberFormat="0" applyBorder="0" applyAlignment="0" applyProtection="0">
      <alignment vertical="center"/>
    </xf>
    <xf numFmtId="0" fontId="7" fillId="23" borderId="0" applyNumberFormat="0" applyBorder="0" applyAlignment="0" applyProtection="0">
      <alignment vertical="center"/>
    </xf>
    <xf numFmtId="0" fontId="7" fillId="26" borderId="0" applyNumberFormat="0" applyBorder="0" applyAlignment="0" applyProtection="0">
      <alignment vertical="center"/>
    </xf>
    <xf numFmtId="0" fontId="7" fillId="27"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0" borderId="0">
      <alignment vertical="center"/>
    </xf>
    <xf numFmtId="0" fontId="6" fillId="8" borderId="9" applyNumberFormat="0" applyFont="0" applyAlignment="0" applyProtection="0">
      <alignment vertical="center"/>
    </xf>
    <xf numFmtId="0" fontId="6" fillId="0" borderId="0">
      <alignment vertical="center"/>
    </xf>
    <xf numFmtId="0" fontId="6" fillId="8" borderId="9"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6" fillId="0" borderId="0">
      <alignment vertical="center"/>
    </xf>
    <xf numFmtId="0" fontId="6" fillId="8" borderId="9" applyNumberFormat="0" applyFont="0" applyAlignment="0" applyProtection="0">
      <alignment vertical="center"/>
    </xf>
    <xf numFmtId="0" fontId="6" fillId="10" borderId="0" applyNumberFormat="0" applyBorder="0" applyAlignment="0" applyProtection="0">
      <alignment vertical="center"/>
    </xf>
    <xf numFmtId="0" fontId="6" fillId="11"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2" borderId="0" applyNumberFormat="0" applyBorder="0" applyAlignment="0" applyProtection="0">
      <alignment vertical="center"/>
    </xf>
    <xf numFmtId="0" fontId="6" fillId="23" borderId="0" applyNumberFormat="0" applyBorder="0" applyAlignment="0" applyProtection="0">
      <alignment vertical="center"/>
    </xf>
    <xf numFmtId="0" fontId="6" fillId="26" borderId="0" applyNumberFormat="0" applyBorder="0" applyAlignment="0" applyProtection="0">
      <alignment vertical="center"/>
    </xf>
    <xf numFmtId="0" fontId="6" fillId="27" borderId="0" applyNumberFormat="0" applyBorder="0" applyAlignment="0" applyProtection="0">
      <alignment vertical="center"/>
    </xf>
    <xf numFmtId="0" fontId="6" fillId="30" borderId="0" applyNumberFormat="0" applyBorder="0" applyAlignment="0" applyProtection="0">
      <alignment vertical="center"/>
    </xf>
    <xf numFmtId="0" fontId="6" fillId="31" borderId="0" applyNumberFormat="0" applyBorder="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0" borderId="0">
      <alignment vertical="center"/>
    </xf>
    <xf numFmtId="0" fontId="5" fillId="8" borderId="9" applyNumberFormat="0" applyFont="0" applyAlignment="0" applyProtection="0">
      <alignment vertical="center"/>
    </xf>
    <xf numFmtId="0" fontId="5" fillId="0" borderId="0">
      <alignment vertical="center"/>
    </xf>
    <xf numFmtId="0" fontId="5" fillId="8" borderId="9"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5" fillId="0" borderId="0">
      <alignment vertical="center"/>
    </xf>
    <xf numFmtId="0" fontId="5" fillId="8" borderId="9" applyNumberFormat="0" applyFont="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8" borderId="0" applyNumberFormat="0" applyBorder="0" applyAlignment="0" applyProtection="0">
      <alignment vertical="center"/>
    </xf>
    <xf numFmtId="0" fontId="5" fillId="19" borderId="0" applyNumberFormat="0" applyBorder="0" applyAlignment="0" applyProtection="0">
      <alignment vertical="center"/>
    </xf>
    <xf numFmtId="0" fontId="5" fillId="22" borderId="0" applyNumberFormat="0" applyBorder="0" applyAlignment="0" applyProtection="0">
      <alignment vertical="center"/>
    </xf>
    <xf numFmtId="0" fontId="5" fillId="23" borderId="0" applyNumberFormat="0" applyBorder="0" applyAlignment="0" applyProtection="0">
      <alignment vertical="center"/>
    </xf>
    <xf numFmtId="0" fontId="5" fillId="26" borderId="0" applyNumberFormat="0" applyBorder="0" applyAlignment="0" applyProtection="0">
      <alignment vertical="center"/>
    </xf>
    <xf numFmtId="0" fontId="5" fillId="27" borderId="0" applyNumberFormat="0" applyBorder="0" applyAlignment="0" applyProtection="0">
      <alignment vertical="center"/>
    </xf>
    <xf numFmtId="0" fontId="5" fillId="30" borderId="0" applyNumberFormat="0" applyBorder="0" applyAlignment="0" applyProtection="0">
      <alignment vertical="center"/>
    </xf>
    <xf numFmtId="0" fontId="5" fillId="31" borderId="0" applyNumberFormat="0" applyBorder="0" applyAlignment="0" applyProtection="0">
      <alignment vertical="center"/>
    </xf>
    <xf numFmtId="0" fontId="34" fillId="0" borderId="0">
      <alignment vertical="center"/>
    </xf>
    <xf numFmtId="0" fontId="17" fillId="0" borderId="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xf numFmtId="0" fontId="4" fillId="0" borderId="0">
      <alignment vertical="center"/>
    </xf>
    <xf numFmtId="0" fontId="4"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3" fillId="0" borderId="0">
      <alignment vertical="center"/>
    </xf>
    <xf numFmtId="0" fontId="3" fillId="8" borderId="9" applyNumberFormat="0" applyFont="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 fillId="0" borderId="0">
      <alignment vertical="center"/>
    </xf>
    <xf numFmtId="0" fontId="2" fillId="8" borderId="9" applyNumberFormat="0" applyFont="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0" borderId="0">
      <alignment vertical="center"/>
    </xf>
    <xf numFmtId="0" fontId="1" fillId="8" borderId="9" applyNumberFormat="0" applyFont="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56" fillId="0" borderId="0" applyNumberFormat="0" applyFill="0" applyBorder="0" applyAlignment="0" applyProtection="0"/>
  </cellStyleXfs>
  <cellXfs count="1298">
    <xf numFmtId="0" fontId="0" fillId="0" borderId="0" xfId="0"/>
    <xf numFmtId="176" fontId="0" fillId="0" borderId="0" xfId="0" applyNumberFormat="1"/>
    <xf numFmtId="178" fontId="0" fillId="0" borderId="0" xfId="0" applyNumberFormat="1"/>
    <xf numFmtId="0" fontId="0" fillId="0" borderId="0" xfId="0" applyAlignment="1">
      <alignment horizontal="center"/>
    </xf>
    <xf numFmtId="0" fontId="37" fillId="0" borderId="0" xfId="0" applyFont="1"/>
    <xf numFmtId="0" fontId="37" fillId="0" borderId="0" xfId="0" applyFont="1" applyAlignment="1">
      <alignment horizontal="center"/>
    </xf>
    <xf numFmtId="176" fontId="37" fillId="0" borderId="0" xfId="0" applyNumberFormat="1" applyFont="1"/>
    <xf numFmtId="176" fontId="0" fillId="0" borderId="11" xfId="0" applyNumberFormat="1" applyBorder="1"/>
    <xf numFmtId="176" fontId="0" fillId="0" borderId="30" xfId="0" applyNumberFormat="1" applyBorder="1"/>
    <xf numFmtId="176" fontId="0" fillId="0" borderId="34" xfId="0" applyNumberFormat="1" applyBorder="1"/>
    <xf numFmtId="176" fontId="0" fillId="0" borderId="15" xfId="0" applyNumberFormat="1" applyBorder="1"/>
    <xf numFmtId="176" fontId="0" fillId="0" borderId="36" xfId="0" applyNumberFormat="1" applyBorder="1"/>
    <xf numFmtId="176" fontId="0" fillId="0" borderId="37" xfId="0" applyNumberFormat="1" applyBorder="1"/>
    <xf numFmtId="176" fontId="0" fillId="0" borderId="17" xfId="0" applyNumberFormat="1" applyBorder="1"/>
    <xf numFmtId="176" fontId="0" fillId="0" borderId="16" xfId="0" applyNumberFormat="1" applyBorder="1"/>
    <xf numFmtId="180" fontId="37" fillId="0" borderId="1" xfId="0" applyNumberFormat="1" applyFont="1" applyBorder="1" applyAlignment="1">
      <alignment horizontal="center"/>
    </xf>
    <xf numFmtId="0" fontId="0" fillId="0" borderId="16" xfId="0" applyBorder="1"/>
    <xf numFmtId="0" fontId="0" fillId="0" borderId="11" xfId="0" applyBorder="1" applyAlignment="1">
      <alignment horizontal="center"/>
    </xf>
    <xf numFmtId="0" fontId="0" fillId="0" borderId="16" xfId="0" applyBorder="1" applyAlignment="1">
      <alignment horizontal="center"/>
    </xf>
    <xf numFmtId="0" fontId="0" fillId="0" borderId="30" xfId="0" applyBorder="1" applyAlignment="1">
      <alignment horizontal="center"/>
    </xf>
    <xf numFmtId="0" fontId="0" fillId="0" borderId="35" xfId="0" applyBorder="1" applyAlignment="1">
      <alignment horizontal="center"/>
    </xf>
    <xf numFmtId="0" fontId="0" fillId="0" borderId="41" xfId="0" applyBorder="1" applyAlignment="1">
      <alignment horizontal="center"/>
    </xf>
    <xf numFmtId="0" fontId="0" fillId="0" borderId="50" xfId="0" applyBorder="1"/>
    <xf numFmtId="0" fontId="0" fillId="37" borderId="51" xfId="0" applyFill="1" applyBorder="1"/>
    <xf numFmtId="0" fontId="0" fillId="37" borderId="12" xfId="0" applyFill="1" applyBorder="1" applyAlignment="1">
      <alignment horizontal="center"/>
    </xf>
    <xf numFmtId="0" fontId="0" fillId="37" borderId="29" xfId="0" applyFill="1" applyBorder="1" applyAlignment="1">
      <alignment horizontal="center"/>
    </xf>
    <xf numFmtId="176" fontId="0" fillId="37" borderId="12" xfId="0" applyNumberFormat="1" applyFill="1" applyBorder="1"/>
    <xf numFmtId="176" fontId="0" fillId="37" borderId="29" xfId="0" applyNumberFormat="1" applyFill="1" applyBorder="1"/>
    <xf numFmtId="180" fontId="0" fillId="37" borderId="25" xfId="0" applyNumberFormat="1" applyFill="1" applyBorder="1"/>
    <xf numFmtId="0" fontId="0" fillId="35" borderId="49" xfId="0" applyFill="1" applyBorder="1"/>
    <xf numFmtId="0" fontId="0" fillId="35" borderId="11" xfId="0" applyFill="1" applyBorder="1" applyAlignment="1">
      <alignment horizontal="center"/>
    </xf>
    <xf numFmtId="0" fontId="0" fillId="35" borderId="30" xfId="0" applyFill="1" applyBorder="1" applyAlignment="1">
      <alignment horizontal="center"/>
    </xf>
    <xf numFmtId="176" fontId="0" fillId="35" borderId="11" xfId="0" applyNumberFormat="1" applyFill="1" applyBorder="1"/>
    <xf numFmtId="180" fontId="0" fillId="35" borderId="26" xfId="0" applyNumberFormat="1" applyFill="1" applyBorder="1"/>
    <xf numFmtId="0" fontId="0" fillId="34" borderId="49" xfId="0" applyFill="1" applyBorder="1"/>
    <xf numFmtId="0" fontId="0" fillId="34" borderId="11" xfId="0" applyFill="1" applyBorder="1" applyAlignment="1">
      <alignment horizontal="center"/>
    </xf>
    <xf numFmtId="0" fontId="0" fillId="34" borderId="30" xfId="0" applyFill="1" applyBorder="1" applyAlignment="1">
      <alignment horizontal="center"/>
    </xf>
    <xf numFmtId="176" fontId="0" fillId="34" borderId="11" xfId="0" applyNumberFormat="1" applyFill="1" applyBorder="1"/>
    <xf numFmtId="180" fontId="0" fillId="34" borderId="26" xfId="0" applyNumberFormat="1" applyFill="1" applyBorder="1"/>
    <xf numFmtId="0" fontId="0" fillId="36" borderId="49" xfId="0" applyFill="1" applyBorder="1"/>
    <xf numFmtId="0" fontId="0" fillId="36" borderId="11" xfId="0" applyFill="1" applyBorder="1" applyAlignment="1">
      <alignment horizontal="center"/>
    </xf>
    <xf numFmtId="0" fontId="0" fillId="36" borderId="30" xfId="0" applyFill="1" applyBorder="1" applyAlignment="1">
      <alignment horizontal="center"/>
    </xf>
    <xf numFmtId="176" fontId="0" fillId="36" borderId="11" xfId="0" applyNumberFormat="1" applyFill="1" applyBorder="1"/>
    <xf numFmtId="180" fontId="0" fillId="36" borderId="26" xfId="0" applyNumberFormat="1" applyFill="1" applyBorder="1"/>
    <xf numFmtId="0" fontId="0" fillId="38" borderId="49" xfId="0" applyFill="1" applyBorder="1"/>
    <xf numFmtId="0" fontId="0" fillId="38" borderId="11" xfId="0" applyFill="1" applyBorder="1" applyAlignment="1">
      <alignment horizontal="center"/>
    </xf>
    <xf numFmtId="0" fontId="0" fillId="38" borderId="30" xfId="0" applyFill="1" applyBorder="1" applyAlignment="1">
      <alignment horizontal="center"/>
    </xf>
    <xf numFmtId="176" fontId="0" fillId="38" borderId="11" xfId="0" applyNumberFormat="1" applyFill="1" applyBorder="1"/>
    <xf numFmtId="180" fontId="0" fillId="38" borderId="26" xfId="0" applyNumberFormat="1" applyFill="1" applyBorder="1"/>
    <xf numFmtId="176" fontId="0" fillId="37" borderId="45" xfId="0" applyNumberFormat="1" applyFill="1" applyBorder="1"/>
    <xf numFmtId="176" fontId="0" fillId="36" borderId="46" xfId="0" applyNumberFormat="1" applyFill="1" applyBorder="1"/>
    <xf numFmtId="176" fontId="0" fillId="34" borderId="46" xfId="0" applyNumberFormat="1" applyFill="1" applyBorder="1"/>
    <xf numFmtId="176" fontId="0" fillId="35" borderId="46" xfId="0" applyNumberFormat="1" applyFill="1" applyBorder="1"/>
    <xf numFmtId="176" fontId="0" fillId="38" borderId="46" xfId="0" applyNumberFormat="1" applyFill="1" applyBorder="1"/>
    <xf numFmtId="0" fontId="0" fillId="0" borderId="57" xfId="0" applyBorder="1" applyAlignment="1">
      <alignment horizontal="center"/>
    </xf>
    <xf numFmtId="176" fontId="0" fillId="0" borderId="47" xfId="0" applyNumberFormat="1" applyBorder="1"/>
    <xf numFmtId="0" fontId="36" fillId="33" borderId="11" xfId="0" applyFont="1" applyFill="1" applyBorder="1" applyAlignment="1">
      <alignment horizontal="center" vertical="center" textRotation="180"/>
    </xf>
    <xf numFmtId="0" fontId="36" fillId="33" borderId="30" xfId="0" applyFont="1" applyFill="1" applyBorder="1" applyAlignment="1">
      <alignment horizontal="center" vertical="center" textRotation="180"/>
    </xf>
    <xf numFmtId="0" fontId="36" fillId="33" borderId="34" xfId="0" applyFont="1" applyFill="1" applyBorder="1" applyAlignment="1">
      <alignment horizontal="center" vertical="center" textRotation="180"/>
    </xf>
    <xf numFmtId="176" fontId="36" fillId="0" borderId="33" xfId="0" applyNumberFormat="1" applyFont="1" applyBorder="1" applyAlignment="1">
      <alignment horizontal="center"/>
    </xf>
    <xf numFmtId="0" fontId="0" fillId="0" borderId="0" xfId="0" applyAlignment="1">
      <alignment horizontal="center" vertical="center"/>
    </xf>
    <xf numFmtId="20" fontId="0" fillId="0" borderId="0" xfId="0" applyNumberFormat="1" applyAlignment="1">
      <alignment horizontal="center"/>
    </xf>
    <xf numFmtId="182" fontId="0" fillId="0" borderId="0" xfId="0" applyNumberFormat="1"/>
    <xf numFmtId="176" fontId="0" fillId="0" borderId="12" xfId="0" applyNumberFormat="1" applyBorder="1"/>
    <xf numFmtId="176" fontId="0" fillId="0" borderId="70" xfId="0" applyNumberFormat="1" applyBorder="1"/>
    <xf numFmtId="0" fontId="0" fillId="37" borderId="25" xfId="0" applyFill="1" applyBorder="1" applyAlignment="1">
      <alignment horizontal="center"/>
    </xf>
    <xf numFmtId="0" fontId="0" fillId="36" borderId="26" xfId="0" applyFill="1" applyBorder="1" applyAlignment="1">
      <alignment horizontal="center"/>
    </xf>
    <xf numFmtId="0" fontId="0" fillId="34" borderId="26" xfId="0" applyFill="1" applyBorder="1" applyAlignment="1">
      <alignment horizontal="center"/>
    </xf>
    <xf numFmtId="0" fontId="0" fillId="35" borderId="26" xfId="0" applyFill="1" applyBorder="1" applyAlignment="1">
      <alignment horizontal="center"/>
    </xf>
    <xf numFmtId="0" fontId="0" fillId="38" borderId="26" xfId="0" applyFill="1" applyBorder="1" applyAlignment="1">
      <alignment horizontal="center"/>
    </xf>
    <xf numFmtId="0" fontId="0" fillId="0" borderId="37" xfId="0" applyBorder="1" applyAlignment="1">
      <alignment horizontal="center"/>
    </xf>
    <xf numFmtId="32" fontId="0" fillId="0" borderId="0" xfId="0" applyNumberFormat="1"/>
    <xf numFmtId="0" fontId="0" fillId="0" borderId="0" xfId="0" applyNumberFormat="1"/>
    <xf numFmtId="0" fontId="0" fillId="0" borderId="17" xfId="0" applyBorder="1" applyAlignment="1">
      <alignment horizontal="center"/>
    </xf>
    <xf numFmtId="0" fontId="0" fillId="34" borderId="14" xfId="0" applyFill="1" applyBorder="1" applyAlignment="1">
      <alignment horizontal="center"/>
    </xf>
    <xf numFmtId="0" fontId="0" fillId="36" borderId="14" xfId="0" applyFill="1" applyBorder="1" applyAlignment="1">
      <alignment horizontal="center"/>
    </xf>
    <xf numFmtId="0" fontId="0" fillId="37" borderId="14" xfId="0" applyFill="1" applyBorder="1" applyAlignment="1">
      <alignment horizontal="center"/>
    </xf>
    <xf numFmtId="0" fontId="0" fillId="38" borderId="14" xfId="0" applyFill="1" applyBorder="1" applyAlignment="1">
      <alignment horizontal="center"/>
    </xf>
    <xf numFmtId="0" fontId="0" fillId="35" borderId="14" xfId="0" applyFill="1" applyBorder="1" applyAlignment="1">
      <alignment horizontal="center"/>
    </xf>
    <xf numFmtId="0" fontId="0" fillId="0" borderId="0" xfId="0" applyFill="1"/>
    <xf numFmtId="0" fontId="0" fillId="37" borderId="18" xfId="0" applyFill="1" applyBorder="1" applyAlignment="1">
      <alignment horizontal="center"/>
    </xf>
    <xf numFmtId="176" fontId="0" fillId="37" borderId="11" xfId="0" applyNumberFormat="1" applyFill="1" applyBorder="1"/>
    <xf numFmtId="0" fontId="0" fillId="0" borderId="82" xfId="0" applyBorder="1"/>
    <xf numFmtId="0" fontId="0" fillId="0" borderId="72" xfId="0" applyBorder="1" applyAlignment="1">
      <alignment horizontal="center"/>
    </xf>
    <xf numFmtId="0" fontId="0" fillId="0" borderId="61" xfId="0" applyBorder="1" applyAlignment="1">
      <alignment horizontal="center"/>
    </xf>
    <xf numFmtId="0" fontId="0" fillId="0" borderId="64" xfId="0" applyBorder="1" applyAlignment="1">
      <alignment horizontal="center"/>
    </xf>
    <xf numFmtId="0" fontId="0" fillId="0" borderId="72" xfId="0" applyBorder="1"/>
    <xf numFmtId="176" fontId="0" fillId="0" borderId="74" xfId="0" applyNumberFormat="1" applyBorder="1"/>
    <xf numFmtId="176" fontId="0" fillId="0" borderId="72" xfId="0" applyNumberFormat="1" applyBorder="1"/>
    <xf numFmtId="176" fontId="0" fillId="0" borderId="73" xfId="0" applyNumberFormat="1" applyBorder="1"/>
    <xf numFmtId="176" fontId="0" fillId="0" borderId="83" xfId="0" applyNumberFormat="1" applyBorder="1"/>
    <xf numFmtId="176" fontId="0" fillId="0" borderId="84" xfId="0" applyNumberFormat="1" applyBorder="1"/>
    <xf numFmtId="176" fontId="0" fillId="0" borderId="63" xfId="0" applyNumberFormat="1" applyBorder="1"/>
    <xf numFmtId="176" fontId="0" fillId="0" borderId="85" xfId="0" applyNumberFormat="1" applyBorder="1"/>
    <xf numFmtId="0" fontId="0" fillId="0" borderId="74" xfId="0" applyBorder="1" applyAlignment="1">
      <alignment horizontal="center"/>
    </xf>
    <xf numFmtId="0" fontId="0" fillId="0" borderId="85" xfId="0" applyBorder="1" applyAlignment="1">
      <alignment horizontal="center"/>
    </xf>
    <xf numFmtId="176" fontId="0" fillId="45" borderId="11" xfId="0" applyNumberFormat="1" applyFill="1" applyBorder="1"/>
    <xf numFmtId="0" fontId="0" fillId="0" borderId="15" xfId="0" applyBorder="1"/>
    <xf numFmtId="176" fontId="0" fillId="45" borderId="12" xfId="0" applyNumberFormat="1" applyFill="1" applyBorder="1"/>
    <xf numFmtId="0" fontId="0" fillId="0" borderId="84" xfId="0" applyBorder="1"/>
    <xf numFmtId="0" fontId="0" fillId="33" borderId="82" xfId="0" applyFill="1" applyBorder="1"/>
    <xf numFmtId="0" fontId="0" fillId="33" borderId="72" xfId="0" applyFill="1" applyBorder="1" applyAlignment="1">
      <alignment horizontal="center"/>
    </xf>
    <xf numFmtId="0" fontId="0" fillId="33" borderId="61" xfId="0" applyFill="1" applyBorder="1" applyAlignment="1">
      <alignment horizontal="center"/>
    </xf>
    <xf numFmtId="176" fontId="0" fillId="33" borderId="72" xfId="0" applyNumberFormat="1" applyFill="1" applyBorder="1"/>
    <xf numFmtId="176" fontId="0" fillId="33" borderId="11" xfId="0" applyNumberFormat="1" applyFill="1" applyBorder="1"/>
    <xf numFmtId="0" fontId="0" fillId="33" borderId="85" xfId="0" applyFill="1" applyBorder="1" applyAlignment="1">
      <alignment horizontal="center"/>
    </xf>
    <xf numFmtId="176" fontId="0" fillId="33" borderId="46" xfId="0" applyNumberFormat="1" applyFill="1" applyBorder="1"/>
    <xf numFmtId="180" fontId="0" fillId="33" borderId="26" xfId="0" applyNumberFormat="1" applyFill="1" applyBorder="1"/>
    <xf numFmtId="0" fontId="0" fillId="33" borderId="14" xfId="0" applyFill="1" applyBorder="1" applyAlignment="1">
      <alignment horizontal="center"/>
    </xf>
    <xf numFmtId="0" fontId="0" fillId="38" borderId="82" xfId="0" applyFill="1" applyBorder="1"/>
    <xf numFmtId="0" fontId="0" fillId="38" borderId="72" xfId="0" applyFill="1" applyBorder="1" applyAlignment="1">
      <alignment horizontal="center"/>
    </xf>
    <xf numFmtId="0" fontId="0" fillId="38" borderId="61" xfId="0" applyFill="1" applyBorder="1" applyAlignment="1">
      <alignment horizontal="center"/>
    </xf>
    <xf numFmtId="176" fontId="0" fillId="38" borderId="72" xfId="0" applyNumberFormat="1" applyFill="1" applyBorder="1"/>
    <xf numFmtId="176" fontId="0" fillId="38" borderId="73" xfId="0" applyNumberFormat="1" applyFill="1" applyBorder="1"/>
    <xf numFmtId="180" fontId="0" fillId="38" borderId="74" xfId="0" applyNumberFormat="1" applyFill="1" applyBorder="1"/>
    <xf numFmtId="0" fontId="0" fillId="38" borderId="74" xfId="0" applyFill="1" applyBorder="1" applyAlignment="1">
      <alignment horizontal="center"/>
    </xf>
    <xf numFmtId="0" fontId="0" fillId="38" borderId="85" xfId="0" applyFill="1" applyBorder="1" applyAlignment="1">
      <alignment horizontal="center"/>
    </xf>
    <xf numFmtId="0" fontId="0" fillId="0" borderId="58" xfId="0" applyBorder="1" applyAlignment="1">
      <alignment horizontal="center"/>
    </xf>
    <xf numFmtId="0" fontId="37" fillId="0" borderId="0" xfId="0" applyFont="1" applyBorder="1"/>
    <xf numFmtId="0" fontId="35" fillId="48" borderId="32" xfId="0" applyFont="1" applyFill="1" applyBorder="1" applyAlignment="1">
      <alignment horizontal="center" vertical="center" textRotation="180"/>
    </xf>
    <xf numFmtId="0" fontId="36" fillId="48" borderId="20" xfId="0" applyFont="1" applyFill="1" applyBorder="1" applyAlignment="1">
      <alignment horizontal="center" vertical="center" textRotation="180"/>
    </xf>
    <xf numFmtId="0" fontId="36" fillId="48" borderId="28" xfId="0" applyFont="1" applyFill="1" applyBorder="1" applyAlignment="1">
      <alignment horizontal="center" vertical="center" textRotation="180"/>
    </xf>
    <xf numFmtId="0" fontId="35" fillId="48" borderId="20" xfId="0" applyFont="1" applyFill="1" applyBorder="1" applyAlignment="1">
      <alignment horizontal="center" vertical="center" textRotation="180"/>
    </xf>
    <xf numFmtId="176" fontId="0" fillId="47" borderId="12" xfId="0" applyNumberFormat="1" applyFill="1" applyBorder="1"/>
    <xf numFmtId="176" fontId="0" fillId="47" borderId="25" xfId="0" applyNumberFormat="1" applyFill="1" applyBorder="1"/>
    <xf numFmtId="0" fontId="0" fillId="47" borderId="33" xfId="0" applyNumberFormat="1" applyFill="1" applyBorder="1"/>
    <xf numFmtId="176" fontId="0" fillId="47" borderId="68" xfId="0" applyNumberFormat="1" applyFill="1" applyBorder="1"/>
    <xf numFmtId="0" fontId="0" fillId="33" borderId="74" xfId="0" applyFill="1" applyBorder="1" applyAlignment="1">
      <alignment horizontal="center"/>
    </xf>
    <xf numFmtId="176" fontId="0" fillId="37" borderId="33" xfId="0" applyNumberFormat="1" applyFill="1" applyBorder="1" applyAlignment="1">
      <alignment horizontal="center"/>
    </xf>
    <xf numFmtId="176" fontId="0" fillId="36" borderId="34" xfId="0" applyNumberFormat="1" applyFill="1" applyBorder="1" applyAlignment="1">
      <alignment horizontal="center"/>
    </xf>
    <xf numFmtId="176" fontId="0" fillId="34" borderId="34" xfId="0" applyNumberFormat="1" applyFill="1" applyBorder="1" applyAlignment="1">
      <alignment horizontal="center"/>
    </xf>
    <xf numFmtId="176" fontId="0" fillId="35" borderId="34" xfId="0" applyNumberFormat="1" applyFill="1" applyBorder="1" applyAlignment="1">
      <alignment horizontal="center"/>
    </xf>
    <xf numFmtId="176" fontId="0" fillId="38" borderId="34" xfId="0" applyNumberFormat="1" applyFill="1" applyBorder="1" applyAlignment="1">
      <alignment horizontal="center"/>
    </xf>
    <xf numFmtId="176" fontId="0" fillId="38" borderId="63" xfId="0" applyNumberFormat="1" applyFill="1" applyBorder="1" applyAlignment="1">
      <alignment horizontal="center"/>
    </xf>
    <xf numFmtId="176" fontId="0" fillId="33" borderId="34" xfId="0" applyNumberFormat="1" applyFill="1" applyBorder="1" applyAlignment="1">
      <alignment horizontal="center"/>
    </xf>
    <xf numFmtId="176" fontId="0" fillId="0" borderId="63" xfId="0" applyNumberFormat="1" applyBorder="1" applyAlignment="1">
      <alignment horizontal="center"/>
    </xf>
    <xf numFmtId="176" fontId="0" fillId="0" borderId="36" xfId="0" applyNumberFormat="1" applyBorder="1" applyAlignment="1">
      <alignment horizontal="center"/>
    </xf>
    <xf numFmtId="0" fontId="0" fillId="37" borderId="25" xfId="0" applyNumberFormat="1" applyFill="1" applyBorder="1"/>
    <xf numFmtId="0" fontId="0" fillId="36" borderId="26" xfId="0" applyNumberFormat="1" applyFill="1" applyBorder="1"/>
    <xf numFmtId="0" fontId="0" fillId="34" borderId="26" xfId="0" applyNumberFormat="1" applyFill="1" applyBorder="1"/>
    <xf numFmtId="0" fontId="0" fillId="35" borderId="26" xfId="0" applyNumberFormat="1" applyFill="1" applyBorder="1"/>
    <xf numFmtId="0" fontId="0" fillId="38" borderId="26" xfId="0" applyNumberFormat="1" applyFill="1" applyBorder="1"/>
    <xf numFmtId="0" fontId="40" fillId="38" borderId="26" xfId="0" applyNumberFormat="1" applyFont="1" applyFill="1" applyBorder="1"/>
    <xf numFmtId="0" fontId="0" fillId="38" borderId="74" xfId="0" applyNumberFormat="1" applyFill="1" applyBorder="1"/>
    <xf numFmtId="0" fontId="0" fillId="33" borderId="26" xfId="0" applyNumberFormat="1" applyFill="1" applyBorder="1"/>
    <xf numFmtId="0" fontId="0" fillId="33" borderId="74" xfId="0" applyNumberFormat="1" applyFill="1" applyBorder="1"/>
    <xf numFmtId="179" fontId="0" fillId="0" borderId="74" xfId="0" applyNumberFormat="1" applyBorder="1"/>
    <xf numFmtId="179" fontId="0" fillId="0" borderId="37" xfId="0" applyNumberFormat="1" applyBorder="1"/>
    <xf numFmtId="181" fontId="0" fillId="0" borderId="83" xfId="0" applyNumberFormat="1" applyBorder="1"/>
    <xf numFmtId="181" fontId="0" fillId="0" borderId="70" xfId="0" applyNumberFormat="1" applyBorder="1"/>
    <xf numFmtId="181" fontId="0" fillId="49" borderId="68" xfId="0" applyNumberFormat="1" applyFill="1" applyBorder="1"/>
    <xf numFmtId="176" fontId="0" fillId="49" borderId="25" xfId="0" applyNumberFormat="1" applyFill="1" applyBorder="1"/>
    <xf numFmtId="0" fontId="37" fillId="37" borderId="14" xfId="0" applyFont="1" applyFill="1" applyBorder="1" applyAlignment="1">
      <alignment horizontal="left" vertical="center"/>
    </xf>
    <xf numFmtId="177" fontId="37" fillId="37" borderId="13" xfId="0" applyNumberFormat="1" applyFont="1" applyFill="1" applyBorder="1" applyAlignment="1">
      <alignment horizontal="left" vertical="center"/>
    </xf>
    <xf numFmtId="176" fontId="0" fillId="36" borderId="30" xfId="0" applyNumberFormat="1" applyFill="1" applyBorder="1"/>
    <xf numFmtId="176" fontId="0" fillId="34" borderId="30" xfId="0" applyNumberFormat="1" applyFill="1" applyBorder="1"/>
    <xf numFmtId="176" fontId="0" fillId="35" borderId="30" xfId="0" applyNumberFormat="1" applyFill="1" applyBorder="1"/>
    <xf numFmtId="176" fontId="40" fillId="38" borderId="30" xfId="0" applyNumberFormat="1" applyFont="1" applyFill="1" applyBorder="1"/>
    <xf numFmtId="176" fontId="0" fillId="38" borderId="61" xfId="0" applyNumberFormat="1" applyFill="1" applyBorder="1"/>
    <xf numFmtId="0" fontId="0" fillId="0" borderId="61" xfId="0" applyBorder="1"/>
    <xf numFmtId="0" fontId="0" fillId="0" borderId="35" xfId="0" applyBorder="1"/>
    <xf numFmtId="177" fontId="40" fillId="38" borderId="13" xfId="0" applyNumberFormat="1" applyFont="1" applyFill="1" applyBorder="1"/>
    <xf numFmtId="177" fontId="0" fillId="33" borderId="13" xfId="0" applyNumberFormat="1" applyFill="1" applyBorder="1"/>
    <xf numFmtId="177" fontId="0" fillId="0" borderId="15" xfId="0" applyNumberFormat="1" applyBorder="1"/>
    <xf numFmtId="177" fontId="0" fillId="47" borderId="30" xfId="0" applyNumberFormat="1" applyFill="1" applyBorder="1" applyAlignment="1">
      <alignment horizontal="center"/>
    </xf>
    <xf numFmtId="177" fontId="0" fillId="38" borderId="30" xfId="0" applyNumberFormat="1" applyFill="1" applyBorder="1" applyAlignment="1">
      <alignment horizontal="center"/>
    </xf>
    <xf numFmtId="176" fontId="0" fillId="37" borderId="65" xfId="0" applyNumberFormat="1" applyFill="1" applyBorder="1"/>
    <xf numFmtId="176" fontId="0" fillId="36" borderId="13" xfId="0" applyNumberFormat="1" applyFill="1" applyBorder="1"/>
    <xf numFmtId="176" fontId="0" fillId="34" borderId="13" xfId="0" applyNumberFormat="1" applyFill="1" applyBorder="1"/>
    <xf numFmtId="176" fontId="0" fillId="35" borderId="13" xfId="0" applyNumberFormat="1" applyFill="1" applyBorder="1"/>
    <xf numFmtId="176" fontId="0" fillId="38" borderId="13" xfId="0" applyNumberFormat="1" applyFill="1" applyBorder="1"/>
    <xf numFmtId="176" fontId="0" fillId="38" borderId="84" xfId="0" applyNumberFormat="1" applyFill="1" applyBorder="1"/>
    <xf numFmtId="176" fontId="0" fillId="33" borderId="84" xfId="0" applyNumberFormat="1" applyFill="1" applyBorder="1"/>
    <xf numFmtId="177" fontId="0" fillId="38" borderId="13" xfId="0" applyNumberFormat="1" applyFill="1" applyBorder="1"/>
    <xf numFmtId="0" fontId="0" fillId="33" borderId="11" xfId="0" applyFill="1" applyBorder="1" applyAlignment="1">
      <alignment horizontal="center"/>
    </xf>
    <xf numFmtId="177" fontId="0" fillId="33" borderId="30" xfId="0" applyNumberFormat="1" applyFill="1" applyBorder="1" applyAlignment="1">
      <alignment horizontal="center"/>
    </xf>
    <xf numFmtId="177" fontId="0" fillId="0" borderId="13" xfId="0" applyNumberFormat="1" applyBorder="1"/>
    <xf numFmtId="177" fontId="37" fillId="37" borderId="65" xfId="0" applyNumberFormat="1" applyFont="1" applyFill="1" applyBorder="1" applyAlignment="1">
      <alignment horizontal="left" vertical="center"/>
    </xf>
    <xf numFmtId="0" fontId="37" fillId="37" borderId="18" xfId="0" applyFont="1" applyFill="1" applyBorder="1" applyAlignment="1">
      <alignment horizontal="left" vertical="center"/>
    </xf>
    <xf numFmtId="177" fontId="40" fillId="47" borderId="13" xfId="0" applyNumberFormat="1" applyFont="1" applyFill="1" applyBorder="1"/>
    <xf numFmtId="0" fontId="0" fillId="47" borderId="39" xfId="0" applyFill="1" applyBorder="1" applyAlignment="1">
      <alignment horizontal="center"/>
    </xf>
    <xf numFmtId="0" fontId="0" fillId="47" borderId="11" xfId="0" applyFill="1" applyBorder="1" applyAlignment="1">
      <alignment horizontal="center"/>
    </xf>
    <xf numFmtId="0" fontId="0" fillId="47" borderId="55" xfId="0" applyFill="1" applyBorder="1" applyAlignment="1">
      <alignment horizontal="center"/>
    </xf>
    <xf numFmtId="177" fontId="0" fillId="47" borderId="56" xfId="0" applyNumberFormat="1" applyFill="1" applyBorder="1" applyAlignment="1">
      <alignment horizontal="center"/>
    </xf>
    <xf numFmtId="176" fontId="42" fillId="47" borderId="25" xfId="0" applyNumberFormat="1" applyFont="1" applyFill="1" applyBorder="1"/>
    <xf numFmtId="176" fontId="42" fillId="47" borderId="12" xfId="0" applyNumberFormat="1" applyFont="1" applyFill="1" applyBorder="1"/>
    <xf numFmtId="176" fontId="42" fillId="49" borderId="25" xfId="0" applyNumberFormat="1" applyFont="1" applyFill="1" applyBorder="1"/>
    <xf numFmtId="176" fontId="42" fillId="47" borderId="68" xfId="0" applyNumberFormat="1" applyFont="1" applyFill="1" applyBorder="1"/>
    <xf numFmtId="176" fontId="42" fillId="37" borderId="45" xfId="0" applyNumberFormat="1" applyFont="1" applyFill="1" applyBorder="1"/>
    <xf numFmtId="0" fontId="0" fillId="0" borderId="35" xfId="0" applyBorder="1" applyAlignment="1">
      <alignment horizontal="center" vertical="center"/>
    </xf>
    <xf numFmtId="0" fontId="0" fillId="0" borderId="16" xfId="0" applyBorder="1" applyAlignment="1">
      <alignment horizontal="center" vertical="center"/>
    </xf>
    <xf numFmtId="176" fontId="38" fillId="48" borderId="90" xfId="0" applyNumberFormat="1" applyFont="1" applyFill="1" applyBorder="1" applyAlignment="1">
      <alignment horizontal="center" vertical="center" wrapText="1"/>
    </xf>
    <xf numFmtId="176" fontId="38" fillId="48" borderId="90" xfId="0" applyNumberFormat="1" applyFont="1" applyFill="1" applyBorder="1" applyAlignment="1">
      <alignment horizontal="center" vertical="center"/>
    </xf>
    <xf numFmtId="177" fontId="0" fillId="47" borderId="55" xfId="0" applyNumberFormat="1" applyFill="1" applyBorder="1" applyAlignment="1">
      <alignment horizontal="center"/>
    </xf>
    <xf numFmtId="177" fontId="0" fillId="47" borderId="65" xfId="0" applyNumberFormat="1" applyFill="1" applyBorder="1"/>
    <xf numFmtId="0" fontId="0" fillId="47" borderId="12" xfId="0" applyFill="1" applyBorder="1" applyAlignment="1">
      <alignment horizontal="center"/>
    </xf>
    <xf numFmtId="177" fontId="0" fillId="47" borderId="13" xfId="0" applyNumberFormat="1" applyFill="1" applyBorder="1"/>
    <xf numFmtId="177" fontId="0" fillId="47" borderId="29" xfId="0" applyNumberFormat="1" applyFill="1" applyBorder="1" applyAlignment="1">
      <alignment horizontal="center"/>
    </xf>
    <xf numFmtId="176" fontId="0" fillId="47" borderId="18" xfId="0" applyNumberFormat="1" applyFill="1" applyBorder="1"/>
    <xf numFmtId="176" fontId="42" fillId="47" borderId="18" xfId="0" applyNumberFormat="1" applyFont="1" applyFill="1" applyBorder="1"/>
    <xf numFmtId="177" fontId="40" fillId="44" borderId="46" xfId="0" applyNumberFormat="1" applyFont="1" applyFill="1" applyBorder="1" applyAlignment="1">
      <alignment horizontal="center" vertical="center"/>
    </xf>
    <xf numFmtId="176" fontId="0" fillId="0" borderId="35" xfId="0" applyNumberFormat="1" applyBorder="1"/>
    <xf numFmtId="176" fontId="0" fillId="0" borderId="37" xfId="0" applyNumberFormat="1" applyBorder="1"/>
    <xf numFmtId="0" fontId="0" fillId="37" borderId="51" xfId="0" applyFill="1" applyBorder="1"/>
    <xf numFmtId="0" fontId="0" fillId="0" borderId="11" xfId="0" applyBorder="1" applyAlignment="1">
      <alignment horizontal="center" vertical="center"/>
    </xf>
    <xf numFmtId="183" fontId="0" fillId="0" borderId="36" xfId="0" applyNumberFormat="1" applyBorder="1"/>
    <xf numFmtId="0" fontId="0" fillId="37" borderId="25" xfId="0" applyFill="1" applyBorder="1" applyAlignment="1">
      <alignment horizontal="center"/>
    </xf>
    <xf numFmtId="0" fontId="0" fillId="0" borderId="0" xfId="0" applyFill="1"/>
    <xf numFmtId="176" fontId="0" fillId="0" borderId="74" xfId="0" applyNumberFormat="1" applyBorder="1"/>
    <xf numFmtId="183" fontId="0" fillId="0" borderId="63" xfId="0" applyNumberFormat="1" applyBorder="1"/>
    <xf numFmtId="176" fontId="0" fillId="0" borderId="61" xfId="0" applyNumberFormat="1" applyBorder="1"/>
    <xf numFmtId="176" fontId="0" fillId="33" borderId="30" xfId="0" applyNumberFormat="1" applyFill="1" applyBorder="1"/>
    <xf numFmtId="176" fontId="0" fillId="38" borderId="30" xfId="0" applyNumberFormat="1" applyFill="1" applyBorder="1"/>
    <xf numFmtId="0" fontId="0" fillId="37" borderId="12" xfId="0" applyFill="1" applyBorder="1" applyAlignment="1">
      <alignment horizontal="center" vertical="center"/>
    </xf>
    <xf numFmtId="0" fontId="0" fillId="37" borderId="11" xfId="0" applyFill="1" applyBorder="1" applyAlignment="1">
      <alignment horizontal="center" vertical="center"/>
    </xf>
    <xf numFmtId="14" fontId="0" fillId="37" borderId="11" xfId="0" applyNumberFormat="1" applyFill="1" applyBorder="1" applyAlignment="1">
      <alignment horizontal="center" vertical="center"/>
    </xf>
    <xf numFmtId="184" fontId="0" fillId="47" borderId="12" xfId="0" applyNumberFormat="1" applyFill="1" applyBorder="1"/>
    <xf numFmtId="184" fontId="42" fillId="47" borderId="12" xfId="0" applyNumberFormat="1" applyFont="1" applyFill="1" applyBorder="1"/>
    <xf numFmtId="184" fontId="40" fillId="47" borderId="12" xfId="0" applyNumberFormat="1" applyFont="1" applyFill="1" applyBorder="1"/>
    <xf numFmtId="184" fontId="0" fillId="0" borderId="72" xfId="0" applyNumberFormat="1" applyBorder="1"/>
    <xf numFmtId="184" fontId="0" fillId="0" borderId="16" xfId="0" applyNumberFormat="1" applyBorder="1"/>
    <xf numFmtId="176" fontId="0" fillId="49" borderId="29" xfId="0" applyNumberFormat="1" applyFill="1" applyBorder="1"/>
    <xf numFmtId="176" fontId="42" fillId="49" borderId="29" xfId="0" applyNumberFormat="1" applyFont="1" applyFill="1" applyBorder="1"/>
    <xf numFmtId="176" fontId="0" fillId="49" borderId="97" xfId="0" applyNumberFormat="1" applyFill="1" applyBorder="1"/>
    <xf numFmtId="176" fontId="38" fillId="48" borderId="24" xfId="0" applyNumberFormat="1" applyFont="1" applyFill="1" applyBorder="1" applyAlignment="1">
      <alignment horizontal="center" vertical="center"/>
    </xf>
    <xf numFmtId="0" fontId="38" fillId="48" borderId="20" xfId="0" applyFont="1" applyFill="1" applyBorder="1" applyAlignment="1">
      <alignment horizontal="center" vertical="center"/>
    </xf>
    <xf numFmtId="0" fontId="38" fillId="48" borderId="52" xfId="0" applyFont="1" applyFill="1" applyBorder="1" applyAlignment="1">
      <alignment horizontal="center" vertical="center"/>
    </xf>
    <xf numFmtId="176" fontId="37" fillId="48" borderId="24" xfId="0" applyNumberFormat="1" applyFont="1" applyFill="1" applyBorder="1" applyAlignment="1">
      <alignment horizontal="center" vertical="center"/>
    </xf>
    <xf numFmtId="176" fontId="38" fillId="48" borderId="43" xfId="0" applyNumberFormat="1" applyFont="1" applyFill="1" applyBorder="1" applyAlignment="1">
      <alignment horizontal="center" vertical="center"/>
    </xf>
    <xf numFmtId="0" fontId="38" fillId="48" borderId="32" xfId="0" applyFont="1" applyFill="1" applyBorder="1" applyAlignment="1">
      <alignment horizontal="center" vertical="center"/>
    </xf>
    <xf numFmtId="176" fontId="38" fillId="48" borderId="28" xfId="0" applyNumberFormat="1" applyFont="1" applyFill="1" applyBorder="1" applyAlignment="1">
      <alignment horizontal="center" vertical="center"/>
    </xf>
    <xf numFmtId="176" fontId="38" fillId="48" borderId="67" xfId="0" applyNumberFormat="1" applyFont="1" applyFill="1" applyBorder="1" applyAlignment="1">
      <alignment horizontal="center" vertical="center"/>
    </xf>
    <xf numFmtId="176" fontId="38" fillId="48" borderId="59" xfId="0" applyNumberFormat="1" applyFont="1" applyFill="1" applyBorder="1" applyAlignment="1">
      <alignment horizontal="center" vertical="center"/>
    </xf>
    <xf numFmtId="0" fontId="40" fillId="47" borderId="11" xfId="0" applyFont="1" applyFill="1" applyBorder="1" applyAlignment="1">
      <alignment horizontal="center"/>
    </xf>
    <xf numFmtId="177" fontId="17" fillId="0" borderId="26" xfId="0" applyNumberFormat="1" applyFont="1" applyBorder="1"/>
    <xf numFmtId="0" fontId="0" fillId="37" borderId="33" xfId="0" applyFill="1" applyBorder="1" applyAlignment="1">
      <alignment horizontal="center" vertical="center"/>
    </xf>
    <xf numFmtId="177" fontId="17" fillId="51" borderId="49" xfId="0" applyNumberFormat="1" applyFont="1" applyFill="1" applyBorder="1"/>
    <xf numFmtId="180" fontId="42" fillId="35" borderId="26" xfId="0" applyNumberFormat="1" applyFont="1" applyFill="1" applyBorder="1"/>
    <xf numFmtId="176" fontId="40" fillId="50" borderId="25" xfId="0" applyNumberFormat="1" applyFont="1" applyFill="1" applyBorder="1"/>
    <xf numFmtId="176" fontId="0" fillId="37" borderId="34" xfId="0" applyNumberFormat="1" applyFill="1" applyBorder="1" applyAlignment="1">
      <alignment horizontal="center" vertical="center"/>
    </xf>
    <xf numFmtId="176" fontId="42" fillId="50" borderId="12" xfId="0" applyNumberFormat="1" applyFont="1" applyFill="1" applyBorder="1"/>
    <xf numFmtId="176" fontId="42" fillId="35" borderId="30" xfId="0" applyNumberFormat="1" applyFont="1" applyFill="1" applyBorder="1"/>
    <xf numFmtId="176" fontId="40" fillId="46" borderId="29" xfId="0" applyNumberFormat="1" applyFont="1" applyFill="1" applyBorder="1"/>
    <xf numFmtId="14" fontId="0" fillId="34" borderId="11" xfId="0" applyNumberFormat="1" applyFill="1" applyBorder="1" applyAlignment="1">
      <alignment horizontal="center" vertical="center"/>
    </xf>
    <xf numFmtId="176" fontId="0" fillId="51" borderId="12" xfId="0" applyNumberFormat="1" applyFill="1" applyBorder="1"/>
    <xf numFmtId="176" fontId="42" fillId="42" borderId="29" xfId="0" applyNumberFormat="1" applyFont="1" applyFill="1" applyBorder="1"/>
    <xf numFmtId="0" fontId="0" fillId="51" borderId="56" xfId="0" applyFill="1" applyBorder="1" applyAlignment="1">
      <alignment horizontal="center"/>
    </xf>
    <xf numFmtId="176" fontId="0" fillId="51" borderId="25" xfId="0" applyNumberFormat="1" applyFill="1" applyBorder="1"/>
    <xf numFmtId="176" fontId="42" fillId="46" borderId="29" xfId="0" applyNumberFormat="1" applyFont="1" applyFill="1" applyBorder="1"/>
    <xf numFmtId="177" fontId="17" fillId="0" borderId="49" xfId="0" applyNumberFormat="1" applyFont="1" applyBorder="1"/>
    <xf numFmtId="0" fontId="45" fillId="40" borderId="34" xfId="0" applyNumberFormat="1" applyFont="1" applyFill="1" applyBorder="1"/>
    <xf numFmtId="177" fontId="0" fillId="51" borderId="13" xfId="0" applyNumberFormat="1" applyFill="1" applyBorder="1"/>
    <xf numFmtId="0" fontId="37" fillId="36" borderId="14" xfId="0" applyFont="1" applyFill="1" applyBorder="1" applyAlignment="1">
      <alignment horizontal="left" vertical="center"/>
    </xf>
    <xf numFmtId="176" fontId="40" fillId="47" borderId="68" xfId="0" applyNumberFormat="1" applyFont="1" applyFill="1" applyBorder="1"/>
    <xf numFmtId="184" fontId="40" fillId="51" borderId="11" xfId="0" applyNumberFormat="1" applyFont="1" applyFill="1" applyBorder="1"/>
    <xf numFmtId="176" fontId="0" fillId="50" borderId="12" xfId="0" applyNumberFormat="1" applyFill="1" applyBorder="1"/>
    <xf numFmtId="184" fontId="42" fillId="50" borderId="11" xfId="0" applyNumberFormat="1" applyFont="1" applyFill="1" applyBorder="1"/>
    <xf numFmtId="176" fontId="45" fillId="40" borderId="12" xfId="0" applyNumberFormat="1" applyFont="1" applyFill="1" applyBorder="1"/>
    <xf numFmtId="0" fontId="0" fillId="36" borderId="11" xfId="0" applyFill="1" applyBorder="1" applyAlignment="1">
      <alignment horizontal="center" vertical="center"/>
    </xf>
    <xf numFmtId="0" fontId="17" fillId="42" borderId="60" xfId="0" applyFont="1" applyFill="1" applyBorder="1" applyAlignment="1">
      <alignment horizontal="center" vertical="center"/>
    </xf>
    <xf numFmtId="177" fontId="17" fillId="47" borderId="11" xfId="0" applyNumberFormat="1" applyFont="1" applyFill="1" applyBorder="1"/>
    <xf numFmtId="176" fontId="42" fillId="51" borderId="12" xfId="0" applyNumberFormat="1" applyFont="1" applyFill="1" applyBorder="1"/>
    <xf numFmtId="177" fontId="17" fillId="0" borderId="16" xfId="0" applyNumberFormat="1" applyFont="1" applyBorder="1"/>
    <xf numFmtId="0" fontId="40" fillId="51" borderId="11" xfId="0" applyFont="1" applyFill="1" applyBorder="1" applyAlignment="1">
      <alignment horizontal="center"/>
    </xf>
    <xf numFmtId="0" fontId="38" fillId="0" borderId="36" xfId="0" applyFont="1" applyBorder="1" applyAlignment="1">
      <alignment horizontal="left" vertical="center"/>
    </xf>
    <xf numFmtId="0" fontId="37" fillId="35" borderId="14" xfId="0" applyFont="1" applyFill="1" applyBorder="1" applyAlignment="1">
      <alignment horizontal="left" vertical="center"/>
    </xf>
    <xf numFmtId="177" fontId="17" fillId="51" borderId="30" xfId="0" applyNumberFormat="1" applyFont="1" applyFill="1" applyBorder="1" applyAlignment="1">
      <alignment horizontal="center"/>
    </xf>
    <xf numFmtId="0" fontId="42" fillId="50" borderId="34" xfId="0" applyNumberFormat="1" applyFont="1" applyFill="1" applyBorder="1"/>
    <xf numFmtId="177" fontId="38" fillId="33" borderId="34" xfId="0" applyNumberFormat="1" applyFont="1" applyFill="1" applyBorder="1" applyAlignment="1">
      <alignment horizontal="left" vertical="center"/>
    </xf>
    <xf numFmtId="176" fontId="40" fillId="47" borderId="12" xfId="0" applyNumberFormat="1" applyFont="1" applyFill="1" applyBorder="1"/>
    <xf numFmtId="0" fontId="0" fillId="50" borderId="11" xfId="0" applyFill="1" applyBorder="1" applyAlignment="1">
      <alignment horizontal="center"/>
    </xf>
    <xf numFmtId="0" fontId="0" fillId="0" borderId="73" xfId="0" applyBorder="1" applyAlignment="1">
      <alignment horizontal="center" vertical="center"/>
    </xf>
    <xf numFmtId="0" fontId="17" fillId="0" borderId="96" xfId="0" applyFont="1" applyBorder="1" applyAlignment="1">
      <alignment horizontal="center" vertical="center"/>
    </xf>
    <xf numFmtId="176" fontId="42" fillId="40" borderId="12" xfId="0" applyNumberFormat="1" applyFont="1" applyFill="1" applyBorder="1"/>
    <xf numFmtId="0" fontId="0" fillId="37" borderId="30" xfId="0" applyFill="1" applyBorder="1" applyAlignment="1">
      <alignment horizontal="center" vertical="center"/>
    </xf>
    <xf numFmtId="177" fontId="0" fillId="44" borderId="46" xfId="0" applyNumberFormat="1" applyFill="1" applyBorder="1" applyAlignment="1">
      <alignment horizontal="center" vertical="center"/>
    </xf>
    <xf numFmtId="176" fontId="42" fillId="51" borderId="14" xfId="0" applyNumberFormat="1" applyFont="1" applyFill="1" applyBorder="1"/>
    <xf numFmtId="176" fontId="0" fillId="37" borderId="30" xfId="0" applyNumberFormat="1" applyFill="1" applyBorder="1" applyAlignment="1">
      <alignment horizontal="center" vertical="center"/>
    </xf>
    <xf numFmtId="177" fontId="46" fillId="47" borderId="49" xfId="0" applyNumberFormat="1" applyFont="1" applyFill="1" applyBorder="1"/>
    <xf numFmtId="0" fontId="0" fillId="40" borderId="40" xfId="0" applyFill="1" applyBorder="1" applyAlignment="1">
      <alignment horizontal="center"/>
    </xf>
    <xf numFmtId="176" fontId="45" fillId="46" borderId="25" xfId="0" applyNumberFormat="1" applyFont="1" applyFill="1" applyBorder="1"/>
    <xf numFmtId="176" fontId="42" fillId="35" borderId="13" xfId="0" applyNumberFormat="1" applyFont="1" applyFill="1" applyBorder="1"/>
    <xf numFmtId="176" fontId="40" fillId="50" borderId="12" xfId="0" applyNumberFormat="1" applyFont="1" applyFill="1" applyBorder="1"/>
    <xf numFmtId="0" fontId="40" fillId="37" borderId="14" xfId="0" applyFont="1" applyFill="1" applyBorder="1" applyAlignment="1">
      <alignment horizontal="center"/>
    </xf>
    <xf numFmtId="176" fontId="0" fillId="50" borderId="25" xfId="0" applyNumberFormat="1" applyFill="1" applyBorder="1"/>
    <xf numFmtId="177" fontId="0" fillId="46" borderId="46" xfId="0" applyNumberFormat="1" applyFill="1" applyBorder="1" applyAlignment="1">
      <alignment horizontal="center" vertical="center"/>
    </xf>
    <xf numFmtId="176" fontId="42" fillId="40" borderId="69" xfId="0" applyNumberFormat="1" applyFont="1" applyFill="1" applyBorder="1"/>
    <xf numFmtId="176" fontId="42" fillId="40" borderId="25" xfId="0" applyNumberFormat="1" applyFont="1" applyFill="1" applyBorder="1"/>
    <xf numFmtId="176" fontId="40" fillId="41" borderId="25" xfId="0" applyNumberFormat="1" applyFont="1" applyFill="1" applyBorder="1"/>
    <xf numFmtId="177" fontId="17" fillId="50" borderId="26" xfId="0" applyNumberFormat="1" applyFont="1" applyFill="1" applyBorder="1"/>
    <xf numFmtId="0" fontId="40" fillId="50" borderId="11" xfId="0" applyFont="1" applyFill="1" applyBorder="1" applyAlignment="1">
      <alignment horizontal="center"/>
    </xf>
    <xf numFmtId="176" fontId="45" fillId="41" borderId="25" xfId="0" applyNumberFormat="1" applyFont="1" applyFill="1" applyBorder="1"/>
    <xf numFmtId="177" fontId="0" fillId="40" borderId="30" xfId="0" applyNumberFormat="1" applyFill="1" applyBorder="1" applyAlignment="1">
      <alignment horizontal="center"/>
    </xf>
    <xf numFmtId="176" fontId="42" fillId="46" borderId="25" xfId="0" applyNumberFormat="1" applyFont="1" applyFill="1" applyBorder="1"/>
    <xf numFmtId="177" fontId="17" fillId="47" borderId="46" xfId="0" applyNumberFormat="1" applyFont="1" applyFill="1" applyBorder="1"/>
    <xf numFmtId="0" fontId="0" fillId="0" borderId="34" xfId="0" applyBorder="1" applyAlignment="1">
      <alignment horizontal="center" vertical="center"/>
    </xf>
    <xf numFmtId="177" fontId="17" fillId="50" borderId="11" xfId="0" applyNumberFormat="1" applyFont="1" applyFill="1" applyBorder="1"/>
    <xf numFmtId="177" fontId="17" fillId="40" borderId="46" xfId="0" applyNumberFormat="1" applyFont="1" applyFill="1" applyBorder="1"/>
    <xf numFmtId="176" fontId="0" fillId="37" borderId="11" xfId="0" applyNumberFormat="1" applyFill="1" applyBorder="1" applyAlignment="1">
      <alignment horizontal="center" vertical="center"/>
    </xf>
    <xf numFmtId="0" fontId="42" fillId="40" borderId="34" xfId="0" applyNumberFormat="1" applyFont="1" applyFill="1" applyBorder="1"/>
    <xf numFmtId="177" fontId="0" fillId="47" borderId="12" xfId="0" applyNumberFormat="1" applyFont="1" applyFill="1" applyBorder="1"/>
    <xf numFmtId="176" fontId="0" fillId="51" borderId="14" xfId="0" applyNumberFormat="1" applyFill="1" applyBorder="1"/>
    <xf numFmtId="177" fontId="0" fillId="50" borderId="13" xfId="0" applyNumberFormat="1" applyFill="1" applyBorder="1"/>
    <xf numFmtId="0" fontId="0" fillId="50" borderId="34" xfId="0" applyNumberFormat="1" applyFill="1" applyBorder="1"/>
    <xf numFmtId="0" fontId="40" fillId="40" borderId="34" xfId="0" applyNumberFormat="1" applyFont="1" applyFill="1" applyBorder="1"/>
    <xf numFmtId="176" fontId="42" fillId="36" borderId="30" xfId="0" applyNumberFormat="1" applyFont="1" applyFill="1" applyBorder="1"/>
    <xf numFmtId="177" fontId="17" fillId="40" borderId="26" xfId="0" applyNumberFormat="1" applyFont="1" applyFill="1" applyBorder="1"/>
    <xf numFmtId="176" fontId="42" fillId="51" borderId="25" xfId="0" applyNumberFormat="1" applyFont="1" applyFill="1" applyBorder="1"/>
    <xf numFmtId="177" fontId="0" fillId="47" borderId="45" xfId="0" applyNumberFormat="1" applyFont="1" applyFill="1" applyBorder="1"/>
    <xf numFmtId="0" fontId="0" fillId="51" borderId="40" xfId="0" applyFill="1" applyBorder="1" applyAlignment="1">
      <alignment horizontal="center"/>
    </xf>
    <xf numFmtId="0" fontId="0" fillId="34" borderId="30" xfId="0" applyFill="1" applyBorder="1" applyAlignment="1">
      <alignment horizontal="center" vertical="center"/>
    </xf>
    <xf numFmtId="176" fontId="40" fillId="42" borderId="29" xfId="0" applyNumberFormat="1" applyFont="1" applyFill="1" applyBorder="1"/>
    <xf numFmtId="176" fontId="40" fillId="40" borderId="25" xfId="0" applyNumberFormat="1" applyFont="1" applyFill="1" applyBorder="1"/>
    <xf numFmtId="177" fontId="17" fillId="51" borderId="56" xfId="0" applyNumberFormat="1" applyFont="1" applyFill="1" applyBorder="1" applyAlignment="1">
      <alignment horizontal="center"/>
    </xf>
    <xf numFmtId="0" fontId="45" fillId="50" borderId="34" xfId="0" applyNumberFormat="1" applyFont="1" applyFill="1" applyBorder="1"/>
    <xf numFmtId="177" fontId="38" fillId="34" borderId="34" xfId="0" applyNumberFormat="1" applyFont="1" applyFill="1" applyBorder="1" applyAlignment="1">
      <alignment horizontal="left" vertical="center"/>
    </xf>
    <xf numFmtId="177" fontId="17" fillId="0" borderId="37" xfId="0" applyNumberFormat="1" applyFont="1" applyBorder="1"/>
    <xf numFmtId="176" fontId="0" fillId="50" borderId="69" xfId="0" applyNumberFormat="1" applyFill="1" applyBorder="1"/>
    <xf numFmtId="177" fontId="38" fillId="38" borderId="34" xfId="0" applyNumberFormat="1" applyFont="1" applyFill="1" applyBorder="1" applyAlignment="1">
      <alignment horizontal="left" vertical="center"/>
    </xf>
    <xf numFmtId="181" fontId="0" fillId="41" borderId="68" xfId="0" applyNumberFormat="1" applyFill="1" applyBorder="1"/>
    <xf numFmtId="0" fontId="0" fillId="34" borderId="34" xfId="0" applyFill="1" applyBorder="1" applyAlignment="1">
      <alignment horizontal="center" vertical="center"/>
    </xf>
    <xf numFmtId="176" fontId="40" fillId="37" borderId="12" xfId="0" applyNumberFormat="1" applyFont="1" applyFill="1" applyBorder="1"/>
    <xf numFmtId="176" fontId="0" fillId="40" borderId="12" xfId="0" applyNumberFormat="1" applyFill="1" applyBorder="1"/>
    <xf numFmtId="176" fontId="40" fillId="40" borderId="12" xfId="0" applyNumberFormat="1" applyFont="1" applyFill="1" applyBorder="1"/>
    <xf numFmtId="184" fontId="0" fillId="50" borderId="11" xfId="0" applyNumberFormat="1" applyFill="1" applyBorder="1"/>
    <xf numFmtId="176" fontId="42" fillId="40" borderId="14" xfId="0" applyNumberFormat="1" applyFont="1" applyFill="1" applyBorder="1"/>
    <xf numFmtId="177" fontId="17" fillId="51" borderId="11" xfId="0" applyNumberFormat="1" applyFont="1" applyFill="1" applyBorder="1"/>
    <xf numFmtId="177" fontId="0" fillId="50" borderId="56" xfId="0" applyNumberFormat="1" applyFill="1" applyBorder="1" applyAlignment="1">
      <alignment horizontal="center"/>
    </xf>
    <xf numFmtId="184" fontId="42" fillId="40" borderId="11" xfId="0" applyNumberFormat="1" applyFont="1" applyFill="1" applyBorder="1"/>
    <xf numFmtId="184" fontId="42" fillId="51" borderId="11" xfId="0" applyNumberFormat="1" applyFont="1" applyFill="1" applyBorder="1"/>
    <xf numFmtId="0" fontId="40" fillId="51" borderId="34" xfId="0" applyNumberFormat="1" applyFont="1" applyFill="1" applyBorder="1"/>
    <xf numFmtId="0" fontId="45" fillId="51" borderId="34" xfId="0" applyNumberFormat="1" applyFont="1" applyFill="1" applyBorder="1"/>
    <xf numFmtId="176" fontId="40" fillId="40" borderId="69" xfId="0" applyNumberFormat="1" applyFont="1" applyFill="1" applyBorder="1"/>
    <xf numFmtId="177" fontId="17" fillId="50" borderId="46" xfId="0" applyNumberFormat="1" applyFont="1" applyFill="1" applyBorder="1"/>
    <xf numFmtId="176" fontId="0" fillId="51" borderId="69" xfId="0" applyNumberFormat="1" applyFill="1" applyBorder="1"/>
    <xf numFmtId="0" fontId="0" fillId="40" borderId="30" xfId="0" applyFill="1" applyBorder="1" applyAlignment="1">
      <alignment horizontal="center" vertical="center"/>
    </xf>
    <xf numFmtId="176" fontId="40" fillId="41" borderId="29" xfId="0" applyNumberFormat="1" applyFont="1" applyFill="1" applyBorder="1"/>
    <xf numFmtId="176" fontId="45" fillId="42" borderId="25" xfId="0" applyNumberFormat="1" applyFont="1" applyFill="1" applyBorder="1"/>
    <xf numFmtId="0" fontId="40" fillId="47" borderId="33" xfId="0" applyNumberFormat="1" applyFont="1" applyFill="1" applyBorder="1"/>
    <xf numFmtId="177" fontId="0" fillId="42" borderId="46" xfId="0" applyNumberFormat="1" applyFill="1" applyBorder="1" applyAlignment="1">
      <alignment horizontal="center" vertical="center"/>
    </xf>
    <xf numFmtId="0" fontId="0" fillId="40" borderId="56" xfId="0" applyFill="1" applyBorder="1" applyAlignment="1">
      <alignment horizontal="center"/>
    </xf>
    <xf numFmtId="176" fontId="40" fillId="47" borderId="18" xfId="0" applyNumberFormat="1" applyFont="1" applyFill="1" applyBorder="1"/>
    <xf numFmtId="0" fontId="0" fillId="0" borderId="30" xfId="0" applyBorder="1" applyAlignment="1">
      <alignment horizontal="center" vertical="center"/>
    </xf>
    <xf numFmtId="176" fontId="45" fillId="50" borderId="25" xfId="0" applyNumberFormat="1" applyFont="1" applyFill="1" applyBorder="1"/>
    <xf numFmtId="176" fontId="40" fillId="49" borderId="29" xfId="0" applyNumberFormat="1" applyFont="1" applyFill="1" applyBorder="1"/>
    <xf numFmtId="176" fontId="40" fillId="37" borderId="11" xfId="0" applyNumberFormat="1" applyFont="1" applyFill="1" applyBorder="1"/>
    <xf numFmtId="176" fontId="40" fillId="51" borderId="25" xfId="0" applyNumberFormat="1" applyFont="1" applyFill="1" applyBorder="1"/>
    <xf numFmtId="176" fontId="42" fillId="41" borderId="29" xfId="0" applyNumberFormat="1" applyFont="1" applyFill="1" applyBorder="1"/>
    <xf numFmtId="180" fontId="42" fillId="37" borderId="25" xfId="0" applyNumberFormat="1" applyFont="1" applyFill="1" applyBorder="1"/>
    <xf numFmtId="0" fontId="37" fillId="0" borderId="17" xfId="0" applyFont="1" applyBorder="1" applyAlignment="1">
      <alignment horizontal="left" vertical="center"/>
    </xf>
    <xf numFmtId="0" fontId="37" fillId="0" borderId="14" xfId="0" applyFont="1" applyBorder="1" applyAlignment="1">
      <alignment horizontal="left" vertical="center"/>
    </xf>
    <xf numFmtId="176" fontId="45" fillId="51" borderId="12" xfId="0" applyNumberFormat="1" applyFont="1" applyFill="1" applyBorder="1"/>
    <xf numFmtId="184" fontId="0" fillId="40" borderId="11" xfId="0" applyNumberFormat="1" applyFill="1" applyBorder="1"/>
    <xf numFmtId="0" fontId="17" fillId="46" borderId="60" xfId="0" applyFont="1" applyFill="1" applyBorder="1" applyAlignment="1">
      <alignment horizontal="center" vertical="center"/>
    </xf>
    <xf numFmtId="184" fontId="0" fillId="51" borderId="11" xfId="0" applyNumberFormat="1" applyFill="1" applyBorder="1"/>
    <xf numFmtId="177" fontId="17" fillId="0" borderId="47" xfId="0" applyNumberFormat="1" applyFont="1" applyBorder="1"/>
    <xf numFmtId="0" fontId="38" fillId="0" borderId="34" xfId="0" applyFont="1" applyBorder="1" applyAlignment="1">
      <alignment horizontal="left" vertical="center"/>
    </xf>
    <xf numFmtId="0" fontId="38" fillId="48" borderId="101" xfId="0" applyFont="1" applyFill="1" applyBorder="1" applyAlignment="1">
      <alignment horizontal="center" vertical="center"/>
    </xf>
    <xf numFmtId="0" fontId="0" fillId="40" borderId="34" xfId="0" applyNumberFormat="1" applyFill="1" applyBorder="1"/>
    <xf numFmtId="177" fontId="17" fillId="40" borderId="49" xfId="0" applyNumberFormat="1" applyFont="1" applyFill="1" applyBorder="1"/>
    <xf numFmtId="176" fontId="0" fillId="40" borderId="14" xfId="0" applyNumberFormat="1" applyFill="1" applyBorder="1"/>
    <xf numFmtId="14" fontId="0" fillId="36" borderId="11" xfId="0" applyNumberFormat="1" applyFill="1" applyBorder="1" applyAlignment="1">
      <alignment horizontal="center" vertical="center"/>
    </xf>
    <xf numFmtId="176" fontId="17" fillId="44" borderId="60" xfId="0" applyNumberFormat="1" applyFont="1" applyFill="1" applyBorder="1" applyAlignment="1">
      <alignment horizontal="center" vertical="center"/>
    </xf>
    <xf numFmtId="177" fontId="17" fillId="0" borderId="50" xfId="0" applyNumberFormat="1" applyFont="1" applyBorder="1"/>
    <xf numFmtId="176" fontId="42" fillId="34" borderId="13" xfId="0" applyNumberFormat="1" applyFont="1" applyFill="1" applyBorder="1"/>
    <xf numFmtId="0" fontId="42" fillId="36" borderId="14" xfId="0" applyFont="1" applyFill="1" applyBorder="1" applyAlignment="1">
      <alignment horizontal="center"/>
    </xf>
    <xf numFmtId="177" fontId="17" fillId="51" borderId="26" xfId="0" applyNumberFormat="1" applyFont="1" applyFill="1" applyBorder="1"/>
    <xf numFmtId="0" fontId="0" fillId="34" borderId="11" xfId="0" applyFill="1" applyBorder="1" applyAlignment="1">
      <alignment horizontal="center" vertical="center"/>
    </xf>
    <xf numFmtId="176" fontId="42" fillId="34" borderId="11" xfId="0" applyNumberFormat="1" applyFont="1" applyFill="1" applyBorder="1"/>
    <xf numFmtId="0" fontId="0" fillId="36" borderId="30" xfId="0" applyFill="1" applyBorder="1" applyAlignment="1">
      <alignment horizontal="center" vertical="center"/>
    </xf>
    <xf numFmtId="176" fontId="40" fillId="40" borderId="14" xfId="0" applyNumberFormat="1" applyFont="1" applyFill="1" applyBorder="1"/>
    <xf numFmtId="0" fontId="38" fillId="48" borderId="28" xfId="0" applyFont="1" applyFill="1" applyBorder="1" applyAlignment="1">
      <alignment horizontal="center" vertical="center"/>
    </xf>
    <xf numFmtId="177" fontId="38" fillId="36" borderId="34" xfId="0" applyNumberFormat="1" applyFont="1" applyFill="1" applyBorder="1" applyAlignment="1">
      <alignment horizontal="left" vertical="center"/>
    </xf>
    <xf numFmtId="0" fontId="0" fillId="51" borderId="11" xfId="0" applyFill="1" applyBorder="1" applyAlignment="1">
      <alignment horizontal="center"/>
    </xf>
    <xf numFmtId="0" fontId="0" fillId="0" borderId="47" xfId="0" applyBorder="1" applyAlignment="1">
      <alignment horizontal="center" vertical="center"/>
    </xf>
    <xf numFmtId="177" fontId="0" fillId="40" borderId="13" xfId="0" applyNumberFormat="1" applyFill="1" applyBorder="1"/>
    <xf numFmtId="176" fontId="45" fillId="51" borderId="25" xfId="0" applyNumberFormat="1" applyFont="1" applyFill="1" applyBorder="1"/>
    <xf numFmtId="177" fontId="38" fillId="35" borderId="34" xfId="0" applyNumberFormat="1" applyFont="1" applyFill="1" applyBorder="1" applyAlignment="1">
      <alignment horizontal="left" vertical="center"/>
    </xf>
    <xf numFmtId="177" fontId="0" fillId="41" borderId="46" xfId="0" applyNumberFormat="1" applyFill="1" applyBorder="1" applyAlignment="1">
      <alignment horizontal="center" vertical="center"/>
    </xf>
    <xf numFmtId="177" fontId="0" fillId="47" borderId="51" xfId="0" applyNumberFormat="1" applyFont="1" applyFill="1" applyBorder="1"/>
    <xf numFmtId="176" fontId="42" fillId="36" borderId="13" xfId="0" applyNumberFormat="1" applyFont="1" applyFill="1" applyBorder="1"/>
    <xf numFmtId="176" fontId="40" fillId="51" borderId="12" xfId="0" applyNumberFormat="1" applyFont="1" applyFill="1" applyBorder="1"/>
    <xf numFmtId="177" fontId="17" fillId="50" borderId="49" xfId="0" applyNumberFormat="1" applyFont="1" applyFill="1" applyBorder="1"/>
    <xf numFmtId="14" fontId="0" fillId="40" borderId="11" xfId="0" applyNumberFormat="1" applyFill="1" applyBorder="1" applyAlignment="1">
      <alignment horizontal="center" vertical="center"/>
    </xf>
    <xf numFmtId="0" fontId="42" fillId="37" borderId="14" xfId="0" applyFont="1" applyFill="1" applyBorder="1" applyAlignment="1">
      <alignment horizontal="center"/>
    </xf>
    <xf numFmtId="0" fontId="42" fillId="35" borderId="14" xfId="0" applyFont="1" applyFill="1" applyBorder="1" applyAlignment="1">
      <alignment horizontal="center"/>
    </xf>
    <xf numFmtId="177" fontId="0" fillId="40" borderId="56" xfId="0" applyNumberFormat="1" applyFill="1" applyBorder="1" applyAlignment="1">
      <alignment horizontal="center"/>
    </xf>
    <xf numFmtId="176" fontId="40" fillId="49" borderId="25" xfId="0" applyNumberFormat="1" applyFont="1" applyFill="1" applyBorder="1"/>
    <xf numFmtId="0" fontId="0" fillId="40" borderId="34" xfId="0" applyFill="1" applyBorder="1" applyAlignment="1">
      <alignment horizontal="center" vertical="center"/>
    </xf>
    <xf numFmtId="176" fontId="42" fillId="36" borderId="11" xfId="0" applyNumberFormat="1" applyFont="1" applyFill="1" applyBorder="1"/>
    <xf numFmtId="176" fontId="45" fillId="40" borderId="25" xfId="0" applyNumberFormat="1" applyFont="1" applyFill="1" applyBorder="1"/>
    <xf numFmtId="184" fontId="40" fillId="40" borderId="11" xfId="0" applyNumberFormat="1" applyFont="1" applyFill="1" applyBorder="1"/>
    <xf numFmtId="0" fontId="0" fillId="44" borderId="62" xfId="0" applyFont="1" applyFill="1" applyBorder="1" applyAlignment="1">
      <alignment horizontal="center" vertical="center"/>
    </xf>
    <xf numFmtId="0" fontId="17" fillId="44" borderId="60" xfId="0" applyFont="1" applyFill="1" applyBorder="1" applyAlignment="1">
      <alignment horizontal="center" vertical="center"/>
    </xf>
    <xf numFmtId="0" fontId="0" fillId="36" borderId="34" xfId="0" applyFill="1" applyBorder="1" applyAlignment="1">
      <alignment horizontal="center" vertical="center"/>
    </xf>
    <xf numFmtId="0" fontId="37" fillId="34" borderId="14" xfId="0" applyFont="1" applyFill="1" applyBorder="1" applyAlignment="1">
      <alignment horizontal="left" vertical="center"/>
    </xf>
    <xf numFmtId="177" fontId="17" fillId="40" borderId="11" xfId="0" applyNumberFormat="1" applyFont="1" applyFill="1" applyBorder="1"/>
    <xf numFmtId="181" fontId="0" fillId="42" borderId="68" xfId="0" applyNumberFormat="1" applyFill="1" applyBorder="1"/>
    <xf numFmtId="0" fontId="0" fillId="50" borderId="56" xfId="0" applyFill="1" applyBorder="1" applyAlignment="1">
      <alignment horizontal="center"/>
    </xf>
    <xf numFmtId="0" fontId="0" fillId="51" borderId="34" xfId="0" applyNumberFormat="1" applyFill="1" applyBorder="1"/>
    <xf numFmtId="176" fontId="45" fillId="41" borderId="29" xfId="0" applyNumberFormat="1" applyFont="1" applyFill="1" applyBorder="1"/>
    <xf numFmtId="0" fontId="40" fillId="40" borderId="11" xfId="0" applyFont="1" applyFill="1" applyBorder="1" applyAlignment="1">
      <alignment horizontal="center"/>
    </xf>
    <xf numFmtId="0" fontId="0" fillId="37" borderId="34" xfId="0" applyFill="1" applyBorder="1" applyAlignment="1">
      <alignment horizontal="center" vertical="center"/>
    </xf>
    <xf numFmtId="176" fontId="42" fillId="42" borderId="25" xfId="0" applyNumberFormat="1" applyFont="1" applyFill="1" applyBorder="1"/>
    <xf numFmtId="0" fontId="0" fillId="40" borderId="11" xfId="0" applyFill="1" applyBorder="1" applyAlignment="1">
      <alignment horizontal="center"/>
    </xf>
    <xf numFmtId="181" fontId="0" fillId="46" borderId="68" xfId="0" applyNumberFormat="1" applyFill="1" applyBorder="1"/>
    <xf numFmtId="0" fontId="40" fillId="50" borderId="34" xfId="0" applyNumberFormat="1" applyFont="1" applyFill="1" applyBorder="1"/>
    <xf numFmtId="177" fontId="17" fillId="47" borderId="26" xfId="0" applyNumberFormat="1" applyFont="1" applyFill="1" applyBorder="1"/>
    <xf numFmtId="176" fontId="40" fillId="46" borderId="25" xfId="0" applyNumberFormat="1" applyFont="1" applyFill="1" applyBorder="1"/>
    <xf numFmtId="176" fontId="42" fillId="41" borderId="25" xfId="0" applyNumberFormat="1" applyFont="1" applyFill="1" applyBorder="1"/>
    <xf numFmtId="177" fontId="17" fillId="0" borderId="11" xfId="0" applyNumberFormat="1" applyFont="1" applyBorder="1"/>
    <xf numFmtId="176" fontId="40" fillId="47" borderId="25" xfId="0" applyNumberFormat="1" applyFont="1" applyFill="1" applyBorder="1"/>
    <xf numFmtId="176" fontId="0" fillId="50" borderId="14" xfId="0" applyNumberFormat="1" applyFill="1" applyBorder="1"/>
    <xf numFmtId="176" fontId="42" fillId="50" borderId="69" xfId="0" applyNumberFormat="1" applyFont="1" applyFill="1" applyBorder="1"/>
    <xf numFmtId="176" fontId="42" fillId="51" borderId="69" xfId="0" applyNumberFormat="1" applyFont="1" applyFill="1" applyBorder="1"/>
    <xf numFmtId="177" fontId="17" fillId="51" borderId="46" xfId="0" applyNumberFormat="1" applyFont="1" applyFill="1" applyBorder="1"/>
    <xf numFmtId="176" fontId="42" fillId="50" borderId="25" xfId="0" applyNumberFormat="1" applyFont="1" applyFill="1" applyBorder="1"/>
    <xf numFmtId="177" fontId="0" fillId="47" borderId="25" xfId="0" applyNumberFormat="1" applyFont="1" applyFill="1" applyBorder="1"/>
    <xf numFmtId="177" fontId="0" fillId="44" borderId="45" xfId="0" applyNumberFormat="1" applyFill="1" applyBorder="1" applyAlignment="1">
      <alignment horizontal="center" vertical="center"/>
    </xf>
    <xf numFmtId="177" fontId="17" fillId="47" borderId="49" xfId="0" applyNumberFormat="1" applyFont="1" applyFill="1" applyBorder="1"/>
    <xf numFmtId="0" fontId="0" fillId="37" borderId="29" xfId="0" applyFill="1" applyBorder="1" applyAlignment="1">
      <alignment horizontal="center" vertical="center"/>
    </xf>
    <xf numFmtId="176" fontId="0" fillId="40" borderId="25" xfId="0" applyNumberFormat="1" applyFill="1" applyBorder="1"/>
    <xf numFmtId="176" fontId="45" fillId="42" borderId="29" xfId="0" applyNumberFormat="1" applyFont="1" applyFill="1" applyBorder="1"/>
    <xf numFmtId="180" fontId="40" fillId="37" borderId="25" xfId="0" applyNumberFormat="1" applyFont="1" applyFill="1" applyBorder="1"/>
    <xf numFmtId="176" fontId="42" fillId="35" borderId="46" xfId="0" applyNumberFormat="1" applyFont="1" applyFill="1" applyBorder="1"/>
    <xf numFmtId="177" fontId="17" fillId="0" borderId="46" xfId="0" applyNumberFormat="1" applyFont="1" applyBorder="1"/>
    <xf numFmtId="0" fontId="0" fillId="0" borderId="36" xfId="0" applyBorder="1" applyAlignment="1">
      <alignment horizontal="center" vertical="center"/>
    </xf>
    <xf numFmtId="0" fontId="42" fillId="51" borderId="34" xfId="0" applyNumberFormat="1" applyFont="1" applyFill="1" applyBorder="1"/>
    <xf numFmtId="0" fontId="17" fillId="41" borderId="60" xfId="0" applyFont="1" applyFill="1" applyBorder="1" applyAlignment="1">
      <alignment horizontal="center" vertical="center"/>
    </xf>
    <xf numFmtId="176" fontId="0" fillId="40" borderId="69" xfId="0" applyNumberFormat="1" applyFill="1" applyBorder="1"/>
    <xf numFmtId="177" fontId="0" fillId="50" borderId="30" xfId="0" applyNumberFormat="1" applyFill="1" applyBorder="1" applyAlignment="1">
      <alignment horizontal="center"/>
    </xf>
    <xf numFmtId="176" fontId="40" fillId="37" borderId="45" xfId="0" applyNumberFormat="1" applyFont="1" applyFill="1" applyBorder="1"/>
    <xf numFmtId="176" fontId="42" fillId="35" borderId="11" xfId="0" applyNumberFormat="1" applyFont="1" applyFill="1" applyBorder="1"/>
    <xf numFmtId="176" fontId="42" fillId="37" borderId="11" xfId="0" applyNumberFormat="1" applyFont="1" applyFill="1" applyBorder="1"/>
    <xf numFmtId="176" fontId="42" fillId="50" borderId="14" xfId="0" applyNumberFormat="1" applyFont="1" applyFill="1" applyBorder="1"/>
    <xf numFmtId="176" fontId="45" fillId="46" borderId="29" xfId="0" applyNumberFormat="1" applyFont="1" applyFill="1" applyBorder="1"/>
    <xf numFmtId="176" fontId="42" fillId="34" borderId="30" xfId="0" applyNumberFormat="1" applyFont="1" applyFill="1" applyBorder="1"/>
    <xf numFmtId="0" fontId="0" fillId="50" borderId="40" xfId="0" applyFill="1" applyBorder="1" applyAlignment="1">
      <alignment horizontal="center"/>
    </xf>
    <xf numFmtId="176" fontId="40" fillId="42" borderId="25" xfId="0" applyNumberFormat="1" applyFont="1" applyFill="1" applyBorder="1"/>
    <xf numFmtId="0" fontId="17" fillId="0" borderId="60" xfId="0" applyFont="1" applyBorder="1" applyAlignment="1">
      <alignment horizontal="center" vertical="center"/>
    </xf>
    <xf numFmtId="176" fontId="45" fillId="50" borderId="12" xfId="0" applyNumberFormat="1" applyFont="1" applyFill="1" applyBorder="1"/>
    <xf numFmtId="176" fontId="0" fillId="37" borderId="12" xfId="0" applyNumberFormat="1" applyFill="1" applyBorder="1"/>
    <xf numFmtId="176" fontId="0" fillId="37" borderId="25" xfId="0" applyNumberFormat="1" applyFill="1" applyBorder="1"/>
    <xf numFmtId="176" fontId="0" fillId="37" borderId="29" xfId="0" applyNumberFormat="1" applyFill="1" applyBorder="1"/>
    <xf numFmtId="0" fontId="0" fillId="0" borderId="0" xfId="0"/>
    <xf numFmtId="0" fontId="37" fillId="0" borderId="0" xfId="0" applyFont="1"/>
    <xf numFmtId="0" fontId="0" fillId="35" borderId="49" xfId="0" applyFill="1" applyBorder="1"/>
    <xf numFmtId="0" fontId="0" fillId="35" borderId="11" xfId="0" applyFill="1" applyBorder="1" applyAlignment="1">
      <alignment horizontal="center"/>
    </xf>
    <xf numFmtId="0" fontId="0" fillId="35" borderId="30" xfId="0" applyFill="1" applyBorder="1" applyAlignment="1">
      <alignment horizontal="center"/>
    </xf>
    <xf numFmtId="176" fontId="0" fillId="35" borderId="11" xfId="0" applyNumberFormat="1" applyFill="1" applyBorder="1"/>
    <xf numFmtId="180" fontId="0" fillId="35" borderId="26" xfId="0" applyNumberFormat="1" applyFill="1" applyBorder="1"/>
    <xf numFmtId="0" fontId="0" fillId="34" borderId="49" xfId="0" applyFill="1" applyBorder="1"/>
    <xf numFmtId="0" fontId="0" fillId="34" borderId="11" xfId="0" applyFill="1" applyBorder="1" applyAlignment="1">
      <alignment horizontal="center"/>
    </xf>
    <xf numFmtId="0" fontId="0" fillId="34" borderId="30" xfId="0" applyFill="1" applyBorder="1" applyAlignment="1">
      <alignment horizontal="center"/>
    </xf>
    <xf numFmtId="176" fontId="0" fillId="34" borderId="11" xfId="0" applyNumberFormat="1" applyFill="1" applyBorder="1"/>
    <xf numFmtId="180" fontId="0" fillId="34" borderId="26" xfId="0" applyNumberFormat="1" applyFill="1" applyBorder="1"/>
    <xf numFmtId="0" fontId="0" fillId="36" borderId="49" xfId="0" applyFill="1" applyBorder="1"/>
    <xf numFmtId="0" fontId="0" fillId="36" borderId="11" xfId="0" applyFill="1" applyBorder="1" applyAlignment="1">
      <alignment horizontal="center"/>
    </xf>
    <xf numFmtId="0" fontId="0" fillId="36" borderId="30" xfId="0" applyFill="1" applyBorder="1" applyAlignment="1">
      <alignment horizontal="center"/>
    </xf>
    <xf numFmtId="176" fontId="0" fillId="36" borderId="11" xfId="0" applyNumberFormat="1" applyFill="1" applyBorder="1"/>
    <xf numFmtId="180" fontId="0" fillId="36" borderId="26" xfId="0" applyNumberFormat="1" applyFill="1" applyBorder="1"/>
    <xf numFmtId="176" fontId="0" fillId="36" borderId="46" xfId="0" applyNumberFormat="1" applyFill="1" applyBorder="1"/>
    <xf numFmtId="176" fontId="0" fillId="34" borderId="46" xfId="0" applyNumberFormat="1" applyFill="1" applyBorder="1"/>
    <xf numFmtId="176" fontId="0" fillId="35" borderId="46" xfId="0" applyNumberFormat="1" applyFill="1" applyBorder="1"/>
    <xf numFmtId="0" fontId="0" fillId="0" borderId="11" xfId="0" applyBorder="1" applyAlignment="1">
      <alignment horizontal="center" vertical="center"/>
    </xf>
    <xf numFmtId="0" fontId="0" fillId="40" borderId="11" xfId="0" applyFill="1" applyBorder="1" applyAlignment="1">
      <alignment horizontal="center" vertical="center"/>
    </xf>
    <xf numFmtId="0" fontId="0" fillId="36" borderId="26" xfId="0" applyFill="1" applyBorder="1" applyAlignment="1">
      <alignment horizontal="center"/>
    </xf>
    <xf numFmtId="0" fontId="0" fillId="34" borderId="26" xfId="0" applyFill="1" applyBorder="1" applyAlignment="1">
      <alignment horizontal="center"/>
    </xf>
    <xf numFmtId="0" fontId="0" fillId="35" borderId="26" xfId="0" applyFill="1" applyBorder="1" applyAlignment="1">
      <alignment horizontal="center"/>
    </xf>
    <xf numFmtId="0" fontId="0" fillId="34" borderId="14" xfId="0" applyFill="1" applyBorder="1" applyAlignment="1">
      <alignment horizontal="center"/>
    </xf>
    <xf numFmtId="0" fontId="0" fillId="36" borderId="14" xfId="0" applyFill="1" applyBorder="1" applyAlignment="1">
      <alignment horizontal="center"/>
    </xf>
    <xf numFmtId="0" fontId="0" fillId="35" borderId="14" xfId="0" applyFill="1" applyBorder="1" applyAlignment="1">
      <alignment horizontal="center"/>
    </xf>
    <xf numFmtId="0" fontId="0" fillId="0" borderId="0" xfId="0" applyFill="1"/>
    <xf numFmtId="0" fontId="0" fillId="45" borderId="40" xfId="0" applyFill="1" applyBorder="1" applyAlignment="1">
      <alignment horizontal="center"/>
    </xf>
    <xf numFmtId="0" fontId="0" fillId="45" borderId="58" xfId="0" applyFill="1" applyBorder="1" applyAlignment="1">
      <alignment horizontal="center"/>
    </xf>
    <xf numFmtId="0" fontId="0" fillId="45" borderId="56" xfId="0" applyFill="1" applyBorder="1" applyAlignment="1">
      <alignment horizontal="center"/>
    </xf>
    <xf numFmtId="177" fontId="0" fillId="45" borderId="56" xfId="0" applyNumberFormat="1" applyFill="1" applyBorder="1" applyAlignment="1">
      <alignment horizontal="center"/>
    </xf>
    <xf numFmtId="184" fontId="0" fillId="45" borderId="11" xfId="0" applyNumberFormat="1" applyFill="1" applyBorder="1"/>
    <xf numFmtId="184" fontId="40" fillId="45" borderId="11" xfId="0" applyNumberFormat="1" applyFont="1" applyFill="1" applyBorder="1"/>
    <xf numFmtId="184" fontId="42" fillId="45" borderId="11" xfId="0" applyNumberFormat="1" applyFont="1" applyFill="1" applyBorder="1"/>
    <xf numFmtId="0" fontId="0" fillId="45" borderId="64" xfId="0" applyFill="1" applyBorder="1" applyAlignment="1">
      <alignment horizontal="center"/>
    </xf>
    <xf numFmtId="184" fontId="0" fillId="45" borderId="72" xfId="0" applyNumberFormat="1" applyFill="1" applyBorder="1"/>
    <xf numFmtId="177" fontId="0" fillId="45" borderId="64" xfId="0" applyNumberFormat="1" applyFill="1" applyBorder="1" applyAlignment="1">
      <alignment horizontal="center"/>
    </xf>
    <xf numFmtId="176" fontId="0" fillId="45" borderId="25" xfId="0" applyNumberFormat="1" applyFill="1" applyBorder="1"/>
    <xf numFmtId="0" fontId="0" fillId="45" borderId="34" xfId="0" applyNumberFormat="1" applyFill="1" applyBorder="1"/>
    <xf numFmtId="176" fontId="40" fillId="45" borderId="25" xfId="0" applyNumberFormat="1" applyFont="1" applyFill="1" applyBorder="1"/>
    <xf numFmtId="0" fontId="40" fillId="45" borderId="34" xfId="0" applyNumberFormat="1" applyFont="1" applyFill="1" applyBorder="1"/>
    <xf numFmtId="176" fontId="0" fillId="45" borderId="75" xfId="0" applyNumberFormat="1" applyFill="1" applyBorder="1"/>
    <xf numFmtId="176" fontId="0" fillId="45" borderId="87" xfId="0" applyNumberFormat="1" applyFill="1" applyBorder="1"/>
    <xf numFmtId="0" fontId="0" fillId="45" borderId="63" xfId="0" applyNumberFormat="1" applyFill="1" applyBorder="1"/>
    <xf numFmtId="176" fontId="0" fillId="45" borderId="26" xfId="0" applyNumberFormat="1" applyFill="1" applyBorder="1"/>
    <xf numFmtId="176" fontId="0" fillId="45" borderId="69" xfId="0" applyNumberFormat="1" applyFill="1" applyBorder="1"/>
    <xf numFmtId="176" fontId="0" fillId="45" borderId="83" xfId="0" applyNumberFormat="1" applyFill="1" applyBorder="1"/>
    <xf numFmtId="176" fontId="0" fillId="45" borderId="14" xfId="0" applyNumberFormat="1" applyFill="1" applyBorder="1"/>
    <xf numFmtId="0" fontId="0" fillId="45" borderId="33" xfId="0" applyNumberFormat="1" applyFill="1" applyBorder="1"/>
    <xf numFmtId="176" fontId="0" fillId="45" borderId="85" xfId="0" applyNumberFormat="1" applyFill="1" applyBorder="1"/>
    <xf numFmtId="177" fontId="17" fillId="45" borderId="49" xfId="0" applyNumberFormat="1" applyFont="1" applyFill="1" applyBorder="1"/>
    <xf numFmtId="177" fontId="17" fillId="45" borderId="26" xfId="0" applyNumberFormat="1" applyFont="1" applyFill="1" applyBorder="1"/>
    <xf numFmtId="177" fontId="17" fillId="45" borderId="11" xfId="0" applyNumberFormat="1" applyFont="1" applyFill="1" applyBorder="1"/>
    <xf numFmtId="177" fontId="17" fillId="45" borderId="46" xfId="0" applyNumberFormat="1" applyFont="1" applyFill="1" applyBorder="1"/>
    <xf numFmtId="0" fontId="17" fillId="39" borderId="60" xfId="0" applyFont="1" applyFill="1" applyBorder="1" applyAlignment="1">
      <alignment horizontal="center" vertical="center"/>
    </xf>
    <xf numFmtId="0" fontId="0" fillId="35" borderId="34" xfId="0" applyFill="1" applyBorder="1" applyAlignment="1">
      <alignment horizontal="center" vertical="center"/>
    </xf>
    <xf numFmtId="0" fontId="0" fillId="35" borderId="11" xfId="0" applyFill="1" applyBorder="1" applyAlignment="1">
      <alignment horizontal="center" vertical="center"/>
    </xf>
    <xf numFmtId="0" fontId="0" fillId="35" borderId="30" xfId="0" applyFill="1" applyBorder="1" applyAlignment="1">
      <alignment horizontal="center" vertical="center"/>
    </xf>
    <xf numFmtId="177" fontId="0" fillId="39" borderId="46" xfId="0" applyNumberFormat="1" applyFill="1" applyBorder="1" applyAlignment="1">
      <alignment horizontal="center" vertical="center"/>
    </xf>
    <xf numFmtId="177" fontId="0" fillId="39" borderId="73" xfId="0" applyNumberFormat="1" applyFill="1" applyBorder="1" applyAlignment="1">
      <alignment horizontal="center" vertical="center"/>
    </xf>
    <xf numFmtId="176" fontId="45" fillId="39" borderId="25" xfId="0" applyNumberFormat="1" applyFont="1" applyFill="1" applyBorder="1"/>
    <xf numFmtId="176" fontId="45" fillId="39" borderId="29" xfId="0" applyNumberFormat="1" applyFont="1" applyFill="1" applyBorder="1"/>
    <xf numFmtId="176" fontId="40" fillId="39" borderId="25" xfId="0" applyNumberFormat="1" applyFont="1" applyFill="1" applyBorder="1"/>
    <xf numFmtId="176" fontId="40" fillId="39" borderId="29" xfId="0" applyNumberFormat="1" applyFont="1" applyFill="1" applyBorder="1"/>
    <xf numFmtId="0" fontId="37" fillId="38" borderId="14" xfId="0" applyFont="1" applyFill="1" applyBorder="1" applyAlignment="1">
      <alignment horizontal="left" vertical="center"/>
    </xf>
    <xf numFmtId="0" fontId="0" fillId="38" borderId="11" xfId="0" applyFill="1" applyBorder="1" applyAlignment="1">
      <alignment horizontal="center" vertical="center"/>
    </xf>
    <xf numFmtId="181" fontId="0" fillId="39" borderId="68" xfId="0" applyNumberFormat="1" applyFill="1" applyBorder="1"/>
    <xf numFmtId="0" fontId="40" fillId="38" borderId="11" xfId="0" applyFont="1" applyFill="1" applyBorder="1" applyAlignment="1">
      <alignment horizontal="center"/>
    </xf>
    <xf numFmtId="14" fontId="0" fillId="38" borderId="11" xfId="0" applyNumberFormat="1" applyFill="1" applyBorder="1" applyAlignment="1">
      <alignment horizontal="center" vertical="center"/>
    </xf>
    <xf numFmtId="176" fontId="42" fillId="38" borderId="13" xfId="0" applyNumberFormat="1" applyFont="1" applyFill="1" applyBorder="1"/>
    <xf numFmtId="176" fontId="42" fillId="38" borderId="11" xfId="0" applyNumberFormat="1" applyFont="1" applyFill="1" applyBorder="1"/>
    <xf numFmtId="176" fontId="42" fillId="38" borderId="30" xfId="0" applyNumberFormat="1" applyFont="1" applyFill="1" applyBorder="1"/>
    <xf numFmtId="176" fontId="42" fillId="45" borderId="25" xfId="0" applyNumberFormat="1" applyFont="1" applyFill="1" applyBorder="1"/>
    <xf numFmtId="176" fontId="42" fillId="45" borderId="12" xfId="0" applyNumberFormat="1" applyFont="1" applyFill="1" applyBorder="1"/>
    <xf numFmtId="0" fontId="42" fillId="45" borderId="34" xfId="0" applyNumberFormat="1" applyFont="1" applyFill="1" applyBorder="1"/>
    <xf numFmtId="176" fontId="42" fillId="39" borderId="25" xfId="0" applyNumberFormat="1" applyFont="1" applyFill="1" applyBorder="1"/>
    <xf numFmtId="176" fontId="42" fillId="39" borderId="29" xfId="0" applyNumberFormat="1" applyFont="1" applyFill="1" applyBorder="1"/>
    <xf numFmtId="176" fontId="42" fillId="45" borderId="26" xfId="0" applyNumberFormat="1" applyFont="1" applyFill="1" applyBorder="1"/>
    <xf numFmtId="176" fontId="42" fillId="45" borderId="11" xfId="0" applyNumberFormat="1" applyFont="1" applyFill="1" applyBorder="1"/>
    <xf numFmtId="176" fontId="42" fillId="45" borderId="14" xfId="0" applyNumberFormat="1" applyFont="1" applyFill="1" applyBorder="1"/>
    <xf numFmtId="176" fontId="42" fillId="45" borderId="69" xfId="0" applyNumberFormat="1" applyFont="1" applyFill="1" applyBorder="1"/>
    <xf numFmtId="176" fontId="42" fillId="45" borderId="85" xfId="0" applyNumberFormat="1" applyFont="1" applyFill="1" applyBorder="1"/>
    <xf numFmtId="0" fontId="0" fillId="48" borderId="58" xfId="0" applyFill="1" applyBorder="1" applyAlignment="1">
      <alignment horizontal="center"/>
    </xf>
    <xf numFmtId="0" fontId="0" fillId="48" borderId="64" xfId="0" applyFill="1" applyBorder="1" applyAlignment="1">
      <alignment horizontal="center"/>
    </xf>
    <xf numFmtId="177" fontId="0" fillId="48" borderId="64" xfId="0" applyNumberFormat="1" applyFill="1" applyBorder="1" applyAlignment="1">
      <alignment horizontal="center"/>
    </xf>
    <xf numFmtId="184" fontId="0" fillId="48" borderId="11" xfId="0" applyNumberFormat="1" applyFill="1" applyBorder="1"/>
    <xf numFmtId="184" fontId="40" fillId="48" borderId="11" xfId="0" applyNumberFormat="1" applyFont="1" applyFill="1" applyBorder="1"/>
    <xf numFmtId="176" fontId="0" fillId="48" borderId="26" xfId="0" applyNumberFormat="1" applyFill="1" applyBorder="1"/>
    <xf numFmtId="176" fontId="0" fillId="48" borderId="11" xfId="0" applyNumberFormat="1" applyFill="1" applyBorder="1"/>
    <xf numFmtId="0" fontId="0" fillId="48" borderId="34" xfId="0" applyNumberFormat="1" applyFill="1" applyBorder="1"/>
    <xf numFmtId="176" fontId="0" fillId="48" borderId="74" xfId="0" applyNumberFormat="1" applyFill="1" applyBorder="1"/>
    <xf numFmtId="176" fontId="0" fillId="48" borderId="72" xfId="0" applyNumberFormat="1" applyFill="1" applyBorder="1"/>
    <xf numFmtId="176" fontId="0" fillId="48" borderId="69" xfId="0" applyNumberFormat="1" applyFill="1" applyBorder="1"/>
    <xf numFmtId="176" fontId="0" fillId="48" borderId="14" xfId="0" applyNumberFormat="1" applyFill="1" applyBorder="1"/>
    <xf numFmtId="177" fontId="17" fillId="48" borderId="49" xfId="0" applyNumberFormat="1" applyFont="1" applyFill="1" applyBorder="1"/>
    <xf numFmtId="177" fontId="17" fillId="48" borderId="26" xfId="0" applyNumberFormat="1" applyFont="1" applyFill="1" applyBorder="1"/>
    <xf numFmtId="177" fontId="17" fillId="48" borderId="11" xfId="0" applyNumberFormat="1" applyFont="1" applyFill="1" applyBorder="1"/>
    <xf numFmtId="177" fontId="17" fillId="48" borderId="46" xfId="0" applyNumberFormat="1" applyFont="1" applyFill="1" applyBorder="1"/>
    <xf numFmtId="0" fontId="0" fillId="33" borderId="34" xfId="0" applyFill="1" applyBorder="1" applyAlignment="1">
      <alignment horizontal="center" vertical="center"/>
    </xf>
    <xf numFmtId="0" fontId="0" fillId="33" borderId="11" xfId="0" applyFill="1" applyBorder="1" applyAlignment="1">
      <alignment horizontal="center" vertical="center"/>
    </xf>
    <xf numFmtId="0" fontId="0" fillId="33" borderId="30" xfId="0" applyFill="1" applyBorder="1" applyAlignment="1">
      <alignment horizontal="center" vertical="center"/>
    </xf>
    <xf numFmtId="0" fontId="17" fillId="43" borderId="60" xfId="0" applyFont="1" applyFill="1" applyBorder="1" applyAlignment="1">
      <alignment horizontal="center" vertical="center"/>
    </xf>
    <xf numFmtId="177" fontId="0" fillId="43" borderId="73" xfId="0" applyNumberFormat="1" applyFill="1" applyBorder="1" applyAlignment="1">
      <alignment horizontal="center" vertical="center"/>
    </xf>
    <xf numFmtId="177" fontId="0" fillId="43" borderId="46" xfId="0" applyNumberFormat="1" applyFill="1" applyBorder="1" applyAlignment="1">
      <alignment horizontal="center" vertical="center"/>
    </xf>
    <xf numFmtId="176" fontId="45" fillId="43" borderId="25" xfId="0" applyNumberFormat="1" applyFont="1" applyFill="1" applyBorder="1"/>
    <xf numFmtId="176" fontId="45" fillId="43" borderId="29" xfId="0" applyNumberFormat="1" applyFont="1" applyFill="1" applyBorder="1"/>
    <xf numFmtId="176" fontId="40" fillId="43" borderId="25" xfId="0" applyNumberFormat="1" applyFont="1" applyFill="1" applyBorder="1"/>
    <xf numFmtId="176" fontId="40" fillId="43" borderId="29" xfId="0" applyNumberFormat="1" applyFont="1" applyFill="1" applyBorder="1"/>
    <xf numFmtId="0" fontId="37" fillId="33" borderId="14" xfId="0" applyFont="1" applyFill="1" applyBorder="1" applyAlignment="1">
      <alignment horizontal="left" vertical="center"/>
    </xf>
    <xf numFmtId="181" fontId="0" fillId="43" borderId="68" xfId="0" applyNumberFormat="1" applyFill="1" applyBorder="1"/>
    <xf numFmtId="0" fontId="0" fillId="52" borderId="82" xfId="0" applyFill="1" applyBorder="1"/>
    <xf numFmtId="0" fontId="0" fillId="52" borderId="58" xfId="0" applyFill="1" applyBorder="1" applyAlignment="1">
      <alignment horizontal="center"/>
    </xf>
    <xf numFmtId="176" fontId="0" fillId="52" borderId="34" xfId="0" applyNumberFormat="1" applyFill="1" applyBorder="1" applyAlignment="1">
      <alignment horizontal="center"/>
    </xf>
    <xf numFmtId="0" fontId="0" fillId="52" borderId="74" xfId="0" applyFill="1" applyBorder="1" applyAlignment="1">
      <alignment horizontal="center"/>
    </xf>
    <xf numFmtId="0" fontId="0" fillId="52" borderId="72" xfId="0" applyFill="1" applyBorder="1" applyAlignment="1">
      <alignment horizontal="center"/>
    </xf>
    <xf numFmtId="0" fontId="0" fillId="52" borderId="61" xfId="0" applyFill="1" applyBorder="1" applyAlignment="1">
      <alignment horizontal="center"/>
    </xf>
    <xf numFmtId="0" fontId="0" fillId="52" borderId="64" xfId="0" applyFill="1" applyBorder="1" applyAlignment="1">
      <alignment horizontal="center"/>
    </xf>
    <xf numFmtId="177" fontId="0" fillId="52" borderId="64" xfId="0" applyNumberFormat="1" applyFill="1" applyBorder="1" applyAlignment="1">
      <alignment horizontal="center"/>
    </xf>
    <xf numFmtId="0" fontId="0" fillId="52" borderId="74" xfId="0" applyNumberFormat="1" applyFill="1" applyBorder="1"/>
    <xf numFmtId="184" fontId="0" fillId="52" borderId="11" xfId="0" applyNumberFormat="1" applyFill="1" applyBorder="1"/>
    <xf numFmtId="181" fontId="0" fillId="52" borderId="83" xfId="0" applyNumberFormat="1" applyFill="1" applyBorder="1"/>
    <xf numFmtId="177" fontId="0" fillId="52" borderId="13" xfId="0" applyNumberFormat="1" applyFill="1" applyBorder="1"/>
    <xf numFmtId="0" fontId="0" fillId="52" borderId="11" xfId="0" applyFill="1" applyBorder="1" applyAlignment="1">
      <alignment horizontal="center"/>
    </xf>
    <xf numFmtId="0" fontId="0" fillId="52" borderId="11" xfId="0" applyFill="1" applyBorder="1" applyAlignment="1">
      <alignment horizontal="center" vertical="center"/>
    </xf>
    <xf numFmtId="177" fontId="0" fillId="52" borderId="30" xfId="0" applyNumberFormat="1" applyFill="1" applyBorder="1" applyAlignment="1">
      <alignment horizontal="center"/>
    </xf>
    <xf numFmtId="176" fontId="0" fillId="52" borderId="84" xfId="0" applyNumberFormat="1" applyFill="1" applyBorder="1"/>
    <xf numFmtId="176" fontId="0" fillId="52" borderId="72" xfId="0" applyNumberFormat="1" applyFill="1" applyBorder="1"/>
    <xf numFmtId="176" fontId="0" fillId="52" borderId="30" xfId="0" applyNumberFormat="1" applyFill="1" applyBorder="1"/>
    <xf numFmtId="177" fontId="38" fillId="52" borderId="34" xfId="0" applyNumberFormat="1" applyFont="1" applyFill="1" applyBorder="1" applyAlignment="1">
      <alignment horizontal="left" vertical="center"/>
    </xf>
    <xf numFmtId="0" fontId="37" fillId="52" borderId="14" xfId="0" applyFont="1" applyFill="1" applyBorder="1" applyAlignment="1">
      <alignment horizontal="left" vertical="center"/>
    </xf>
    <xf numFmtId="176" fontId="0" fillId="52" borderId="26" xfId="0" applyNumberFormat="1" applyFill="1" applyBorder="1"/>
    <xf numFmtId="176" fontId="0" fillId="52" borderId="11" xfId="0" applyNumberFormat="1" applyFill="1" applyBorder="1"/>
    <xf numFmtId="0" fontId="0" fillId="52" borderId="34" xfId="0" applyNumberFormat="1" applyFill="1" applyBorder="1"/>
    <xf numFmtId="180" fontId="0" fillId="52" borderId="26" xfId="0" applyNumberFormat="1" applyFill="1" applyBorder="1"/>
    <xf numFmtId="176" fontId="0" fillId="52" borderId="69" xfId="0" applyNumberFormat="1" applyFill="1" applyBorder="1"/>
    <xf numFmtId="176" fontId="0" fillId="52" borderId="46" xfId="0" applyNumberFormat="1" applyFill="1" applyBorder="1"/>
    <xf numFmtId="176" fontId="0" fillId="52" borderId="14" xfId="0" applyNumberFormat="1" applyFill="1" applyBorder="1"/>
    <xf numFmtId="0" fontId="0" fillId="52" borderId="14" xfId="0" applyFill="1" applyBorder="1" applyAlignment="1">
      <alignment horizontal="center"/>
    </xf>
    <xf numFmtId="177" fontId="0" fillId="52" borderId="46" xfId="0" applyNumberFormat="1" applyFill="1" applyBorder="1" applyAlignment="1">
      <alignment horizontal="center" vertical="center"/>
    </xf>
    <xf numFmtId="177" fontId="17" fillId="52" borderId="49" xfId="0" applyNumberFormat="1" applyFont="1" applyFill="1" applyBorder="1"/>
    <xf numFmtId="177" fontId="17" fillId="52" borderId="26" xfId="0" applyNumberFormat="1" applyFont="1" applyFill="1" applyBorder="1"/>
    <xf numFmtId="177" fontId="17" fillId="52" borderId="11" xfId="0" applyNumberFormat="1" applyFont="1" applyFill="1" applyBorder="1"/>
    <xf numFmtId="177" fontId="17" fillId="52" borderId="46" xfId="0" applyNumberFormat="1" applyFont="1" applyFill="1" applyBorder="1"/>
    <xf numFmtId="0" fontId="17" fillId="52" borderId="60" xfId="0" applyFont="1" applyFill="1" applyBorder="1" applyAlignment="1">
      <alignment horizontal="center" vertical="center"/>
    </xf>
    <xf numFmtId="0" fontId="0" fillId="52" borderId="34" xfId="0" applyFill="1" applyBorder="1" applyAlignment="1">
      <alignment horizontal="center" vertical="center"/>
    </xf>
    <xf numFmtId="0" fontId="0" fillId="52" borderId="30" xfId="0" applyFill="1" applyBorder="1" applyAlignment="1">
      <alignment horizontal="center" vertical="center"/>
    </xf>
    <xf numFmtId="14" fontId="0" fillId="33" borderId="11" xfId="0" applyNumberFormat="1" applyFill="1" applyBorder="1" applyAlignment="1">
      <alignment horizontal="center" vertical="center"/>
    </xf>
    <xf numFmtId="180" fontId="42" fillId="33" borderId="26" xfId="0" applyNumberFormat="1" applyFont="1" applyFill="1" applyBorder="1"/>
    <xf numFmtId="176" fontId="42" fillId="33" borderId="46" xfId="0" applyNumberFormat="1" applyFont="1" applyFill="1" applyBorder="1"/>
    <xf numFmtId="176" fontId="42" fillId="48" borderId="14" xfId="0" applyNumberFormat="1" applyFont="1" applyFill="1" applyBorder="1"/>
    <xf numFmtId="176" fontId="42" fillId="48" borderId="69" xfId="0" applyNumberFormat="1" applyFont="1" applyFill="1" applyBorder="1"/>
    <xf numFmtId="0" fontId="38" fillId="48" borderId="16" xfId="0" applyFont="1" applyFill="1" applyBorder="1" applyAlignment="1">
      <alignment horizontal="center" vertical="center"/>
    </xf>
    <xf numFmtId="0" fontId="38" fillId="48" borderId="47" xfId="0" applyFont="1" applyFill="1" applyBorder="1" applyAlignment="1">
      <alignment horizontal="center" vertical="center"/>
    </xf>
    <xf numFmtId="0" fontId="38" fillId="48" borderId="57" xfId="0" applyFont="1" applyFill="1" applyBorder="1" applyAlignment="1">
      <alignment horizontal="center" vertical="center"/>
    </xf>
    <xf numFmtId="176" fontId="38" fillId="48" borderId="32" xfId="0" applyNumberFormat="1" applyFont="1" applyFill="1" applyBorder="1" applyAlignment="1">
      <alignment horizontal="center" vertical="center"/>
    </xf>
    <xf numFmtId="0" fontId="38" fillId="48" borderId="54" xfId="0" applyFont="1" applyFill="1" applyBorder="1" applyAlignment="1">
      <alignment horizontal="center" vertical="center"/>
    </xf>
    <xf numFmtId="176" fontId="0" fillId="33" borderId="34" xfId="0" applyNumberFormat="1" applyFill="1" applyBorder="1"/>
    <xf numFmtId="49" fontId="37" fillId="0" borderId="0" xfId="0" applyNumberFormat="1" applyFont="1"/>
    <xf numFmtId="49" fontId="37" fillId="33" borderId="69" xfId="0" applyNumberFormat="1" applyFont="1" applyFill="1" applyBorder="1"/>
    <xf numFmtId="49" fontId="37" fillId="33" borderId="69" xfId="0" applyNumberFormat="1" applyFont="1" applyFill="1" applyBorder="1" applyAlignment="1"/>
    <xf numFmtId="178" fontId="0" fillId="43" borderId="56" xfId="0" applyNumberFormat="1" applyFill="1" applyBorder="1"/>
    <xf numFmtId="0" fontId="38" fillId="48" borderId="104" xfId="0" applyFont="1" applyFill="1" applyBorder="1" applyAlignment="1">
      <alignment horizontal="center" vertical="center"/>
    </xf>
    <xf numFmtId="180" fontId="42" fillId="37" borderId="26" xfId="0" applyNumberFormat="1" applyFont="1" applyFill="1" applyBorder="1"/>
    <xf numFmtId="176" fontId="42" fillId="37" borderId="46" xfId="0" applyNumberFormat="1" applyFont="1" applyFill="1" applyBorder="1"/>
    <xf numFmtId="176" fontId="40" fillId="50" borderId="14" xfId="0" applyNumberFormat="1" applyFont="1" applyFill="1" applyBorder="1"/>
    <xf numFmtId="0" fontId="42" fillId="38" borderId="14" xfId="0" applyFont="1" applyFill="1" applyBorder="1" applyAlignment="1">
      <alignment horizontal="center"/>
    </xf>
    <xf numFmtId="180" fontId="42" fillId="34" borderId="26" xfId="0" applyNumberFormat="1" applyFont="1" applyFill="1" applyBorder="1"/>
    <xf numFmtId="176" fontId="42" fillId="34" borderId="46" xfId="0" applyNumberFormat="1" applyFont="1" applyFill="1" applyBorder="1"/>
    <xf numFmtId="0" fontId="42" fillId="34" borderId="14" xfId="0" applyFont="1" applyFill="1" applyBorder="1" applyAlignment="1">
      <alignment horizontal="center"/>
    </xf>
    <xf numFmtId="180" fontId="42" fillId="38" borderId="26" xfId="0" applyNumberFormat="1" applyFont="1" applyFill="1" applyBorder="1"/>
    <xf numFmtId="176" fontId="42" fillId="38" borderId="46" xfId="0" applyNumberFormat="1" applyFont="1" applyFill="1" applyBorder="1"/>
    <xf numFmtId="180" fontId="42" fillId="36" borderId="26" xfId="0" applyNumberFormat="1" applyFont="1" applyFill="1" applyBorder="1"/>
    <xf numFmtId="176" fontId="42" fillId="36" borderId="46" xfId="0" applyNumberFormat="1" applyFont="1" applyFill="1" applyBorder="1"/>
    <xf numFmtId="0" fontId="42" fillId="38" borderId="85" xfId="0" applyFont="1" applyFill="1" applyBorder="1" applyAlignment="1">
      <alignment horizontal="center"/>
    </xf>
    <xf numFmtId="0" fontId="0" fillId="48" borderId="76" xfId="0" applyFill="1" applyBorder="1" applyAlignment="1">
      <alignment horizontal="center"/>
    </xf>
    <xf numFmtId="0" fontId="0" fillId="48" borderId="78" xfId="0" applyFill="1" applyBorder="1" applyAlignment="1">
      <alignment horizontal="center"/>
    </xf>
    <xf numFmtId="0" fontId="44" fillId="48" borderId="57" xfId="0" applyFont="1" applyFill="1" applyBorder="1" applyAlignment="1">
      <alignment horizontal="center" vertical="center"/>
    </xf>
    <xf numFmtId="0" fontId="16" fillId="48" borderId="57" xfId="0" applyFont="1" applyFill="1" applyBorder="1" applyAlignment="1">
      <alignment vertical="center"/>
    </xf>
    <xf numFmtId="0" fontId="17" fillId="48" borderId="37" xfId="0" applyFont="1" applyFill="1" applyBorder="1" applyAlignment="1">
      <alignment horizontal="center" vertical="center" wrapText="1"/>
    </xf>
    <xf numFmtId="0" fontId="17" fillId="48" borderId="16" xfId="0" applyFont="1" applyFill="1" applyBorder="1" applyAlignment="1">
      <alignment horizontal="center" vertical="center" wrapText="1"/>
    </xf>
    <xf numFmtId="0" fontId="0" fillId="48" borderId="16" xfId="0" applyFill="1" applyBorder="1" applyAlignment="1">
      <alignment horizontal="center" vertical="center"/>
    </xf>
    <xf numFmtId="0" fontId="0" fillId="48" borderId="35" xfId="0" applyFill="1" applyBorder="1" applyAlignment="1">
      <alignment horizontal="center" vertical="center"/>
    </xf>
    <xf numFmtId="0" fontId="0" fillId="48" borderId="37" xfId="0" applyFill="1" applyBorder="1" applyAlignment="1">
      <alignment horizontal="center" vertical="center"/>
    </xf>
    <xf numFmtId="0" fontId="38" fillId="48" borderId="90" xfId="0" applyFont="1" applyFill="1" applyBorder="1" applyAlignment="1">
      <alignment horizontal="center" vertical="center" wrapText="1"/>
    </xf>
    <xf numFmtId="0" fontId="38" fillId="48" borderId="95" xfId="0" applyFont="1" applyFill="1" applyBorder="1" applyAlignment="1">
      <alignment horizontal="center" vertical="center" wrapText="1"/>
    </xf>
    <xf numFmtId="0" fontId="38" fillId="48" borderId="89" xfId="0" applyFont="1" applyFill="1" applyBorder="1" applyAlignment="1">
      <alignment horizontal="center" vertical="center" wrapText="1"/>
    </xf>
    <xf numFmtId="0" fontId="38" fillId="48" borderId="90" xfId="0" applyFont="1" applyFill="1" applyBorder="1" applyAlignment="1">
      <alignment horizontal="center" vertical="center"/>
    </xf>
    <xf numFmtId="0" fontId="38" fillId="48" borderId="90" xfId="0" applyFont="1" applyFill="1" applyBorder="1" applyAlignment="1">
      <alignment horizontal="center" vertical="center" textRotation="180"/>
    </xf>
    <xf numFmtId="0" fontId="38" fillId="48" borderId="106" xfId="0" applyFont="1" applyFill="1" applyBorder="1" applyAlignment="1">
      <alignment horizontal="center" vertical="center"/>
    </xf>
    <xf numFmtId="0" fontId="35" fillId="48" borderId="16" xfId="0" applyFont="1" applyFill="1" applyBorder="1" applyAlignment="1">
      <alignment horizontal="center" vertical="center" textRotation="180"/>
    </xf>
    <xf numFmtId="0" fontId="36" fillId="48" borderId="16" xfId="0" applyFont="1" applyFill="1" applyBorder="1" applyAlignment="1">
      <alignment horizontal="center" vertical="center" textRotation="180"/>
    </xf>
    <xf numFmtId="176" fontId="38" fillId="48" borderId="16" xfId="0" applyNumberFormat="1" applyFont="1" applyFill="1" applyBorder="1" applyAlignment="1">
      <alignment horizontal="center" vertical="center"/>
    </xf>
    <xf numFmtId="0" fontId="0" fillId="48" borderId="16" xfId="0" applyFill="1" applyBorder="1" applyAlignment="1">
      <alignment horizontal="center"/>
    </xf>
    <xf numFmtId="176" fontId="38" fillId="48" borderId="16" xfId="0" applyNumberFormat="1" applyFont="1" applyFill="1" applyBorder="1" applyAlignment="1">
      <alignment horizontal="center" vertical="center" wrapText="1"/>
    </xf>
    <xf numFmtId="0" fontId="0" fillId="48" borderId="16" xfId="0" applyFill="1" applyBorder="1" applyAlignment="1">
      <alignment horizontal="center" wrapText="1"/>
    </xf>
    <xf numFmtId="0" fontId="0" fillId="48" borderId="17" xfId="0" applyFill="1" applyBorder="1" applyAlignment="1">
      <alignment horizontal="center"/>
    </xf>
    <xf numFmtId="0" fontId="38" fillId="48" borderId="76" xfId="0" applyFont="1" applyFill="1" applyBorder="1" applyAlignment="1">
      <alignment horizontal="center" vertical="center"/>
    </xf>
    <xf numFmtId="0" fontId="38" fillId="48" borderId="78" xfId="0" applyFont="1" applyFill="1" applyBorder="1" applyAlignment="1">
      <alignment horizontal="center" vertical="center"/>
    </xf>
    <xf numFmtId="0" fontId="38" fillId="48" borderId="93" xfId="0" applyFont="1" applyFill="1" applyBorder="1" applyAlignment="1">
      <alignment horizontal="center" vertical="center"/>
    </xf>
    <xf numFmtId="0" fontId="38" fillId="48" borderId="77" xfId="0" applyFont="1" applyFill="1" applyBorder="1" applyAlignment="1">
      <alignment horizontal="center" vertical="center"/>
    </xf>
    <xf numFmtId="176" fontId="38" fillId="48" borderId="107" xfId="0" applyNumberFormat="1" applyFont="1" applyFill="1" applyBorder="1" applyAlignment="1">
      <alignment horizontal="center" vertical="center"/>
    </xf>
    <xf numFmtId="0" fontId="0" fillId="48" borderId="47" xfId="0" applyFill="1" applyBorder="1" applyAlignment="1">
      <alignment vertical="center"/>
    </xf>
    <xf numFmtId="176" fontId="38" fillId="48" borderId="77" xfId="0" applyNumberFormat="1" applyFont="1" applyFill="1" applyBorder="1" applyAlignment="1">
      <alignment horizontal="center" vertical="center"/>
    </xf>
    <xf numFmtId="176" fontId="38" fillId="48" borderId="94" xfId="0" applyNumberFormat="1" applyFont="1" applyFill="1" applyBorder="1" applyAlignment="1">
      <alignment horizontal="center" vertical="center"/>
    </xf>
    <xf numFmtId="176" fontId="37" fillId="48" borderId="15" xfId="0" applyNumberFormat="1" applyFont="1" applyFill="1" applyBorder="1" applyAlignment="1">
      <alignment horizontal="center" vertical="center"/>
    </xf>
    <xf numFmtId="0" fontId="38" fillId="48" borderId="108" xfId="0" applyFont="1" applyFill="1" applyBorder="1" applyAlignment="1">
      <alignment horizontal="center" vertical="center"/>
    </xf>
    <xf numFmtId="0" fontId="38" fillId="48" borderId="37" xfId="0" applyFont="1" applyFill="1" applyBorder="1" applyAlignment="1">
      <alignment horizontal="center" vertical="center"/>
    </xf>
    <xf numFmtId="0" fontId="0" fillId="48" borderId="35" xfId="0" applyFill="1" applyBorder="1" applyAlignment="1">
      <alignment horizontal="center"/>
    </xf>
    <xf numFmtId="176" fontId="38" fillId="48" borderId="108" xfId="0" applyNumberFormat="1" applyFont="1" applyFill="1" applyBorder="1" applyAlignment="1">
      <alignment horizontal="center" vertical="center"/>
    </xf>
    <xf numFmtId="176" fontId="38" fillId="48" borderId="37" xfId="0" applyNumberFormat="1" applyFont="1" applyFill="1" applyBorder="1" applyAlignment="1">
      <alignment horizontal="center" vertical="center"/>
    </xf>
    <xf numFmtId="0" fontId="0" fillId="48" borderId="35" xfId="0" applyFill="1" applyBorder="1" applyAlignment="1">
      <alignment horizontal="center" wrapText="1"/>
    </xf>
    <xf numFmtId="176" fontId="38" fillId="48" borderId="95" xfId="0" applyNumberFormat="1" applyFont="1" applyFill="1" applyBorder="1" applyAlignment="1">
      <alignment horizontal="center" vertical="center" wrapText="1"/>
    </xf>
    <xf numFmtId="176" fontId="38" fillId="48" borderId="108" xfId="0" applyNumberFormat="1" applyFont="1" applyFill="1" applyBorder="1" applyAlignment="1">
      <alignment horizontal="center" vertical="center" wrapText="1"/>
    </xf>
    <xf numFmtId="176" fontId="38" fillId="48" borderId="106" xfId="0" applyNumberFormat="1" applyFont="1" applyFill="1" applyBorder="1" applyAlignment="1">
      <alignment horizontal="center" vertical="center" wrapText="1"/>
    </xf>
    <xf numFmtId="0" fontId="17" fillId="48" borderId="17" xfId="0" applyFont="1" applyFill="1" applyBorder="1" applyAlignment="1">
      <alignment horizontal="center" vertical="center" wrapText="1"/>
    </xf>
    <xf numFmtId="0" fontId="38" fillId="48" borderId="108" xfId="0" applyFont="1" applyFill="1" applyBorder="1" applyAlignment="1">
      <alignment horizontal="center" vertical="center" wrapText="1"/>
    </xf>
    <xf numFmtId="0" fontId="38" fillId="48" borderId="107" xfId="0" applyFont="1" applyFill="1" applyBorder="1" applyAlignment="1">
      <alignment horizontal="center" vertical="center" textRotation="180"/>
    </xf>
    <xf numFmtId="0" fontId="36" fillId="48" borderId="47" xfId="0" applyFont="1" applyFill="1" applyBorder="1" applyAlignment="1">
      <alignment horizontal="center" vertical="center" textRotation="180"/>
    </xf>
    <xf numFmtId="0" fontId="38" fillId="48" borderId="109" xfId="0" applyFont="1" applyFill="1" applyBorder="1" applyAlignment="1">
      <alignment horizontal="center" vertical="center"/>
    </xf>
    <xf numFmtId="0" fontId="0" fillId="48" borderId="110" xfId="0" applyFill="1" applyBorder="1" applyAlignment="1">
      <alignment vertical="center"/>
    </xf>
    <xf numFmtId="0" fontId="38" fillId="48" borderId="108" xfId="0" applyFont="1" applyFill="1" applyBorder="1" applyAlignment="1">
      <alignment horizontal="center" vertical="center" textRotation="180"/>
    </xf>
    <xf numFmtId="0" fontId="35" fillId="48" borderId="37" xfId="0" applyFont="1" applyFill="1" applyBorder="1" applyAlignment="1">
      <alignment horizontal="center" vertical="center" textRotation="180"/>
    </xf>
    <xf numFmtId="0" fontId="38" fillId="48" borderId="89" xfId="0" applyFont="1" applyFill="1" applyBorder="1" applyAlignment="1">
      <alignment horizontal="center" vertical="center"/>
    </xf>
    <xf numFmtId="0" fontId="0" fillId="48" borderId="57" xfId="0" applyFill="1" applyBorder="1" applyAlignment="1">
      <alignment horizontal="center" vertical="center"/>
    </xf>
    <xf numFmtId="0" fontId="38" fillId="48" borderId="105" xfId="0" applyFont="1" applyFill="1" applyBorder="1" applyAlignment="1"/>
    <xf numFmtId="0" fontId="38" fillId="48" borderId="111" xfId="0" applyFont="1" applyFill="1" applyBorder="1" applyAlignment="1">
      <alignment vertical="center"/>
    </xf>
    <xf numFmtId="0" fontId="38" fillId="48" borderId="111" xfId="0" applyFont="1" applyFill="1" applyBorder="1" applyAlignment="1">
      <alignment horizontal="center" vertical="center"/>
    </xf>
    <xf numFmtId="0" fontId="38" fillId="48" borderId="50" xfId="0" applyFont="1" applyFill="1" applyBorder="1" applyAlignment="1">
      <alignment horizontal="center" vertical="center"/>
    </xf>
    <xf numFmtId="0" fontId="38" fillId="48" borderId="35" xfId="0" applyFont="1" applyFill="1" applyBorder="1" applyAlignment="1">
      <alignment horizontal="center" vertical="center"/>
    </xf>
    <xf numFmtId="0" fontId="38" fillId="48" borderId="79" xfId="0" applyFont="1" applyFill="1" applyBorder="1" applyAlignment="1">
      <alignment horizontal="center" vertical="center" wrapText="1"/>
    </xf>
    <xf numFmtId="0" fontId="38" fillId="48" borderId="66" xfId="0" applyFont="1" applyFill="1" applyBorder="1" applyAlignment="1">
      <alignment horizontal="center" vertical="center"/>
    </xf>
    <xf numFmtId="0" fontId="38" fillId="48" borderId="113" xfId="0" applyFont="1" applyFill="1" applyBorder="1" applyAlignment="1">
      <alignment horizontal="center" vertical="center"/>
    </xf>
    <xf numFmtId="0" fontId="38" fillId="48" borderId="80" xfId="0" applyFont="1" applyFill="1" applyBorder="1" applyAlignment="1">
      <alignment horizontal="center" vertical="center"/>
    </xf>
    <xf numFmtId="0" fontId="38" fillId="48" borderId="112" xfId="0" applyFont="1" applyFill="1" applyBorder="1" applyAlignment="1">
      <alignment horizontal="center" vertical="center" wrapText="1"/>
    </xf>
    <xf numFmtId="0" fontId="38" fillId="48" borderId="112" xfId="0" applyFont="1" applyFill="1" applyBorder="1" applyAlignment="1">
      <alignment horizontal="center" vertical="center"/>
    </xf>
    <xf numFmtId="176" fontId="38" fillId="48" borderId="48" xfId="0" applyNumberFormat="1" applyFont="1" applyFill="1" applyBorder="1" applyAlignment="1">
      <alignment horizontal="center" vertical="center" wrapText="1"/>
    </xf>
    <xf numFmtId="0" fontId="38" fillId="48" borderId="107" xfId="0" applyFont="1" applyFill="1" applyBorder="1" applyAlignment="1">
      <alignment horizontal="center" vertical="center"/>
    </xf>
    <xf numFmtId="0" fontId="38" fillId="48" borderId="95" xfId="0" applyFont="1" applyFill="1" applyBorder="1" applyAlignment="1">
      <alignment horizontal="center" vertical="center"/>
    </xf>
    <xf numFmtId="176" fontId="0" fillId="0" borderId="33" xfId="0" applyNumberFormat="1" applyFill="1" applyBorder="1" applyAlignment="1">
      <alignment horizontal="center"/>
    </xf>
    <xf numFmtId="0" fontId="0" fillId="0" borderId="25" xfId="0" applyFill="1" applyBorder="1" applyAlignment="1">
      <alignment horizontal="center"/>
    </xf>
    <xf numFmtId="0" fontId="0" fillId="0" borderId="12" xfId="0" applyFill="1" applyBorder="1" applyAlignment="1">
      <alignment horizontal="center"/>
    </xf>
    <xf numFmtId="0" fontId="0" fillId="0" borderId="29" xfId="0" applyFill="1" applyBorder="1" applyAlignment="1">
      <alignment horizontal="center"/>
    </xf>
    <xf numFmtId="0" fontId="0" fillId="0" borderId="55" xfId="0" applyFill="1" applyBorder="1" applyAlignment="1">
      <alignment horizontal="center"/>
    </xf>
    <xf numFmtId="177" fontId="0" fillId="0" borderId="55" xfId="0" applyNumberFormat="1" applyFill="1" applyBorder="1" applyAlignment="1">
      <alignment horizontal="center"/>
    </xf>
    <xf numFmtId="0" fontId="0" fillId="0" borderId="25" xfId="0" applyNumberFormat="1" applyFill="1" applyBorder="1"/>
    <xf numFmtId="184" fontId="0" fillId="0" borderId="12" xfId="0" applyNumberFormat="1" applyFill="1" applyBorder="1"/>
    <xf numFmtId="181" fontId="0" fillId="0" borderId="68" xfId="0" applyNumberFormat="1" applyFill="1" applyBorder="1"/>
    <xf numFmtId="177" fontId="0" fillId="0" borderId="65" xfId="0" applyNumberFormat="1" applyFill="1" applyBorder="1"/>
    <xf numFmtId="0" fontId="0" fillId="0" borderId="12" xfId="0" applyFill="1" applyBorder="1" applyAlignment="1">
      <alignment horizontal="center" vertical="center"/>
    </xf>
    <xf numFmtId="177" fontId="0" fillId="0" borderId="29" xfId="0" applyNumberFormat="1" applyFill="1" applyBorder="1" applyAlignment="1">
      <alignment horizontal="center"/>
    </xf>
    <xf numFmtId="176" fontId="0" fillId="0" borderId="65" xfId="0" applyNumberFormat="1" applyFill="1" applyBorder="1"/>
    <xf numFmtId="176" fontId="0" fillId="0" borderId="12" xfId="0" applyNumberFormat="1" applyFill="1" applyBorder="1"/>
    <xf numFmtId="176" fontId="0" fillId="0" borderId="29" xfId="0" applyNumberFormat="1" applyFill="1" applyBorder="1"/>
    <xf numFmtId="177" fontId="37" fillId="0" borderId="65" xfId="0" applyNumberFormat="1" applyFont="1" applyFill="1" applyBorder="1" applyAlignment="1">
      <alignment horizontal="left" vertical="center"/>
    </xf>
    <xf numFmtId="0" fontId="37" fillId="0" borderId="18" xfId="0" applyFont="1" applyFill="1" applyBorder="1" applyAlignment="1">
      <alignment horizontal="left" vertical="center"/>
    </xf>
    <xf numFmtId="176" fontId="0" fillId="0" borderId="45" xfId="0" applyNumberFormat="1" applyFill="1" applyBorder="1"/>
    <xf numFmtId="176" fontId="0" fillId="0" borderId="18" xfId="0" applyNumberFormat="1" applyFill="1" applyBorder="1"/>
    <xf numFmtId="177" fontId="0" fillId="0" borderId="45" xfId="0" applyNumberFormat="1" applyFill="1" applyBorder="1" applyAlignment="1">
      <alignment horizontal="center" vertical="center"/>
    </xf>
    <xf numFmtId="177" fontId="0" fillId="0" borderId="51" xfId="0" applyNumberFormat="1" applyFont="1" applyFill="1" applyBorder="1"/>
    <xf numFmtId="177" fontId="0" fillId="0" borderId="25" xfId="0" applyNumberFormat="1" applyFont="1" applyFill="1" applyBorder="1"/>
    <xf numFmtId="177" fontId="0" fillId="0" borderId="12" xfId="0" applyNumberFormat="1" applyFont="1" applyFill="1" applyBorder="1"/>
    <xf numFmtId="177" fontId="0" fillId="0" borderId="45" xfId="0" applyNumberFormat="1" applyFont="1" applyFill="1" applyBorder="1"/>
    <xf numFmtId="0" fontId="0" fillId="0" borderId="62" xfId="0" applyFont="1" applyFill="1" applyBorder="1" applyAlignment="1">
      <alignment horizontal="center" vertical="center"/>
    </xf>
    <xf numFmtId="0" fontId="0" fillId="0" borderId="33" xfId="0" applyFill="1" applyBorder="1" applyAlignment="1">
      <alignment horizontal="center" vertical="center"/>
    </xf>
    <xf numFmtId="0" fontId="0" fillId="0" borderId="29" xfId="0" applyFill="1" applyBorder="1" applyAlignment="1">
      <alignment horizontal="center" vertical="center"/>
    </xf>
    <xf numFmtId="0" fontId="38" fillId="48" borderId="106" xfId="0" applyFont="1" applyFill="1" applyBorder="1" applyAlignment="1">
      <alignment horizontal="center" vertical="center" wrapText="1"/>
    </xf>
    <xf numFmtId="0" fontId="0" fillId="0" borderId="68" xfId="0" applyFill="1" applyBorder="1" applyAlignment="1">
      <alignment horizontal="center"/>
    </xf>
    <xf numFmtId="0" fontId="0" fillId="0" borderId="39" xfId="0" applyFill="1" applyBorder="1" applyAlignment="1">
      <alignment horizontal="center"/>
    </xf>
    <xf numFmtId="185" fontId="0" fillId="0" borderId="33" xfId="0" applyNumberFormat="1" applyFill="1" applyBorder="1"/>
    <xf numFmtId="180" fontId="0" fillId="0" borderId="33" xfId="0" applyNumberFormat="1" applyFill="1" applyBorder="1"/>
    <xf numFmtId="180" fontId="0" fillId="0" borderId="12" xfId="0" applyNumberFormat="1" applyFill="1" applyBorder="1"/>
    <xf numFmtId="180" fontId="0" fillId="0" borderId="65" xfId="0" applyNumberFormat="1" applyBorder="1"/>
    <xf numFmtId="0" fontId="0" fillId="0" borderId="12" xfId="0" applyBorder="1"/>
    <xf numFmtId="180" fontId="0" fillId="0" borderId="12" xfId="0" applyNumberFormat="1" applyBorder="1"/>
    <xf numFmtId="176" fontId="0" fillId="0" borderId="18" xfId="0" applyNumberFormat="1" applyBorder="1"/>
    <xf numFmtId="176" fontId="0" fillId="0" borderId="33" xfId="0" applyNumberFormat="1" applyFill="1" applyBorder="1"/>
    <xf numFmtId="178" fontId="0" fillId="0" borderId="55" xfId="0" applyNumberFormat="1" applyFill="1" applyBorder="1"/>
    <xf numFmtId="49" fontId="37" fillId="0" borderId="68" xfId="0" applyNumberFormat="1" applyFont="1" applyFill="1" applyBorder="1" applyAlignment="1"/>
    <xf numFmtId="0" fontId="39" fillId="48" borderId="114" xfId="0" applyFont="1" applyFill="1" applyBorder="1" applyAlignment="1">
      <alignment horizontal="right" vertical="center"/>
    </xf>
    <xf numFmtId="180" fontId="39" fillId="48" borderId="115" xfId="0" applyNumberFormat="1" applyFont="1" applyFill="1" applyBorder="1" applyAlignment="1">
      <alignment horizontal="right" vertical="center"/>
    </xf>
    <xf numFmtId="0" fontId="37" fillId="48" borderId="116" xfId="0" applyFont="1" applyFill="1" applyBorder="1" applyAlignment="1">
      <alignment horizontal="left" vertical="center"/>
    </xf>
    <xf numFmtId="0" fontId="0" fillId="53" borderId="39" xfId="0" applyFill="1" applyBorder="1" applyAlignment="1">
      <alignment horizontal="center"/>
    </xf>
    <xf numFmtId="176" fontId="0" fillId="53" borderId="33" xfId="0" applyNumberFormat="1" applyFill="1" applyBorder="1" applyAlignment="1">
      <alignment horizontal="center"/>
    </xf>
    <xf numFmtId="0" fontId="0" fillId="53" borderId="25" xfId="0" applyFill="1" applyBorder="1" applyAlignment="1">
      <alignment horizontal="center"/>
    </xf>
    <xf numFmtId="0" fontId="0" fillId="53" borderId="12" xfId="0" applyFill="1" applyBorder="1" applyAlignment="1">
      <alignment horizontal="center"/>
    </xf>
    <xf numFmtId="0" fontId="0" fillId="53" borderId="29" xfId="0" applyFill="1" applyBorder="1" applyAlignment="1">
      <alignment horizontal="center"/>
    </xf>
    <xf numFmtId="0" fontId="0" fillId="53" borderId="55" xfId="0" applyFill="1" applyBorder="1" applyAlignment="1">
      <alignment horizontal="center"/>
    </xf>
    <xf numFmtId="177" fontId="0" fillId="53" borderId="55" xfId="0" applyNumberFormat="1" applyFill="1" applyBorder="1" applyAlignment="1">
      <alignment horizontal="center"/>
    </xf>
    <xf numFmtId="0" fontId="0" fillId="53" borderId="25" xfId="0" applyNumberFormat="1" applyFill="1" applyBorder="1"/>
    <xf numFmtId="184" fontId="0" fillId="53" borderId="12" xfId="0" applyNumberFormat="1" applyFill="1" applyBorder="1"/>
    <xf numFmtId="181" fontId="0" fillId="53" borderId="68" xfId="0" applyNumberFormat="1" applyFill="1" applyBorder="1"/>
    <xf numFmtId="177" fontId="0" fillId="53" borderId="65" xfId="0" applyNumberFormat="1" applyFill="1" applyBorder="1"/>
    <xf numFmtId="0" fontId="0" fillId="53" borderId="12" xfId="0" applyFill="1" applyBorder="1" applyAlignment="1">
      <alignment horizontal="center" vertical="center"/>
    </xf>
    <xf numFmtId="177" fontId="0" fillId="53" borderId="29" xfId="0" applyNumberFormat="1" applyFill="1" applyBorder="1" applyAlignment="1">
      <alignment horizontal="center"/>
    </xf>
    <xf numFmtId="176" fontId="0" fillId="53" borderId="65" xfId="0" applyNumberFormat="1" applyFill="1" applyBorder="1"/>
    <xf numFmtId="176" fontId="0" fillId="53" borderId="12" xfId="0" applyNumberFormat="1" applyFill="1" applyBorder="1"/>
    <xf numFmtId="176" fontId="0" fillId="53" borderId="29" xfId="0" applyNumberFormat="1" applyFill="1" applyBorder="1"/>
    <xf numFmtId="177" fontId="37" fillId="53" borderId="65" xfId="0" applyNumberFormat="1" applyFont="1" applyFill="1" applyBorder="1" applyAlignment="1">
      <alignment horizontal="left" vertical="center"/>
    </xf>
    <xf numFmtId="0" fontId="37" fillId="53" borderId="18" xfId="0" applyFont="1" applyFill="1" applyBorder="1" applyAlignment="1">
      <alignment horizontal="left" vertical="center"/>
    </xf>
    <xf numFmtId="176" fontId="0" fillId="53" borderId="45" xfId="0" applyNumberFormat="1" applyFill="1" applyBorder="1"/>
    <xf numFmtId="185" fontId="0" fillId="53" borderId="33" xfId="0" applyNumberFormat="1" applyFill="1" applyBorder="1"/>
    <xf numFmtId="180" fontId="0" fillId="53" borderId="33" xfId="0" applyNumberFormat="1" applyFill="1" applyBorder="1"/>
    <xf numFmtId="180" fontId="0" fillId="53" borderId="12" xfId="0" applyNumberFormat="1" applyFill="1" applyBorder="1"/>
    <xf numFmtId="176" fontId="0" fillId="53" borderId="18" xfId="0" applyNumberFormat="1" applyFill="1" applyBorder="1"/>
    <xf numFmtId="180" fontId="0" fillId="53" borderId="65" xfId="0" applyNumberFormat="1" applyFill="1" applyBorder="1"/>
    <xf numFmtId="0" fontId="0" fillId="53" borderId="12" xfId="0" applyFill="1" applyBorder="1"/>
    <xf numFmtId="0" fontId="0" fillId="53" borderId="68" xfId="0" applyFill="1" applyBorder="1" applyAlignment="1">
      <alignment horizontal="center"/>
    </xf>
    <xf numFmtId="177" fontId="0" fillId="53" borderId="45" xfId="0" applyNumberFormat="1" applyFill="1" applyBorder="1" applyAlignment="1">
      <alignment horizontal="center" vertical="center"/>
    </xf>
    <xf numFmtId="177" fontId="0" fillId="53" borderId="51" xfId="0" applyNumberFormat="1" applyFont="1" applyFill="1" applyBorder="1"/>
    <xf numFmtId="177" fontId="0" fillId="53" borderId="25" xfId="0" applyNumberFormat="1" applyFont="1" applyFill="1" applyBorder="1"/>
    <xf numFmtId="177" fontId="0" fillId="53" borderId="12" xfId="0" applyNumberFormat="1" applyFont="1" applyFill="1" applyBorder="1"/>
    <xf numFmtId="177" fontId="0" fillId="53" borderId="45" xfId="0" applyNumberFormat="1" applyFont="1" applyFill="1" applyBorder="1"/>
    <xf numFmtId="0" fontId="0" fillId="53" borderId="62" xfId="0" applyFont="1" applyFill="1" applyBorder="1" applyAlignment="1">
      <alignment horizontal="center" vertical="center"/>
    </xf>
    <xf numFmtId="0" fontId="0" fillId="53" borderId="33" xfId="0" applyFill="1" applyBorder="1" applyAlignment="1">
      <alignment horizontal="center" vertical="center"/>
    </xf>
    <xf numFmtId="0" fontId="0" fillId="53" borderId="29" xfId="0" applyFill="1" applyBorder="1" applyAlignment="1">
      <alignment horizontal="center" vertical="center"/>
    </xf>
    <xf numFmtId="176" fontId="0" fillId="53" borderId="33" xfId="0" applyNumberFormat="1" applyFill="1" applyBorder="1"/>
    <xf numFmtId="178" fontId="0" fillId="53" borderId="55" xfId="0" applyNumberFormat="1" applyFill="1" applyBorder="1"/>
    <xf numFmtId="49" fontId="37" fillId="53" borderId="68" xfId="0" applyNumberFormat="1" applyFont="1" applyFill="1" applyBorder="1" applyAlignment="1"/>
    <xf numFmtId="14" fontId="0" fillId="53" borderId="12" xfId="0" applyNumberFormat="1" applyFill="1" applyBorder="1" applyAlignment="1">
      <alignment horizontal="center" vertical="center"/>
    </xf>
    <xf numFmtId="0" fontId="0" fillId="54" borderId="39" xfId="0" applyFill="1" applyBorder="1" applyAlignment="1">
      <alignment horizontal="center"/>
    </xf>
    <xf numFmtId="176" fontId="0" fillId="54" borderId="33" xfId="0" applyNumberFormat="1" applyFill="1" applyBorder="1" applyAlignment="1">
      <alignment horizontal="center"/>
    </xf>
    <xf numFmtId="0" fontId="0" fillId="54" borderId="25" xfId="0" applyFill="1" applyBorder="1" applyAlignment="1">
      <alignment horizontal="center"/>
    </xf>
    <xf numFmtId="0" fontId="0" fillId="54" borderId="12" xfId="0" applyFill="1" applyBorder="1" applyAlignment="1">
      <alignment horizontal="center"/>
    </xf>
    <xf numFmtId="0" fontId="0" fillId="54" borderId="29" xfId="0" applyFill="1" applyBorder="1" applyAlignment="1">
      <alignment horizontal="center"/>
    </xf>
    <xf numFmtId="0" fontId="0" fillId="54" borderId="55" xfId="0" applyFill="1" applyBorder="1" applyAlignment="1">
      <alignment horizontal="center"/>
    </xf>
    <xf numFmtId="177" fontId="0" fillId="54" borderId="55" xfId="0" applyNumberFormat="1" applyFill="1" applyBorder="1" applyAlignment="1">
      <alignment horizontal="center"/>
    </xf>
    <xf numFmtId="0" fontId="0" fillId="54" borderId="25" xfId="0" applyNumberFormat="1" applyFill="1" applyBorder="1"/>
    <xf numFmtId="184" fontId="0" fillId="54" borderId="12" xfId="0" applyNumberFormat="1" applyFill="1" applyBorder="1"/>
    <xf numFmtId="181" fontId="0" fillId="54" borderId="68" xfId="0" applyNumberFormat="1" applyFill="1" applyBorder="1"/>
    <xf numFmtId="177" fontId="0" fillId="54" borderId="65" xfId="0" applyNumberFormat="1" applyFill="1" applyBorder="1"/>
    <xf numFmtId="0" fontId="0" fillId="54" borderId="12" xfId="0" applyFill="1" applyBorder="1" applyAlignment="1">
      <alignment horizontal="center" vertical="center"/>
    </xf>
    <xf numFmtId="177" fontId="0" fillId="54" borderId="29" xfId="0" applyNumberFormat="1" applyFill="1" applyBorder="1" applyAlignment="1">
      <alignment horizontal="center"/>
    </xf>
    <xf numFmtId="176" fontId="0" fillId="54" borderId="65" xfId="0" applyNumberFormat="1" applyFill="1" applyBorder="1"/>
    <xf numFmtId="176" fontId="0" fillId="54" borderId="12" xfId="0" applyNumberFormat="1" applyFill="1" applyBorder="1"/>
    <xf numFmtId="176" fontId="0" fillId="54" borderId="29" xfId="0" applyNumberFormat="1" applyFill="1" applyBorder="1"/>
    <xf numFmtId="177" fontId="37" fillId="54" borderId="65" xfId="0" applyNumberFormat="1" applyFont="1" applyFill="1" applyBorder="1" applyAlignment="1">
      <alignment horizontal="left" vertical="center"/>
    </xf>
    <xf numFmtId="0" fontId="37" fillId="54" borderId="18" xfId="0" applyFont="1" applyFill="1" applyBorder="1" applyAlignment="1">
      <alignment horizontal="left" vertical="center"/>
    </xf>
    <xf numFmtId="176" fontId="0" fillId="54" borderId="45" xfId="0" applyNumberFormat="1" applyFill="1" applyBorder="1"/>
    <xf numFmtId="185" fontId="0" fillId="54" borderId="33" xfId="0" applyNumberFormat="1" applyFill="1" applyBorder="1"/>
    <xf numFmtId="180" fontId="0" fillId="54" borderId="33" xfId="0" applyNumberFormat="1" applyFill="1" applyBorder="1"/>
    <xf numFmtId="180" fontId="0" fillId="54" borderId="12" xfId="0" applyNumberFormat="1" applyFill="1" applyBorder="1"/>
    <xf numFmtId="176" fontId="0" fillId="54" borderId="18" xfId="0" applyNumberFormat="1" applyFill="1" applyBorder="1"/>
    <xf numFmtId="180" fontId="0" fillId="54" borderId="65" xfId="0" applyNumberFormat="1" applyFill="1" applyBorder="1"/>
    <xf numFmtId="0" fontId="0" fillId="54" borderId="12" xfId="0" applyFill="1" applyBorder="1"/>
    <xf numFmtId="0" fontId="0" fillId="54" borderId="68" xfId="0" applyFill="1" applyBorder="1" applyAlignment="1">
      <alignment horizontal="center"/>
    </xf>
    <xf numFmtId="177" fontId="0" fillId="54" borderId="45" xfId="0" applyNumberFormat="1" applyFill="1" applyBorder="1" applyAlignment="1">
      <alignment horizontal="center" vertical="center"/>
    </xf>
    <xf numFmtId="177" fontId="0" fillId="54" borderId="51" xfId="0" applyNumberFormat="1" applyFont="1" applyFill="1" applyBorder="1"/>
    <xf numFmtId="177" fontId="0" fillId="54" borderId="25" xfId="0" applyNumberFormat="1" applyFont="1" applyFill="1" applyBorder="1"/>
    <xf numFmtId="177" fontId="0" fillId="54" borderId="12" xfId="0" applyNumberFormat="1" applyFont="1" applyFill="1" applyBorder="1"/>
    <xf numFmtId="177" fontId="0" fillId="54" borderId="45" xfId="0" applyNumberFormat="1" applyFont="1" applyFill="1" applyBorder="1"/>
    <xf numFmtId="0" fontId="0" fillId="54" borderId="62" xfId="0" applyFont="1" applyFill="1" applyBorder="1" applyAlignment="1">
      <alignment horizontal="center" vertical="center"/>
    </xf>
    <xf numFmtId="0" fontId="0" fillId="54" borderId="33" xfId="0" applyFill="1" applyBorder="1" applyAlignment="1">
      <alignment horizontal="center" vertical="center"/>
    </xf>
    <xf numFmtId="0" fontId="0" fillId="54" borderId="29" xfId="0" applyFill="1" applyBorder="1" applyAlignment="1">
      <alignment horizontal="center" vertical="center"/>
    </xf>
    <xf numFmtId="176" fontId="0" fillId="54" borderId="33" xfId="0" applyNumberFormat="1" applyFill="1" applyBorder="1"/>
    <xf numFmtId="178" fontId="0" fillId="54" borderId="55" xfId="0" applyNumberFormat="1" applyFill="1" applyBorder="1"/>
    <xf numFmtId="49" fontId="37" fillId="54" borderId="68" xfId="0" applyNumberFormat="1" applyFont="1" applyFill="1" applyBorder="1" applyAlignment="1"/>
    <xf numFmtId="14" fontId="0" fillId="54" borderId="12" xfId="0" applyNumberFormat="1" applyFill="1" applyBorder="1" applyAlignment="1">
      <alignment horizontal="center" vertical="center"/>
    </xf>
    <xf numFmtId="0" fontId="0" fillId="55" borderId="39" xfId="0" applyFill="1" applyBorder="1" applyAlignment="1">
      <alignment horizontal="center"/>
    </xf>
    <xf numFmtId="176" fontId="0" fillId="55" borderId="33" xfId="0" applyNumberFormat="1" applyFill="1" applyBorder="1" applyAlignment="1">
      <alignment horizontal="center"/>
    </xf>
    <xf numFmtId="0" fontId="0" fillId="55" borderId="25" xfId="0" applyFill="1" applyBorder="1" applyAlignment="1">
      <alignment horizontal="center"/>
    </xf>
    <xf numFmtId="0" fontId="0" fillId="55" borderId="12" xfId="0" applyFill="1" applyBorder="1" applyAlignment="1">
      <alignment horizontal="center"/>
    </xf>
    <xf numFmtId="0" fontId="0" fillId="55" borderId="29" xfId="0" applyFill="1" applyBorder="1" applyAlignment="1">
      <alignment horizontal="center"/>
    </xf>
    <xf numFmtId="0" fontId="0" fillId="55" borderId="55" xfId="0" applyFill="1" applyBorder="1" applyAlignment="1">
      <alignment horizontal="center"/>
    </xf>
    <xf numFmtId="177" fontId="0" fillId="55" borderId="55" xfId="0" applyNumberFormat="1" applyFill="1" applyBorder="1" applyAlignment="1">
      <alignment horizontal="center"/>
    </xf>
    <xf numFmtId="0" fontId="0" fillId="55" borderId="25" xfId="0" applyNumberFormat="1" applyFill="1" applyBorder="1"/>
    <xf numFmtId="184" fontId="0" fillId="55" borderId="12" xfId="0" applyNumberFormat="1" applyFill="1" applyBorder="1"/>
    <xf numFmtId="181" fontId="0" fillId="55" borderId="68" xfId="0" applyNumberFormat="1" applyFill="1" applyBorder="1"/>
    <xf numFmtId="177" fontId="0" fillId="55" borderId="65" xfId="0" applyNumberFormat="1" applyFill="1" applyBorder="1"/>
    <xf numFmtId="0" fontId="0" fillId="55" borderId="12" xfId="0" applyFill="1" applyBorder="1" applyAlignment="1">
      <alignment horizontal="center" vertical="center"/>
    </xf>
    <xf numFmtId="177" fontId="0" fillId="55" borderId="29" xfId="0" applyNumberFormat="1" applyFill="1" applyBorder="1" applyAlignment="1">
      <alignment horizontal="center"/>
    </xf>
    <xf numFmtId="176" fontId="0" fillId="55" borderId="65" xfId="0" applyNumberFormat="1" applyFill="1" applyBorder="1"/>
    <xf numFmtId="176" fontId="0" fillId="55" borderId="12" xfId="0" applyNumberFormat="1" applyFill="1" applyBorder="1"/>
    <xf numFmtId="176" fontId="0" fillId="55" borderId="29" xfId="0" applyNumberFormat="1" applyFill="1" applyBorder="1"/>
    <xf numFmtId="177" fontId="37" fillId="55" borderId="65" xfId="0" applyNumberFormat="1" applyFont="1" applyFill="1" applyBorder="1" applyAlignment="1">
      <alignment horizontal="left" vertical="center"/>
    </xf>
    <xf numFmtId="0" fontId="37" fillId="55" borderId="18" xfId="0" applyFont="1" applyFill="1" applyBorder="1" applyAlignment="1">
      <alignment horizontal="left" vertical="center"/>
    </xf>
    <xf numFmtId="176" fontId="0" fillId="55" borderId="45" xfId="0" applyNumberFormat="1" applyFill="1" applyBorder="1"/>
    <xf numFmtId="185" fontId="0" fillId="55" borderId="33" xfId="0" applyNumberFormat="1" applyFill="1" applyBorder="1"/>
    <xf numFmtId="180" fontId="0" fillId="55" borderId="33" xfId="0" applyNumberFormat="1" applyFill="1" applyBorder="1"/>
    <xf numFmtId="180" fontId="0" fillId="55" borderId="12" xfId="0" applyNumberFormat="1" applyFill="1" applyBorder="1"/>
    <xf numFmtId="176" fontId="0" fillId="55" borderId="18" xfId="0" applyNumberFormat="1" applyFill="1" applyBorder="1"/>
    <xf numFmtId="180" fontId="0" fillId="55" borderId="65" xfId="0" applyNumberFormat="1" applyFill="1" applyBorder="1"/>
    <xf numFmtId="0" fontId="0" fillId="55" borderId="12" xfId="0" applyFill="1" applyBorder="1"/>
    <xf numFmtId="0" fontId="0" fillId="55" borderId="68" xfId="0" applyFill="1" applyBorder="1" applyAlignment="1">
      <alignment horizontal="center"/>
    </xf>
    <xf numFmtId="177" fontId="0" fillId="55" borderId="45" xfId="0" applyNumberFormat="1" applyFill="1" applyBorder="1" applyAlignment="1">
      <alignment horizontal="center" vertical="center"/>
    </xf>
    <xf numFmtId="177" fontId="0" fillId="55" borderId="51" xfId="0" applyNumberFormat="1" applyFont="1" applyFill="1" applyBorder="1"/>
    <xf numFmtId="177" fontId="0" fillId="55" borderId="25" xfId="0" applyNumberFormat="1" applyFont="1" applyFill="1" applyBorder="1"/>
    <xf numFmtId="177" fontId="0" fillId="55" borderId="12" xfId="0" applyNumberFormat="1" applyFont="1" applyFill="1" applyBorder="1"/>
    <xf numFmtId="177" fontId="0" fillId="55" borderId="45" xfId="0" applyNumberFormat="1" applyFont="1" applyFill="1" applyBorder="1"/>
    <xf numFmtId="0" fontId="0" fillId="55" borderId="62" xfId="0" applyFont="1" applyFill="1" applyBorder="1" applyAlignment="1">
      <alignment horizontal="center" vertical="center"/>
    </xf>
    <xf numFmtId="0" fontId="0" fillId="55" borderId="33" xfId="0" applyFill="1" applyBorder="1" applyAlignment="1">
      <alignment horizontal="center" vertical="center"/>
    </xf>
    <xf numFmtId="0" fontId="0" fillId="55" borderId="29" xfId="0" applyFill="1" applyBorder="1" applyAlignment="1">
      <alignment horizontal="center" vertical="center"/>
    </xf>
    <xf numFmtId="176" fontId="0" fillId="55" borderId="33" xfId="0" applyNumberFormat="1" applyFill="1" applyBorder="1"/>
    <xf numFmtId="178" fontId="0" fillId="55" borderId="55" xfId="0" applyNumberFormat="1" applyFill="1" applyBorder="1"/>
    <xf numFmtId="49" fontId="37" fillId="55" borderId="68" xfId="0" applyNumberFormat="1" applyFont="1" applyFill="1" applyBorder="1" applyAlignment="1"/>
    <xf numFmtId="14" fontId="0" fillId="55" borderId="12" xfId="0" applyNumberFormat="1" applyFill="1" applyBorder="1" applyAlignment="1">
      <alignment horizontal="center" vertical="center"/>
    </xf>
    <xf numFmtId="0" fontId="0" fillId="56" borderId="39" xfId="0" applyFill="1" applyBorder="1" applyAlignment="1">
      <alignment horizontal="center"/>
    </xf>
    <xf numFmtId="176" fontId="0" fillId="56" borderId="33" xfId="0" applyNumberFormat="1" applyFill="1" applyBorder="1" applyAlignment="1">
      <alignment horizontal="center"/>
    </xf>
    <xf numFmtId="0" fontId="0" fillId="56" borderId="25" xfId="0" applyFill="1" applyBorder="1" applyAlignment="1">
      <alignment horizontal="center"/>
    </xf>
    <xf numFmtId="0" fontId="0" fillId="56" borderId="12" xfId="0" applyFill="1" applyBorder="1" applyAlignment="1">
      <alignment horizontal="center"/>
    </xf>
    <xf numFmtId="0" fontId="0" fillId="56" borderId="29" xfId="0" applyFill="1" applyBorder="1" applyAlignment="1">
      <alignment horizontal="center"/>
    </xf>
    <xf numFmtId="0" fontId="0" fillId="56" borderId="55" xfId="0" applyFill="1" applyBorder="1" applyAlignment="1">
      <alignment horizontal="center"/>
    </xf>
    <xf numFmtId="177" fontId="0" fillId="56" borderId="55" xfId="0" applyNumberFormat="1" applyFill="1" applyBorder="1" applyAlignment="1">
      <alignment horizontal="center"/>
    </xf>
    <xf numFmtId="0" fontId="0" fillId="56" borderId="25" xfId="0" applyNumberFormat="1" applyFill="1" applyBorder="1"/>
    <xf numFmtId="184" fontId="0" fillId="56" borderId="12" xfId="0" applyNumberFormat="1" applyFill="1" applyBorder="1"/>
    <xf numFmtId="181" fontId="0" fillId="56" borderId="68" xfId="0" applyNumberFormat="1" applyFill="1" applyBorder="1"/>
    <xf numFmtId="177" fontId="0" fillId="56" borderId="65" xfId="0" applyNumberFormat="1" applyFill="1" applyBorder="1"/>
    <xf numFmtId="0" fontId="0" fillId="56" borderId="12" xfId="0" applyFill="1" applyBorder="1" applyAlignment="1">
      <alignment horizontal="center" vertical="center"/>
    </xf>
    <xf numFmtId="177" fontId="0" fillId="56" borderId="29" xfId="0" applyNumberFormat="1" applyFill="1" applyBorder="1" applyAlignment="1">
      <alignment horizontal="center"/>
    </xf>
    <xf numFmtId="176" fontId="0" fillId="56" borderId="65" xfId="0" applyNumberFormat="1" applyFill="1" applyBorder="1"/>
    <xf numFmtId="176" fontId="0" fillId="56" borderId="12" xfId="0" applyNumberFormat="1" applyFill="1" applyBorder="1"/>
    <xf numFmtId="176" fontId="0" fillId="56" borderId="29" xfId="0" applyNumberFormat="1" applyFill="1" applyBorder="1"/>
    <xf numFmtId="177" fontId="37" fillId="56" borderId="65" xfId="0" applyNumberFormat="1" applyFont="1" applyFill="1" applyBorder="1" applyAlignment="1">
      <alignment horizontal="left" vertical="center"/>
    </xf>
    <xf numFmtId="0" fontId="37" fillId="56" borderId="18" xfId="0" applyFont="1" applyFill="1" applyBorder="1" applyAlignment="1">
      <alignment horizontal="left" vertical="center"/>
    </xf>
    <xf numFmtId="176" fontId="0" fillId="56" borderId="45" xfId="0" applyNumberFormat="1" applyFill="1" applyBorder="1"/>
    <xf numFmtId="185" fontId="0" fillId="56" borderId="33" xfId="0" applyNumberFormat="1" applyFill="1" applyBorder="1"/>
    <xf numFmtId="180" fontId="0" fillId="56" borderId="33" xfId="0" applyNumberFormat="1" applyFill="1" applyBorder="1"/>
    <xf numFmtId="180" fontId="0" fillId="56" borderId="12" xfId="0" applyNumberFormat="1" applyFill="1" applyBorder="1"/>
    <xf numFmtId="176" fontId="0" fillId="56" borderId="18" xfId="0" applyNumberFormat="1" applyFill="1" applyBorder="1"/>
    <xf numFmtId="180" fontId="0" fillId="56" borderId="65" xfId="0" applyNumberFormat="1" applyFill="1" applyBorder="1"/>
    <xf numFmtId="0" fontId="0" fillId="56" borderId="12" xfId="0" applyFill="1" applyBorder="1"/>
    <xf numFmtId="0" fontId="0" fillId="56" borderId="68" xfId="0" applyFill="1" applyBorder="1" applyAlignment="1">
      <alignment horizontal="center"/>
    </xf>
    <xf numFmtId="177" fontId="0" fillId="56" borderId="45" xfId="0" applyNumberFormat="1" applyFill="1" applyBorder="1" applyAlignment="1">
      <alignment horizontal="center" vertical="center"/>
    </xf>
    <xf numFmtId="177" fontId="0" fillId="56" borderId="51" xfId="0" applyNumberFormat="1" applyFont="1" applyFill="1" applyBorder="1"/>
    <xf numFmtId="177" fontId="0" fillId="56" borderId="25" xfId="0" applyNumberFormat="1" applyFont="1" applyFill="1" applyBorder="1"/>
    <xf numFmtId="177" fontId="0" fillId="56" borderId="12" xfId="0" applyNumberFormat="1" applyFont="1" applyFill="1" applyBorder="1"/>
    <xf numFmtId="177" fontId="0" fillId="56" borderId="45" xfId="0" applyNumberFormat="1" applyFont="1" applyFill="1" applyBorder="1"/>
    <xf numFmtId="0" fontId="0" fillId="56" borderId="62" xfId="0" applyFont="1" applyFill="1" applyBorder="1" applyAlignment="1">
      <alignment horizontal="center" vertical="center"/>
    </xf>
    <xf numFmtId="0" fontId="0" fillId="56" borderId="33" xfId="0" applyFill="1" applyBorder="1" applyAlignment="1">
      <alignment horizontal="center" vertical="center"/>
    </xf>
    <xf numFmtId="0" fontId="0" fillId="56" borderId="29" xfId="0" applyFill="1" applyBorder="1" applyAlignment="1">
      <alignment horizontal="center" vertical="center"/>
    </xf>
    <xf numFmtId="176" fontId="0" fillId="56" borderId="33" xfId="0" applyNumberFormat="1" applyFill="1" applyBorder="1"/>
    <xf numFmtId="178" fontId="0" fillId="56" borderId="55" xfId="0" applyNumberFormat="1" applyFill="1" applyBorder="1"/>
    <xf numFmtId="49" fontId="37" fillId="56" borderId="68" xfId="0" applyNumberFormat="1" applyFont="1" applyFill="1" applyBorder="1" applyAlignment="1"/>
    <xf numFmtId="14" fontId="0" fillId="56" borderId="12" xfId="0" applyNumberFormat="1" applyFill="1" applyBorder="1" applyAlignment="1">
      <alignment horizontal="center" vertical="center"/>
    </xf>
    <xf numFmtId="0" fontId="0" fillId="57" borderId="39" xfId="0" applyFill="1" applyBorder="1" applyAlignment="1">
      <alignment horizontal="center"/>
    </xf>
    <xf numFmtId="176" fontId="0" fillId="57" borderId="33" xfId="0" applyNumberFormat="1" applyFill="1" applyBorder="1" applyAlignment="1">
      <alignment horizontal="center"/>
    </xf>
    <xf numFmtId="0" fontId="0" fillId="57" borderId="25" xfId="0" applyFill="1" applyBorder="1" applyAlignment="1">
      <alignment horizontal="center"/>
    </xf>
    <xf numFmtId="0" fontId="0" fillId="57" borderId="12" xfId="0" applyFill="1" applyBorder="1" applyAlignment="1">
      <alignment horizontal="center"/>
    </xf>
    <xf numFmtId="0" fontId="0" fillId="57" borderId="29" xfId="0" applyFill="1" applyBorder="1" applyAlignment="1">
      <alignment horizontal="center"/>
    </xf>
    <xf numFmtId="0" fontId="0" fillId="57" borderId="55" xfId="0" applyFill="1" applyBorder="1" applyAlignment="1">
      <alignment horizontal="center"/>
    </xf>
    <xf numFmtId="177" fontId="0" fillId="57" borderId="55" xfId="0" applyNumberFormat="1" applyFill="1" applyBorder="1" applyAlignment="1">
      <alignment horizontal="center"/>
    </xf>
    <xf numFmtId="0" fontId="0" fillId="57" borderId="25" xfId="0" applyNumberFormat="1" applyFill="1" applyBorder="1"/>
    <xf numFmtId="184" fontId="0" fillId="57" borderId="12" xfId="0" applyNumberFormat="1" applyFill="1" applyBorder="1"/>
    <xf numFmtId="181" fontId="0" fillId="57" borderId="68" xfId="0" applyNumberFormat="1" applyFill="1" applyBorder="1"/>
    <xf numFmtId="177" fontId="0" fillId="57" borderId="65" xfId="0" applyNumberFormat="1" applyFill="1" applyBorder="1"/>
    <xf numFmtId="0" fontId="0" fillId="57" borderId="12" xfId="0" applyFill="1" applyBorder="1" applyAlignment="1">
      <alignment horizontal="center" vertical="center"/>
    </xf>
    <xf numFmtId="177" fontId="0" fillId="57" borderId="29" xfId="0" applyNumberFormat="1" applyFill="1" applyBorder="1" applyAlignment="1">
      <alignment horizontal="center"/>
    </xf>
    <xf numFmtId="176" fontId="0" fillId="57" borderId="65" xfId="0" applyNumberFormat="1" applyFill="1" applyBorder="1"/>
    <xf numFmtId="176" fontId="0" fillId="57" borderId="12" xfId="0" applyNumberFormat="1" applyFill="1" applyBorder="1"/>
    <xf numFmtId="176" fontId="0" fillId="57" borderId="29" xfId="0" applyNumberFormat="1" applyFill="1" applyBorder="1"/>
    <xf numFmtId="177" fontId="37" fillId="57" borderId="65" xfId="0" applyNumberFormat="1" applyFont="1" applyFill="1" applyBorder="1" applyAlignment="1">
      <alignment horizontal="left" vertical="center"/>
    </xf>
    <xf numFmtId="0" fontId="37" fillId="57" borderId="18" xfId="0" applyFont="1" applyFill="1" applyBorder="1" applyAlignment="1">
      <alignment horizontal="left" vertical="center"/>
    </xf>
    <xf numFmtId="176" fontId="0" fillId="57" borderId="45" xfId="0" applyNumberFormat="1" applyFill="1" applyBorder="1"/>
    <xf numFmtId="185" fontId="0" fillId="57" borderId="33" xfId="0" applyNumberFormat="1" applyFill="1" applyBorder="1"/>
    <xf numFmtId="180" fontId="0" fillId="57" borderId="33" xfId="0" applyNumberFormat="1" applyFill="1" applyBorder="1"/>
    <xf numFmtId="180" fontId="0" fillId="57" borderId="12" xfId="0" applyNumberFormat="1" applyFill="1" applyBorder="1"/>
    <xf numFmtId="176" fontId="0" fillId="57" borderId="18" xfId="0" applyNumberFormat="1" applyFill="1" applyBorder="1"/>
    <xf numFmtId="180" fontId="0" fillId="57" borderId="65" xfId="0" applyNumberFormat="1" applyFill="1" applyBorder="1"/>
    <xf numFmtId="0" fontId="0" fillId="57" borderId="12" xfId="0" applyFill="1" applyBorder="1"/>
    <xf numFmtId="0" fontId="0" fillId="57" borderId="68" xfId="0" applyFill="1" applyBorder="1" applyAlignment="1">
      <alignment horizontal="center"/>
    </xf>
    <xf numFmtId="177" fontId="0" fillId="57" borderId="45" xfId="0" applyNumberFormat="1" applyFill="1" applyBorder="1" applyAlignment="1">
      <alignment horizontal="center" vertical="center"/>
    </xf>
    <xf numFmtId="177" fontId="0" fillId="57" borderId="51" xfId="0" applyNumberFormat="1" applyFont="1" applyFill="1" applyBorder="1"/>
    <xf numFmtId="177" fontId="0" fillId="57" borderId="25" xfId="0" applyNumberFormat="1" applyFont="1" applyFill="1" applyBorder="1"/>
    <xf numFmtId="177" fontId="0" fillId="57" borderId="12" xfId="0" applyNumberFormat="1" applyFont="1" applyFill="1" applyBorder="1"/>
    <xf numFmtId="177" fontId="0" fillId="57" borderId="45" xfId="0" applyNumberFormat="1" applyFont="1" applyFill="1" applyBorder="1"/>
    <xf numFmtId="0" fontId="0" fillId="57" borderId="62" xfId="0" applyFont="1" applyFill="1" applyBorder="1" applyAlignment="1">
      <alignment horizontal="center" vertical="center"/>
    </xf>
    <xf numFmtId="0" fontId="0" fillId="57" borderId="33" xfId="0" applyFill="1" applyBorder="1" applyAlignment="1">
      <alignment horizontal="center" vertical="center"/>
    </xf>
    <xf numFmtId="0" fontId="0" fillId="57" borderId="29" xfId="0" applyFill="1" applyBorder="1" applyAlignment="1">
      <alignment horizontal="center" vertical="center"/>
    </xf>
    <xf numFmtId="176" fontId="0" fillId="57" borderId="33" xfId="0" applyNumberFormat="1" applyFill="1" applyBorder="1"/>
    <xf numFmtId="178" fontId="0" fillId="57" borderId="55" xfId="0" applyNumberFormat="1" applyFill="1" applyBorder="1"/>
    <xf numFmtId="49" fontId="37" fillId="57" borderId="68" xfId="0" applyNumberFormat="1" applyFont="1" applyFill="1" applyBorder="1" applyAlignment="1"/>
    <xf numFmtId="14" fontId="0" fillId="57" borderId="12" xfId="0" applyNumberFormat="1" applyFill="1" applyBorder="1" applyAlignment="1">
      <alignment horizontal="center" vertical="center"/>
    </xf>
    <xf numFmtId="0" fontId="0" fillId="58" borderId="39" xfId="0" applyFill="1" applyBorder="1" applyAlignment="1">
      <alignment horizontal="center"/>
    </xf>
    <xf numFmtId="176" fontId="0" fillId="58" borderId="33" xfId="0" applyNumberFormat="1" applyFill="1" applyBorder="1" applyAlignment="1">
      <alignment horizontal="center"/>
    </xf>
    <xf numFmtId="0" fontId="0" fillId="58" borderId="25" xfId="0" applyFill="1" applyBorder="1" applyAlignment="1">
      <alignment horizontal="center"/>
    </xf>
    <xf numFmtId="0" fontId="0" fillId="58" borderId="12" xfId="0" applyFill="1" applyBorder="1" applyAlignment="1">
      <alignment horizontal="center"/>
    </xf>
    <xf numFmtId="0" fontId="0" fillId="58" borderId="29" xfId="0" applyFill="1" applyBorder="1" applyAlignment="1">
      <alignment horizontal="center"/>
    </xf>
    <xf numFmtId="0" fontId="0" fillId="58" borderId="55" xfId="0" applyFill="1" applyBorder="1" applyAlignment="1">
      <alignment horizontal="center"/>
    </xf>
    <xf numFmtId="177" fontId="0" fillId="58" borderId="55" xfId="0" applyNumberFormat="1" applyFill="1" applyBorder="1" applyAlignment="1">
      <alignment horizontal="center"/>
    </xf>
    <xf numFmtId="0" fontId="0" fillId="58" borderId="25" xfId="0" applyNumberFormat="1" applyFill="1" applyBorder="1"/>
    <xf numFmtId="184" fontId="0" fillId="58" borderId="12" xfId="0" applyNumberFormat="1" applyFill="1" applyBorder="1"/>
    <xf numFmtId="181" fontId="0" fillId="58" borderId="68" xfId="0" applyNumberFormat="1" applyFill="1" applyBorder="1"/>
    <xf numFmtId="177" fontId="0" fillId="58" borderId="65" xfId="0" applyNumberFormat="1" applyFill="1" applyBorder="1"/>
    <xf numFmtId="14" fontId="0" fillId="58" borderId="12" xfId="0" applyNumberFormat="1" applyFill="1" applyBorder="1" applyAlignment="1">
      <alignment horizontal="center" vertical="center"/>
    </xf>
    <xf numFmtId="177" fontId="0" fillId="58" borderId="29" xfId="0" applyNumberFormat="1" applyFill="1" applyBorder="1" applyAlignment="1">
      <alignment horizontal="center"/>
    </xf>
    <xf numFmtId="176" fontId="0" fillId="58" borderId="65" xfId="0" applyNumberFormat="1" applyFill="1" applyBorder="1"/>
    <xf numFmtId="176" fontId="0" fillId="58" borderId="12" xfId="0" applyNumberFormat="1" applyFill="1" applyBorder="1"/>
    <xf numFmtId="176" fontId="0" fillId="58" borderId="29" xfId="0" applyNumberFormat="1" applyFill="1" applyBorder="1"/>
    <xf numFmtId="177" fontId="37" fillId="58" borderId="65" xfId="0" applyNumberFormat="1" applyFont="1" applyFill="1" applyBorder="1" applyAlignment="1">
      <alignment horizontal="left" vertical="center"/>
    </xf>
    <xf numFmtId="0" fontId="37" fillId="58" borderId="18" xfId="0" applyFont="1" applyFill="1" applyBorder="1" applyAlignment="1">
      <alignment horizontal="left" vertical="center"/>
    </xf>
    <xf numFmtId="176" fontId="0" fillId="58" borderId="45" xfId="0" applyNumberFormat="1" applyFill="1" applyBorder="1"/>
    <xf numFmtId="185" fontId="0" fillId="58" borderId="33" xfId="0" applyNumberFormat="1" applyFill="1" applyBorder="1"/>
    <xf numFmtId="180" fontId="0" fillId="58" borderId="33" xfId="0" applyNumberFormat="1" applyFill="1" applyBorder="1"/>
    <xf numFmtId="180" fontId="0" fillId="58" borderId="12" xfId="0" applyNumberFormat="1" applyFill="1" applyBorder="1"/>
    <xf numFmtId="176" fontId="0" fillId="58" borderId="18" xfId="0" applyNumberFormat="1" applyFill="1" applyBorder="1"/>
    <xf numFmtId="180" fontId="0" fillId="58" borderId="65" xfId="0" applyNumberFormat="1" applyFill="1" applyBorder="1"/>
    <xf numFmtId="0" fontId="0" fillId="58" borderId="12" xfId="0" applyFill="1" applyBorder="1"/>
    <xf numFmtId="0" fontId="0" fillId="58" borderId="68" xfId="0" applyFill="1" applyBorder="1" applyAlignment="1">
      <alignment horizontal="center"/>
    </xf>
    <xf numFmtId="177" fontId="0" fillId="58" borderId="45" xfId="0" applyNumberFormat="1" applyFill="1" applyBorder="1" applyAlignment="1">
      <alignment horizontal="center" vertical="center"/>
    </xf>
    <xf numFmtId="177" fontId="0" fillId="58" borderId="51" xfId="0" applyNumberFormat="1" applyFont="1" applyFill="1" applyBorder="1"/>
    <xf numFmtId="177" fontId="0" fillId="58" borderId="25" xfId="0" applyNumberFormat="1" applyFont="1" applyFill="1" applyBorder="1"/>
    <xf numFmtId="177" fontId="0" fillId="58" borderId="12" xfId="0" applyNumberFormat="1" applyFont="1" applyFill="1" applyBorder="1"/>
    <xf numFmtId="177" fontId="0" fillId="58" borderId="45" xfId="0" applyNumberFormat="1" applyFont="1" applyFill="1" applyBorder="1"/>
    <xf numFmtId="0" fontId="0" fillId="58" borderId="62" xfId="0" applyFont="1" applyFill="1" applyBorder="1" applyAlignment="1">
      <alignment horizontal="center" vertical="center"/>
    </xf>
    <xf numFmtId="0" fontId="0" fillId="58" borderId="33" xfId="0" applyFill="1" applyBorder="1" applyAlignment="1">
      <alignment horizontal="center" vertical="center"/>
    </xf>
    <xf numFmtId="0" fontId="0" fillId="58" borderId="12" xfId="0" applyFill="1" applyBorder="1" applyAlignment="1">
      <alignment horizontal="center" vertical="center"/>
    </xf>
    <xf numFmtId="0" fontId="0" fillId="58" borderId="29" xfId="0" applyFill="1" applyBorder="1" applyAlignment="1">
      <alignment horizontal="center" vertical="center"/>
    </xf>
    <xf numFmtId="176" fontId="0" fillId="58" borderId="33" xfId="0" applyNumberFormat="1" applyFill="1" applyBorder="1"/>
    <xf numFmtId="178" fontId="0" fillId="58" borderId="55" xfId="0" applyNumberFormat="1" applyFill="1" applyBorder="1"/>
    <xf numFmtId="49" fontId="37" fillId="58" borderId="68" xfId="0" applyNumberFormat="1" applyFont="1" applyFill="1" applyBorder="1" applyAlignment="1"/>
    <xf numFmtId="176" fontId="42" fillId="53" borderId="12" xfId="0" applyNumberFormat="1" applyFont="1" applyFill="1" applyBorder="1"/>
    <xf numFmtId="180" fontId="42" fillId="53" borderId="33" xfId="0" applyNumberFormat="1" applyFont="1" applyFill="1" applyBorder="1"/>
    <xf numFmtId="180" fontId="42" fillId="53" borderId="12" xfId="0" applyNumberFormat="1" applyFont="1" applyFill="1" applyBorder="1"/>
    <xf numFmtId="176" fontId="42" fillId="53" borderId="18" xfId="0" applyNumberFormat="1" applyFont="1" applyFill="1" applyBorder="1"/>
    <xf numFmtId="180" fontId="42" fillId="53" borderId="65" xfId="0" applyNumberFormat="1" applyFont="1" applyFill="1" applyBorder="1"/>
    <xf numFmtId="0" fontId="42" fillId="53" borderId="12" xfId="0" applyFont="1" applyFill="1" applyBorder="1"/>
    <xf numFmtId="0" fontId="42" fillId="53" borderId="68" xfId="0" applyFont="1" applyFill="1" applyBorder="1" applyAlignment="1">
      <alignment horizontal="center"/>
    </xf>
    <xf numFmtId="176" fontId="42" fillId="53" borderId="65" xfId="0" applyNumberFormat="1" applyFont="1" applyFill="1" applyBorder="1"/>
    <xf numFmtId="176" fontId="42" fillId="53" borderId="45" xfId="0" applyNumberFormat="1" applyFont="1" applyFill="1" applyBorder="1"/>
    <xf numFmtId="184" fontId="42" fillId="53" borderId="12" xfId="0" applyNumberFormat="1" applyFont="1" applyFill="1" applyBorder="1"/>
    <xf numFmtId="0" fontId="42" fillId="54" borderId="68" xfId="0" applyFont="1" applyFill="1" applyBorder="1" applyAlignment="1">
      <alignment horizontal="center"/>
    </xf>
    <xf numFmtId="176" fontId="42" fillId="54" borderId="12" xfId="0" applyNumberFormat="1" applyFont="1" applyFill="1" applyBorder="1"/>
    <xf numFmtId="176" fontId="42" fillId="54" borderId="65" xfId="0" applyNumberFormat="1" applyFont="1" applyFill="1" applyBorder="1"/>
    <xf numFmtId="176" fontId="42" fillId="54" borderId="45" xfId="0" applyNumberFormat="1" applyFont="1" applyFill="1" applyBorder="1"/>
    <xf numFmtId="185" fontId="42" fillId="54" borderId="33" xfId="0" applyNumberFormat="1" applyFont="1" applyFill="1" applyBorder="1"/>
    <xf numFmtId="180" fontId="42" fillId="54" borderId="12" xfId="0" applyNumberFormat="1" applyFont="1" applyFill="1" applyBorder="1"/>
    <xf numFmtId="180" fontId="42" fillId="54" borderId="33" xfId="0" applyNumberFormat="1" applyFont="1" applyFill="1" applyBorder="1"/>
    <xf numFmtId="176" fontId="42" fillId="54" borderId="18" xfId="0" applyNumberFormat="1" applyFont="1" applyFill="1" applyBorder="1"/>
    <xf numFmtId="180" fontId="42" fillId="54" borderId="65" xfId="0" applyNumberFormat="1" applyFont="1" applyFill="1" applyBorder="1"/>
    <xf numFmtId="0" fontId="42" fillId="54" borderId="12" xfId="0" applyFont="1" applyFill="1" applyBorder="1"/>
    <xf numFmtId="184" fontId="42" fillId="54" borderId="12" xfId="0" applyNumberFormat="1" applyFont="1" applyFill="1" applyBorder="1"/>
    <xf numFmtId="176" fontId="42" fillId="55" borderId="12" xfId="0" applyNumberFormat="1" applyFont="1" applyFill="1" applyBorder="1"/>
    <xf numFmtId="176" fontId="42" fillId="55" borderId="65" xfId="0" applyNumberFormat="1" applyFont="1" applyFill="1" applyBorder="1"/>
    <xf numFmtId="176" fontId="42" fillId="55" borderId="45" xfId="0" applyNumberFormat="1" applyFont="1" applyFill="1" applyBorder="1"/>
    <xf numFmtId="185" fontId="42" fillId="55" borderId="33" xfId="0" applyNumberFormat="1" applyFont="1" applyFill="1" applyBorder="1"/>
    <xf numFmtId="180" fontId="42" fillId="55" borderId="12" xfId="0" applyNumberFormat="1" applyFont="1" applyFill="1" applyBorder="1"/>
    <xf numFmtId="180" fontId="42" fillId="55" borderId="33" xfId="0" applyNumberFormat="1" applyFont="1" applyFill="1" applyBorder="1"/>
    <xf numFmtId="176" fontId="42" fillId="55" borderId="18" xfId="0" applyNumberFormat="1" applyFont="1" applyFill="1" applyBorder="1"/>
    <xf numFmtId="180" fontId="42" fillId="55" borderId="65" xfId="0" applyNumberFormat="1" applyFont="1" applyFill="1" applyBorder="1"/>
    <xf numFmtId="0" fontId="42" fillId="55" borderId="12" xfId="0" applyFont="1" applyFill="1" applyBorder="1"/>
    <xf numFmtId="184" fontId="42" fillId="55" borderId="12" xfId="0" applyNumberFormat="1" applyFont="1" applyFill="1" applyBorder="1"/>
    <xf numFmtId="0" fontId="42" fillId="55" borderId="68" xfId="0" applyFont="1" applyFill="1" applyBorder="1" applyAlignment="1">
      <alignment horizontal="center"/>
    </xf>
    <xf numFmtId="176" fontId="42" fillId="56" borderId="12" xfId="0" applyNumberFormat="1" applyFont="1" applyFill="1" applyBorder="1"/>
    <xf numFmtId="176" fontId="42" fillId="56" borderId="65" xfId="0" applyNumberFormat="1" applyFont="1" applyFill="1" applyBorder="1"/>
    <xf numFmtId="176" fontId="42" fillId="56" borderId="45" xfId="0" applyNumberFormat="1" applyFont="1" applyFill="1" applyBorder="1"/>
    <xf numFmtId="185" fontId="42" fillId="56" borderId="33" xfId="0" applyNumberFormat="1" applyFont="1" applyFill="1" applyBorder="1"/>
    <xf numFmtId="180" fontId="42" fillId="56" borderId="12" xfId="0" applyNumberFormat="1" applyFont="1" applyFill="1" applyBorder="1"/>
    <xf numFmtId="180" fontId="42" fillId="56" borderId="33" xfId="0" applyNumberFormat="1" applyFont="1" applyFill="1" applyBorder="1"/>
    <xf numFmtId="176" fontId="42" fillId="56" borderId="18" xfId="0" applyNumberFormat="1" applyFont="1" applyFill="1" applyBorder="1"/>
    <xf numFmtId="180" fontId="42" fillId="56" borderId="65" xfId="0" applyNumberFormat="1" applyFont="1" applyFill="1" applyBorder="1"/>
    <xf numFmtId="0" fontId="42" fillId="56" borderId="12" xfId="0" applyFont="1" applyFill="1" applyBorder="1"/>
    <xf numFmtId="184" fontId="42" fillId="56" borderId="12" xfId="0" applyNumberFormat="1" applyFont="1" applyFill="1" applyBorder="1"/>
    <xf numFmtId="0" fontId="42" fillId="56" borderId="68" xfId="0" applyFont="1" applyFill="1" applyBorder="1" applyAlignment="1">
      <alignment horizontal="center"/>
    </xf>
    <xf numFmtId="176" fontId="42" fillId="57" borderId="12" xfId="0" applyNumberFormat="1" applyFont="1" applyFill="1" applyBorder="1"/>
    <xf numFmtId="176" fontId="42" fillId="57" borderId="65" xfId="0" applyNumberFormat="1" applyFont="1" applyFill="1" applyBorder="1"/>
    <xf numFmtId="176" fontId="42" fillId="57" borderId="45" xfId="0" applyNumberFormat="1" applyFont="1" applyFill="1" applyBorder="1"/>
    <xf numFmtId="185" fontId="42" fillId="57" borderId="33" xfId="0" applyNumberFormat="1" applyFont="1" applyFill="1" applyBorder="1"/>
    <xf numFmtId="180" fontId="42" fillId="57" borderId="12" xfId="0" applyNumberFormat="1" applyFont="1" applyFill="1" applyBorder="1"/>
    <xf numFmtId="180" fontId="42" fillId="57" borderId="33" xfId="0" applyNumberFormat="1" applyFont="1" applyFill="1" applyBorder="1"/>
    <xf numFmtId="176" fontId="42" fillId="57" borderId="18" xfId="0" applyNumberFormat="1" applyFont="1" applyFill="1" applyBorder="1"/>
    <xf numFmtId="180" fontId="42" fillId="57" borderId="65" xfId="0" applyNumberFormat="1" applyFont="1" applyFill="1" applyBorder="1"/>
    <xf numFmtId="0" fontId="42" fillId="57" borderId="12" xfId="0" applyFont="1" applyFill="1" applyBorder="1"/>
    <xf numFmtId="184" fontId="42" fillId="57" borderId="12" xfId="0" applyNumberFormat="1" applyFont="1" applyFill="1" applyBorder="1"/>
    <xf numFmtId="0" fontId="42" fillId="57" borderId="68" xfId="0" applyFont="1" applyFill="1" applyBorder="1" applyAlignment="1">
      <alignment horizontal="center"/>
    </xf>
    <xf numFmtId="176" fontId="42" fillId="58" borderId="12" xfId="0" applyNumberFormat="1" applyFont="1" applyFill="1" applyBorder="1"/>
    <xf numFmtId="180" fontId="42" fillId="58" borderId="33" xfId="0" applyNumberFormat="1" applyFont="1" applyFill="1" applyBorder="1"/>
    <xf numFmtId="180" fontId="42" fillId="58" borderId="12" xfId="0" applyNumberFormat="1" applyFont="1" applyFill="1" applyBorder="1"/>
    <xf numFmtId="176" fontId="42" fillId="58" borderId="18" xfId="0" applyNumberFormat="1" applyFont="1" applyFill="1" applyBorder="1"/>
    <xf numFmtId="180" fontId="42" fillId="58" borderId="65" xfId="0" applyNumberFormat="1" applyFont="1" applyFill="1" applyBorder="1"/>
    <xf numFmtId="176" fontId="45" fillId="37" borderId="11" xfId="0" applyNumberFormat="1" applyFont="1" applyFill="1" applyBorder="1"/>
    <xf numFmtId="176" fontId="45" fillId="37" borderId="45" xfId="0" applyNumberFormat="1" applyFont="1" applyFill="1" applyBorder="1"/>
    <xf numFmtId="180" fontId="45" fillId="37" borderId="25" xfId="0" applyNumberFormat="1" applyFont="1" applyFill="1" applyBorder="1"/>
    <xf numFmtId="176" fontId="42" fillId="33" borderId="34" xfId="0" applyNumberFormat="1" applyFont="1" applyFill="1" applyBorder="1"/>
    <xf numFmtId="176" fontId="42" fillId="33" borderId="11" xfId="0" applyNumberFormat="1" applyFont="1" applyFill="1" applyBorder="1"/>
    <xf numFmtId="178" fontId="42" fillId="43" borderId="56" xfId="0" applyNumberFormat="1" applyFont="1" applyFill="1" applyBorder="1"/>
    <xf numFmtId="176" fontId="42" fillId="58" borderId="33" xfId="0" applyNumberFormat="1" applyFont="1" applyFill="1" applyBorder="1"/>
    <xf numFmtId="176" fontId="42" fillId="58" borderId="45" xfId="0" applyNumberFormat="1" applyFont="1" applyFill="1" applyBorder="1"/>
    <xf numFmtId="176" fontId="45" fillId="45" borderId="26" xfId="0" applyNumberFormat="1" applyFont="1" applyFill="1" applyBorder="1"/>
    <xf numFmtId="176" fontId="45" fillId="45" borderId="11" xfId="0" applyNumberFormat="1" applyFont="1" applyFill="1" applyBorder="1"/>
    <xf numFmtId="0" fontId="45" fillId="45" borderId="34" xfId="0" applyNumberFormat="1" applyFont="1" applyFill="1" applyBorder="1"/>
    <xf numFmtId="176" fontId="45" fillId="51" borderId="14" xfId="0" applyNumberFormat="1" applyFont="1" applyFill="1" applyBorder="1"/>
    <xf numFmtId="0" fontId="45" fillId="36" borderId="14" xfId="0" applyFont="1" applyFill="1" applyBorder="1" applyAlignment="1">
      <alignment horizontal="center"/>
    </xf>
    <xf numFmtId="176" fontId="45" fillId="40" borderId="14" xfId="0" applyNumberFormat="1" applyFont="1" applyFill="1" applyBorder="1"/>
    <xf numFmtId="176" fontId="45" fillId="45" borderId="14" xfId="0" applyNumberFormat="1" applyFont="1" applyFill="1" applyBorder="1"/>
    <xf numFmtId="176" fontId="45" fillId="47" borderId="25" xfId="0" applyNumberFormat="1" applyFont="1" applyFill="1" applyBorder="1"/>
    <xf numFmtId="176" fontId="45" fillId="47" borderId="12" xfId="0" applyNumberFormat="1" applyFont="1" applyFill="1" applyBorder="1"/>
    <xf numFmtId="0" fontId="45" fillId="47" borderId="33" xfId="0" applyNumberFormat="1" applyFont="1" applyFill="1" applyBorder="1"/>
    <xf numFmtId="176" fontId="45" fillId="49" borderId="25" xfId="0" applyNumberFormat="1" applyFont="1" applyFill="1" applyBorder="1"/>
    <xf numFmtId="176" fontId="45" fillId="49" borderId="29" xfId="0" applyNumberFormat="1" applyFont="1" applyFill="1" applyBorder="1"/>
    <xf numFmtId="176" fontId="45" fillId="48" borderId="26" xfId="0" applyNumberFormat="1" applyFont="1" applyFill="1" applyBorder="1"/>
    <xf numFmtId="176" fontId="45" fillId="48" borderId="11" xfId="0" applyNumberFormat="1" applyFont="1" applyFill="1" applyBorder="1"/>
    <xf numFmtId="0" fontId="45" fillId="48" borderId="34" xfId="0" applyNumberFormat="1" applyFont="1" applyFill="1" applyBorder="1"/>
    <xf numFmtId="176" fontId="45" fillId="48" borderId="74" xfId="0" applyNumberFormat="1" applyFont="1" applyFill="1" applyBorder="1"/>
    <xf numFmtId="176" fontId="45" fillId="48" borderId="72" xfId="0" applyNumberFormat="1" applyFont="1" applyFill="1" applyBorder="1"/>
    <xf numFmtId="180" fontId="45" fillId="36" borderId="26" xfId="0" applyNumberFormat="1" applyFont="1" applyFill="1" applyBorder="1"/>
    <xf numFmtId="180" fontId="45" fillId="34" borderId="26" xfId="0" applyNumberFormat="1" applyFont="1" applyFill="1" applyBorder="1"/>
    <xf numFmtId="184" fontId="45" fillId="47" borderId="12" xfId="0" applyNumberFormat="1" applyFont="1" applyFill="1" applyBorder="1"/>
    <xf numFmtId="176" fontId="45" fillId="47" borderId="68" xfId="0" applyNumberFormat="1" applyFont="1" applyFill="1" applyBorder="1"/>
    <xf numFmtId="176" fontId="45" fillId="48" borderId="69" xfId="0" applyNumberFormat="1" applyFont="1" applyFill="1" applyBorder="1"/>
    <xf numFmtId="180" fontId="45" fillId="33" borderId="26" xfId="0" applyNumberFormat="1" applyFont="1" applyFill="1" applyBorder="1"/>
    <xf numFmtId="176" fontId="45" fillId="47" borderId="18" xfId="0" applyNumberFormat="1" applyFont="1" applyFill="1" applyBorder="1"/>
    <xf numFmtId="176" fontId="45" fillId="34" borderId="46" xfId="0" applyNumberFormat="1" applyFont="1" applyFill="1" applyBorder="1"/>
    <xf numFmtId="176" fontId="45" fillId="34" borderId="11" xfId="0" applyNumberFormat="1" applyFont="1" applyFill="1" applyBorder="1"/>
    <xf numFmtId="180" fontId="45" fillId="38" borderId="26" xfId="0" applyNumberFormat="1" applyFont="1" applyFill="1" applyBorder="1"/>
    <xf numFmtId="176" fontId="45" fillId="38" borderId="46" xfId="0" applyNumberFormat="1" applyFont="1" applyFill="1" applyBorder="1"/>
    <xf numFmtId="176" fontId="45" fillId="38" borderId="11" xfId="0" applyNumberFormat="1" applyFont="1" applyFill="1" applyBorder="1"/>
    <xf numFmtId="177" fontId="16" fillId="0" borderId="0" xfId="0" applyNumberFormat="1" applyFont="1" applyBorder="1" applyAlignment="1">
      <alignment horizontal="right"/>
    </xf>
    <xf numFmtId="177" fontId="0" fillId="0" borderId="0" xfId="0" applyNumberFormat="1" applyBorder="1" applyAlignment="1">
      <alignment horizontal="right"/>
    </xf>
    <xf numFmtId="177" fontId="39" fillId="0" borderId="0" xfId="0" applyNumberFormat="1" applyFont="1" applyBorder="1" applyAlignment="1">
      <alignment horizontal="right"/>
    </xf>
    <xf numFmtId="0" fontId="36" fillId="33" borderId="26" xfId="0" applyFont="1" applyFill="1" applyBorder="1" applyAlignment="1">
      <alignment horizontal="center" vertical="center" textRotation="180"/>
    </xf>
    <xf numFmtId="0" fontId="17" fillId="0" borderId="33" xfId="0" applyNumberFormat="1" applyFont="1" applyBorder="1" applyAlignment="1">
      <alignment horizontal="center"/>
    </xf>
    <xf numFmtId="176" fontId="0" fillId="0" borderId="34" xfId="0" applyNumberFormat="1" applyBorder="1" applyAlignment="1">
      <alignment horizontal="right" vertical="center"/>
    </xf>
    <xf numFmtId="176" fontId="0" fillId="0" borderId="11" xfId="0" applyNumberFormat="1" applyBorder="1" applyAlignment="1">
      <alignment horizontal="right" vertical="center"/>
    </xf>
    <xf numFmtId="177" fontId="17" fillId="0" borderId="11" xfId="0" applyNumberFormat="1" applyFont="1" applyBorder="1" applyAlignment="1">
      <alignment horizontal="right" vertical="center"/>
    </xf>
    <xf numFmtId="187" fontId="0" fillId="0" borderId="30" xfId="0" applyNumberFormat="1" applyBorder="1" applyAlignment="1">
      <alignment horizontal="right"/>
    </xf>
    <xf numFmtId="176" fontId="17" fillId="0" borderId="11" xfId="0" applyNumberFormat="1" applyFont="1" applyBorder="1" applyAlignment="1">
      <alignment horizontal="right" vertical="center"/>
    </xf>
    <xf numFmtId="0" fontId="17" fillId="0" borderId="34" xfId="0" applyNumberFormat="1" applyFont="1" applyBorder="1" applyAlignment="1">
      <alignment horizontal="right" vertical="center"/>
    </xf>
    <xf numFmtId="186" fontId="17" fillId="0" borderId="30" xfId="0" applyNumberFormat="1" applyFont="1" applyBorder="1" applyAlignment="1">
      <alignment horizontal="right" vertical="center"/>
    </xf>
    <xf numFmtId="0" fontId="36" fillId="0" borderId="34" xfId="0" applyNumberFormat="1" applyFont="1" applyBorder="1" applyAlignment="1">
      <alignment horizontal="center"/>
    </xf>
    <xf numFmtId="0" fontId="36" fillId="0" borderId="11" xfId="0" applyNumberFormat="1" applyFont="1" applyBorder="1" applyAlignment="1">
      <alignment horizontal="center"/>
    </xf>
    <xf numFmtId="0" fontId="36" fillId="0" borderId="30" xfId="0" applyNumberFormat="1" applyFont="1" applyBorder="1" applyAlignment="1">
      <alignment horizontal="center"/>
    </xf>
    <xf numFmtId="177" fontId="17" fillId="0" borderId="34" xfId="0" applyNumberFormat="1" applyFont="1" applyBorder="1" applyAlignment="1">
      <alignment horizontal="right" vertical="center"/>
    </xf>
    <xf numFmtId="176" fontId="17" fillId="0" borderId="46" xfId="0" applyNumberFormat="1" applyFont="1" applyBorder="1" applyAlignment="1">
      <alignment horizontal="right" vertical="center"/>
    </xf>
    <xf numFmtId="187" fontId="0" fillId="0" borderId="30" xfId="0" applyNumberFormat="1" applyBorder="1" applyAlignment="1">
      <alignment horizontal="right" vertical="center"/>
    </xf>
    <xf numFmtId="176" fontId="17" fillId="0" borderId="30" xfId="0" applyNumberFormat="1" applyFont="1" applyBorder="1" applyAlignment="1">
      <alignment horizontal="right" vertical="center"/>
    </xf>
    <xf numFmtId="177" fontId="17" fillId="0" borderId="30" xfId="0" applyNumberFormat="1" applyFont="1" applyBorder="1" applyAlignment="1">
      <alignment horizontal="right" vertical="center"/>
    </xf>
    <xf numFmtId="0" fontId="38" fillId="0" borderId="30" xfId="0" applyNumberFormat="1" applyFont="1" applyBorder="1" applyAlignment="1">
      <alignment horizontal="center" vertical="center"/>
    </xf>
    <xf numFmtId="179" fontId="38" fillId="0" borderId="34" xfId="0" applyNumberFormat="1" applyFont="1" applyBorder="1" applyAlignment="1">
      <alignment horizontal="right" vertical="center"/>
    </xf>
    <xf numFmtId="0" fontId="38" fillId="0" borderId="11" xfId="0" applyNumberFormat="1" applyFont="1" applyBorder="1" applyAlignment="1">
      <alignment horizontal="center" vertical="center"/>
    </xf>
    <xf numFmtId="0" fontId="17" fillId="0" borderId="11" xfId="0" applyNumberFormat="1" applyFont="1" applyBorder="1" applyAlignment="1">
      <alignment horizontal="center" vertical="center"/>
    </xf>
    <xf numFmtId="181" fontId="17" fillId="0" borderId="11" xfId="0" applyNumberFormat="1" applyFont="1" applyBorder="1" applyAlignment="1">
      <alignment horizontal="right" vertical="center"/>
    </xf>
    <xf numFmtId="187" fontId="17" fillId="0" borderId="30" xfId="0" applyNumberFormat="1" applyFont="1" applyBorder="1" applyAlignment="1">
      <alignment horizontal="right" vertical="center"/>
    </xf>
    <xf numFmtId="176" fontId="38" fillId="33" borderId="34" xfId="0" applyNumberFormat="1" applyFont="1" applyFill="1" applyBorder="1" applyAlignment="1">
      <alignment horizontal="center" vertical="center" wrapText="1"/>
    </xf>
    <xf numFmtId="176" fontId="38" fillId="33" borderId="11" xfId="0" applyNumberFormat="1" applyFont="1" applyFill="1" applyBorder="1" applyAlignment="1">
      <alignment horizontal="center" vertical="center" wrapText="1"/>
    </xf>
    <xf numFmtId="176" fontId="37" fillId="33" borderId="34" xfId="0" applyNumberFormat="1" applyFont="1" applyFill="1" applyBorder="1" applyAlignment="1">
      <alignment horizontal="center" vertical="center"/>
    </xf>
    <xf numFmtId="176" fontId="38" fillId="33" borderId="11" xfId="0" applyNumberFormat="1" applyFont="1" applyFill="1" applyBorder="1" applyAlignment="1">
      <alignment horizontal="center" vertical="center"/>
    </xf>
    <xf numFmtId="176" fontId="38" fillId="33" borderId="46" xfId="0" applyNumberFormat="1" applyFont="1" applyFill="1" applyBorder="1" applyAlignment="1">
      <alignment horizontal="center" vertical="center" wrapText="1"/>
    </xf>
    <xf numFmtId="176" fontId="36" fillId="33" borderId="34" xfId="0" applyNumberFormat="1" applyFont="1" applyFill="1" applyBorder="1" applyAlignment="1">
      <alignment horizontal="center" vertical="center"/>
    </xf>
    <xf numFmtId="176" fontId="36" fillId="33" borderId="11" xfId="0" applyNumberFormat="1" applyFont="1" applyFill="1" applyBorder="1" applyAlignment="1">
      <alignment horizontal="center" vertical="center" wrapText="1"/>
    </xf>
    <xf numFmtId="176" fontId="36" fillId="33" borderId="30" xfId="0" applyNumberFormat="1" applyFont="1" applyFill="1" applyBorder="1" applyAlignment="1">
      <alignment horizontal="center" vertical="center" wrapText="1"/>
    </xf>
    <xf numFmtId="0" fontId="17" fillId="43" borderId="33" xfId="0" applyNumberFormat="1" applyFont="1" applyFill="1" applyBorder="1" applyAlignment="1">
      <alignment horizontal="center"/>
    </xf>
    <xf numFmtId="176" fontId="36" fillId="43" borderId="33" xfId="0" applyNumberFormat="1" applyFont="1" applyFill="1" applyBorder="1" applyAlignment="1">
      <alignment horizontal="center"/>
    </xf>
    <xf numFmtId="0" fontId="36" fillId="43" borderId="34" xfId="0" applyNumberFormat="1" applyFont="1" applyFill="1" applyBorder="1" applyAlignment="1">
      <alignment horizontal="center"/>
    </xf>
    <xf numFmtId="0" fontId="36" fillId="43" borderId="11" xfId="0" applyNumberFormat="1" applyFont="1" applyFill="1" applyBorder="1" applyAlignment="1">
      <alignment horizontal="center"/>
    </xf>
    <xf numFmtId="0" fontId="36" fillId="43" borderId="30" xfId="0" applyNumberFormat="1" applyFont="1" applyFill="1" applyBorder="1" applyAlignment="1">
      <alignment horizontal="center"/>
    </xf>
    <xf numFmtId="0" fontId="0" fillId="43" borderId="40" xfId="0" applyFill="1" applyBorder="1" applyAlignment="1">
      <alignment horizontal="center"/>
    </xf>
    <xf numFmtId="0" fontId="37" fillId="43" borderId="30" xfId="0" applyFont="1" applyFill="1" applyBorder="1" applyAlignment="1">
      <alignment horizontal="center"/>
    </xf>
    <xf numFmtId="0" fontId="17" fillId="43" borderId="34" xfId="0" applyNumberFormat="1" applyFont="1" applyFill="1" applyBorder="1" applyAlignment="1">
      <alignment horizontal="right" vertical="center"/>
    </xf>
    <xf numFmtId="186" fontId="17" fillId="43" borderId="30" xfId="0" applyNumberFormat="1" applyFont="1" applyFill="1" applyBorder="1" applyAlignment="1">
      <alignment horizontal="right" vertical="center"/>
    </xf>
    <xf numFmtId="177" fontId="17" fillId="43" borderId="34" xfId="0" applyNumberFormat="1" applyFont="1" applyFill="1" applyBorder="1" applyAlignment="1">
      <alignment horizontal="right" vertical="center"/>
    </xf>
    <xf numFmtId="177" fontId="17" fillId="43" borderId="11" xfId="0" applyNumberFormat="1" applyFont="1" applyFill="1" applyBorder="1" applyAlignment="1">
      <alignment horizontal="right" vertical="center"/>
    </xf>
    <xf numFmtId="187" fontId="0" fillId="43" borderId="30" xfId="0" applyNumberFormat="1" applyFill="1" applyBorder="1" applyAlignment="1">
      <alignment horizontal="right"/>
    </xf>
    <xf numFmtId="176" fontId="17" fillId="43" borderId="11" xfId="0" applyNumberFormat="1" applyFont="1" applyFill="1" applyBorder="1" applyAlignment="1">
      <alignment horizontal="right" vertical="center"/>
    </xf>
    <xf numFmtId="176" fontId="17" fillId="43" borderId="46" xfId="0" applyNumberFormat="1" applyFont="1" applyFill="1" applyBorder="1" applyAlignment="1">
      <alignment horizontal="right" vertical="center"/>
    </xf>
    <xf numFmtId="187" fontId="0" fillId="43" borderId="30" xfId="0" applyNumberFormat="1" applyFill="1" applyBorder="1" applyAlignment="1">
      <alignment horizontal="right" vertical="center"/>
    </xf>
    <xf numFmtId="176" fontId="17" fillId="43" borderId="30" xfId="0" applyNumberFormat="1" applyFont="1" applyFill="1" applyBorder="1" applyAlignment="1">
      <alignment horizontal="right" vertical="center"/>
    </xf>
    <xf numFmtId="177" fontId="17" fillId="43" borderId="30" xfId="0" applyNumberFormat="1" applyFont="1" applyFill="1" applyBorder="1" applyAlignment="1">
      <alignment horizontal="right" vertical="center"/>
    </xf>
    <xf numFmtId="179" fontId="38" fillId="43" borderId="34" xfId="0" applyNumberFormat="1" applyFont="1" applyFill="1" applyBorder="1" applyAlignment="1">
      <alignment horizontal="right" vertical="center"/>
    </xf>
    <xf numFmtId="0" fontId="38" fillId="43" borderId="11" xfId="0" applyNumberFormat="1" applyFont="1" applyFill="1" applyBorder="1" applyAlignment="1">
      <alignment horizontal="center" vertical="center"/>
    </xf>
    <xf numFmtId="0" fontId="38" fillId="43" borderId="30" xfId="0" applyNumberFormat="1" applyFont="1" applyFill="1" applyBorder="1" applyAlignment="1">
      <alignment horizontal="center" vertical="center"/>
    </xf>
    <xf numFmtId="0" fontId="17" fillId="43" borderId="11" xfId="0" applyNumberFormat="1" applyFont="1" applyFill="1" applyBorder="1" applyAlignment="1">
      <alignment horizontal="center" vertical="center"/>
    </xf>
    <xf numFmtId="181" fontId="17" fillId="43" borderId="11" xfId="0" applyNumberFormat="1" applyFont="1" applyFill="1" applyBorder="1" applyAlignment="1">
      <alignment horizontal="right" vertical="center"/>
    </xf>
    <xf numFmtId="187" fontId="17" fillId="43" borderId="30" xfId="0" applyNumberFormat="1" applyFont="1" applyFill="1" applyBorder="1" applyAlignment="1">
      <alignment horizontal="right" vertical="center"/>
    </xf>
    <xf numFmtId="176" fontId="0" fillId="43" borderId="34" xfId="0" applyNumberFormat="1" applyFill="1" applyBorder="1" applyAlignment="1">
      <alignment horizontal="right" vertical="center"/>
    </xf>
    <xf numFmtId="176" fontId="0" fillId="43" borderId="11" xfId="0" applyNumberFormat="1" applyFill="1" applyBorder="1" applyAlignment="1">
      <alignment horizontal="right" vertical="center"/>
    </xf>
    <xf numFmtId="185" fontId="38" fillId="0" borderId="11" xfId="0" applyNumberFormat="1" applyFont="1" applyBorder="1" applyAlignment="1">
      <alignment horizontal="right" vertical="center"/>
    </xf>
    <xf numFmtId="185" fontId="38" fillId="43" borderId="11" xfId="0" applyNumberFormat="1" applyFont="1" applyFill="1" applyBorder="1" applyAlignment="1">
      <alignment horizontal="right" vertical="center"/>
    </xf>
    <xf numFmtId="183" fontId="17" fillId="0" borderId="34" xfId="0" applyNumberFormat="1" applyFont="1" applyBorder="1" applyAlignment="1">
      <alignment horizontal="right" vertical="center"/>
    </xf>
    <xf numFmtId="183" fontId="17" fillId="43" borderId="34" xfId="0" applyNumberFormat="1" applyFont="1" applyFill="1" applyBorder="1" applyAlignment="1">
      <alignment horizontal="right" vertical="center"/>
    </xf>
    <xf numFmtId="0" fontId="38" fillId="0" borderId="0" xfId="0" applyFont="1" applyFill="1" applyBorder="1" applyAlignment="1">
      <alignment horizontal="right"/>
    </xf>
    <xf numFmtId="180" fontId="38" fillId="0" borderId="0" xfId="0" applyNumberFormat="1" applyFont="1" applyFill="1" applyBorder="1" applyAlignment="1">
      <alignment horizontal="right"/>
    </xf>
    <xf numFmtId="177" fontId="38" fillId="0" borderId="0" xfId="0" applyNumberFormat="1" applyFont="1" applyFill="1" applyBorder="1" applyAlignment="1">
      <alignment horizontal="right"/>
    </xf>
    <xf numFmtId="176" fontId="0" fillId="43" borderId="34" xfId="0" applyNumberFormat="1" applyFill="1" applyBorder="1"/>
    <xf numFmtId="176" fontId="0" fillId="43" borderId="11" xfId="0" applyNumberFormat="1" applyFill="1" applyBorder="1"/>
    <xf numFmtId="176" fontId="0" fillId="43" borderId="30" xfId="0" applyNumberFormat="1" applyFill="1" applyBorder="1"/>
    <xf numFmtId="176" fontId="38" fillId="0" borderId="0" xfId="0" applyNumberFormat="1" applyFont="1" applyFill="1" applyBorder="1" applyAlignment="1">
      <alignment horizontal="right"/>
    </xf>
    <xf numFmtId="0" fontId="38" fillId="0" borderId="0" xfId="0" applyFont="1" applyAlignment="1">
      <alignment horizontal="right"/>
    </xf>
    <xf numFmtId="176" fontId="38" fillId="0" borderId="0" xfId="0" applyNumberFormat="1" applyFont="1"/>
    <xf numFmtId="0" fontId="0" fillId="43" borderId="49" xfId="0" applyFill="1" applyBorder="1"/>
    <xf numFmtId="0" fontId="0" fillId="35" borderId="49" xfId="0" applyFill="1" applyBorder="1"/>
    <xf numFmtId="0" fontId="0" fillId="34" borderId="49" xfId="0" applyFill="1" applyBorder="1"/>
    <xf numFmtId="0" fontId="0" fillId="36" borderId="49" xfId="0" applyFill="1" applyBorder="1"/>
    <xf numFmtId="0" fontId="0" fillId="38" borderId="49" xfId="0" applyFill="1" applyBorder="1"/>
    <xf numFmtId="177" fontId="38" fillId="0" borderId="0" xfId="0" applyNumberFormat="1" applyFont="1" applyBorder="1" applyAlignment="1">
      <alignment horizontal="right"/>
    </xf>
    <xf numFmtId="189" fontId="38" fillId="0" borderId="0" xfId="0" applyNumberFormat="1" applyFont="1" applyFill="1" applyBorder="1" applyAlignment="1">
      <alignment horizontal="right"/>
    </xf>
    <xf numFmtId="188" fontId="38" fillId="0" borderId="0" xfId="0" applyNumberFormat="1" applyFont="1" applyFill="1" applyBorder="1" applyAlignment="1">
      <alignment horizontal="right"/>
    </xf>
    <xf numFmtId="0" fontId="0" fillId="0" borderId="40" xfId="0" applyBorder="1" applyAlignment="1">
      <alignment horizontal="center"/>
    </xf>
    <xf numFmtId="0" fontId="0" fillId="0" borderId="0" xfId="0"/>
    <xf numFmtId="0" fontId="0" fillId="0" borderId="0" xfId="0" applyAlignment="1">
      <alignment horizontal="center"/>
    </xf>
    <xf numFmtId="0" fontId="37" fillId="0" borderId="30" xfId="0" applyFont="1" applyBorder="1" applyAlignment="1">
      <alignment horizontal="center"/>
    </xf>
    <xf numFmtId="176" fontId="38" fillId="33" borderId="30" xfId="0" applyNumberFormat="1" applyFont="1" applyFill="1" applyBorder="1" applyAlignment="1">
      <alignment horizontal="center" vertical="center" wrapText="1"/>
    </xf>
    <xf numFmtId="176" fontId="36" fillId="0" borderId="0" xfId="0" applyNumberFormat="1" applyFont="1" applyFill="1" applyBorder="1" applyAlignment="1">
      <alignment horizontal="right"/>
    </xf>
    <xf numFmtId="0" fontId="16" fillId="33" borderId="51" xfId="0" applyFont="1" applyFill="1" applyBorder="1" applyAlignment="1">
      <alignment horizontal="center" vertical="center"/>
    </xf>
    <xf numFmtId="0" fontId="0" fillId="33" borderId="62" xfId="0" applyFill="1" applyBorder="1" applyAlignment="1">
      <alignment horizontal="center" vertical="center"/>
    </xf>
    <xf numFmtId="0" fontId="0" fillId="33" borderId="62" xfId="0" applyFill="1" applyBorder="1" applyAlignment="1">
      <alignment horizontal="center" vertical="center" textRotation="180"/>
    </xf>
    <xf numFmtId="0" fontId="0" fillId="33" borderId="39" xfId="0" applyFill="1" applyBorder="1" applyAlignment="1">
      <alignment horizontal="center" vertical="center" textRotation="180"/>
    </xf>
    <xf numFmtId="0" fontId="0" fillId="33" borderId="29" xfId="0" applyFill="1" applyBorder="1" applyAlignment="1">
      <alignment horizontal="center" vertical="center" textRotation="180"/>
    </xf>
    <xf numFmtId="0" fontId="38" fillId="33" borderId="34" xfId="0" applyFont="1" applyFill="1" applyBorder="1" applyAlignment="1">
      <alignment horizontal="center" vertical="center"/>
    </xf>
    <xf numFmtId="0" fontId="16" fillId="0" borderId="1" xfId="0" applyFont="1" applyBorder="1"/>
    <xf numFmtId="176" fontId="45" fillId="48" borderId="14" xfId="0" applyNumberFormat="1" applyFont="1" applyFill="1" applyBorder="1"/>
    <xf numFmtId="176" fontId="45" fillId="33" borderId="46" xfId="0" applyNumberFormat="1" applyFont="1" applyFill="1" applyBorder="1"/>
    <xf numFmtId="176" fontId="45" fillId="33" borderId="11" xfId="0" applyNumberFormat="1" applyFont="1" applyFill="1" applyBorder="1"/>
    <xf numFmtId="0" fontId="45" fillId="33" borderId="14" xfId="0" applyFont="1" applyFill="1" applyBorder="1" applyAlignment="1">
      <alignment horizontal="center"/>
    </xf>
    <xf numFmtId="176" fontId="45" fillId="37" borderId="12" xfId="0" applyNumberFormat="1" applyFont="1" applyFill="1" applyBorder="1"/>
    <xf numFmtId="0" fontId="45" fillId="35" borderId="14" xfId="0" applyFont="1" applyFill="1" applyBorder="1" applyAlignment="1">
      <alignment horizontal="center"/>
    </xf>
    <xf numFmtId="184" fontId="45" fillId="50" borderId="11" xfId="0" applyNumberFormat="1" applyFont="1" applyFill="1" applyBorder="1"/>
    <xf numFmtId="180" fontId="45" fillId="35" borderId="26" xfId="0" applyNumberFormat="1" applyFont="1" applyFill="1" applyBorder="1"/>
    <xf numFmtId="176" fontId="45" fillId="35" borderId="46" xfId="0" applyNumberFormat="1" applyFont="1" applyFill="1" applyBorder="1"/>
    <xf numFmtId="176" fontId="45" fillId="35" borderId="11" xfId="0" applyNumberFormat="1" applyFont="1" applyFill="1" applyBorder="1"/>
    <xf numFmtId="176" fontId="45" fillId="51" borderId="69" xfId="0" applyNumberFormat="1" applyFont="1" applyFill="1" applyBorder="1"/>
    <xf numFmtId="184" fontId="45" fillId="51" borderId="11" xfId="0" applyNumberFormat="1" applyFont="1" applyFill="1" applyBorder="1"/>
    <xf numFmtId="176" fontId="45" fillId="50" borderId="69" xfId="0" applyNumberFormat="1" applyFont="1" applyFill="1" applyBorder="1"/>
    <xf numFmtId="176" fontId="45" fillId="50" borderId="14" xfId="0" applyNumberFormat="1" applyFont="1" applyFill="1" applyBorder="1"/>
    <xf numFmtId="176" fontId="45" fillId="45" borderId="25" xfId="0" applyNumberFormat="1" applyFont="1" applyFill="1" applyBorder="1"/>
    <xf numFmtId="176" fontId="45" fillId="45" borderId="12" xfId="0" applyNumberFormat="1" applyFont="1" applyFill="1" applyBorder="1"/>
    <xf numFmtId="176" fontId="38" fillId="48" borderId="90" xfId="0" applyNumberFormat="1" applyFont="1" applyFill="1" applyBorder="1" applyAlignment="1">
      <alignment horizontal="center" vertical="center" wrapText="1"/>
    </xf>
    <xf numFmtId="0" fontId="38" fillId="48" borderId="104" xfId="0" applyFont="1" applyFill="1" applyBorder="1" applyAlignment="1">
      <alignment horizontal="center" vertical="center"/>
    </xf>
    <xf numFmtId="176" fontId="38" fillId="48" borderId="90" xfId="0" applyNumberFormat="1" applyFont="1" applyFill="1" applyBorder="1" applyAlignment="1">
      <alignment horizontal="center" vertical="center"/>
    </xf>
    <xf numFmtId="0" fontId="49" fillId="59" borderId="0" xfId="0" applyFont="1" applyFill="1"/>
    <xf numFmtId="14" fontId="49" fillId="59" borderId="0" xfId="0" applyNumberFormat="1" applyFont="1" applyFill="1"/>
    <xf numFmtId="0" fontId="49" fillId="59" borderId="0" xfId="0" applyFont="1" applyFill="1" applyAlignment="1">
      <alignment horizontal="right"/>
    </xf>
    <xf numFmtId="14" fontId="55" fillId="59" borderId="0" xfId="0" applyNumberFormat="1" applyFont="1" applyFill="1"/>
    <xf numFmtId="0" fontId="55" fillId="59" borderId="0" xfId="0" applyFont="1" applyFill="1" applyAlignment="1">
      <alignment horizontal="right"/>
    </xf>
    <xf numFmtId="0" fontId="0" fillId="59" borderId="0" xfId="0" applyFill="1" applyBorder="1" applyAlignment="1"/>
    <xf numFmtId="0" fontId="56" fillId="59" borderId="0" xfId="1855" applyFill="1"/>
    <xf numFmtId="0" fontId="50" fillId="61" borderId="123" xfId="0" applyFont="1" applyFill="1" applyBorder="1" applyAlignment="1">
      <alignment horizontal="center" vertical="center" wrapText="1"/>
    </xf>
    <xf numFmtId="0" fontId="50" fillId="61" borderId="124" xfId="0" applyFont="1" applyFill="1" applyBorder="1" applyAlignment="1">
      <alignment horizontal="center" vertical="center"/>
    </xf>
    <xf numFmtId="0" fontId="50" fillId="61" borderId="125" xfId="0" applyFont="1" applyFill="1" applyBorder="1" applyAlignment="1">
      <alignment horizontal="center" vertical="center"/>
    </xf>
    <xf numFmtId="0" fontId="50" fillId="61" borderId="126" xfId="0" applyFont="1" applyFill="1" applyBorder="1" applyAlignment="1">
      <alignment horizontal="center" vertical="center"/>
    </xf>
    <xf numFmtId="0" fontId="50" fillId="61" borderId="0" xfId="0" applyFont="1" applyFill="1" applyBorder="1" applyAlignment="1">
      <alignment horizontal="center" vertical="center"/>
    </xf>
    <xf numFmtId="0" fontId="50" fillId="61" borderId="127" xfId="0" applyFont="1" applyFill="1" applyBorder="1" applyAlignment="1">
      <alignment horizontal="center" vertical="center"/>
    </xf>
    <xf numFmtId="0" fontId="51" fillId="35" borderId="126" xfId="0" applyFont="1" applyFill="1" applyBorder="1" applyAlignment="1">
      <alignment horizontal="center"/>
    </xf>
    <xf numFmtId="0" fontId="51" fillId="35" borderId="0" xfId="0" applyFont="1" applyFill="1" applyBorder="1" applyAlignment="1">
      <alignment horizontal="center"/>
    </xf>
    <xf numFmtId="0" fontId="51" fillId="35" borderId="127" xfId="0" applyFont="1" applyFill="1" applyBorder="1" applyAlignment="1">
      <alignment horizontal="center"/>
    </xf>
    <xf numFmtId="0" fontId="51" fillId="35" borderId="128" xfId="0" applyFont="1" applyFill="1" applyBorder="1" applyAlignment="1">
      <alignment horizontal="center"/>
    </xf>
    <xf numFmtId="0" fontId="51" fillId="35" borderId="129" xfId="0" applyFont="1" applyFill="1" applyBorder="1" applyAlignment="1">
      <alignment horizontal="center"/>
    </xf>
    <xf numFmtId="0" fontId="51" fillId="35" borderId="130" xfId="0" applyFont="1" applyFill="1" applyBorder="1" applyAlignment="1">
      <alignment horizontal="center"/>
    </xf>
    <xf numFmtId="0" fontId="52" fillId="60" borderId="117" xfId="0" applyFont="1" applyFill="1" applyBorder="1" applyAlignment="1">
      <alignment horizontal="left" vertical="center"/>
    </xf>
    <xf numFmtId="0" fontId="52" fillId="60" borderId="118" xfId="0" applyFont="1" applyFill="1" applyBorder="1" applyAlignment="1">
      <alignment horizontal="left" vertical="center"/>
    </xf>
    <xf numFmtId="0" fontId="52" fillId="60" borderId="119" xfId="0" applyFont="1" applyFill="1" applyBorder="1" applyAlignment="1">
      <alignment horizontal="left" vertical="center"/>
    </xf>
    <xf numFmtId="0" fontId="52" fillId="60" borderId="120" xfId="0" applyFont="1" applyFill="1" applyBorder="1" applyAlignment="1">
      <alignment horizontal="left" vertical="center"/>
    </xf>
    <xf numFmtId="0" fontId="52" fillId="60" borderId="121" xfId="0" applyFont="1" applyFill="1" applyBorder="1" applyAlignment="1">
      <alignment horizontal="left" vertical="center"/>
    </xf>
    <xf numFmtId="0" fontId="52" fillId="60" borderId="122" xfId="0" applyFont="1" applyFill="1" applyBorder="1" applyAlignment="1">
      <alignment horizontal="left" vertical="center"/>
    </xf>
    <xf numFmtId="0" fontId="49" fillId="35" borderId="137" xfId="0" applyFont="1" applyFill="1" applyBorder="1" applyAlignment="1">
      <alignment vertical="center"/>
    </xf>
    <xf numFmtId="0" fontId="0" fillId="0" borderId="138" xfId="0" applyBorder="1" applyAlignment="1">
      <alignment vertical="center"/>
    </xf>
    <xf numFmtId="0" fontId="53" fillId="62" borderId="131" xfId="0" applyFont="1" applyFill="1" applyBorder="1" applyAlignment="1">
      <alignment horizontal="left" vertical="center"/>
    </xf>
    <xf numFmtId="0" fontId="54" fillId="62" borderId="132" xfId="0" applyFont="1" applyFill="1" applyBorder="1" applyAlignment="1">
      <alignment horizontal="left" vertical="center"/>
    </xf>
    <xf numFmtId="0" fontId="54" fillId="62" borderId="133" xfId="0" applyFont="1" applyFill="1" applyBorder="1" applyAlignment="1">
      <alignment horizontal="left" vertical="center"/>
    </xf>
    <xf numFmtId="0" fontId="54" fillId="62" borderId="134" xfId="0" applyFont="1" applyFill="1" applyBorder="1" applyAlignment="1">
      <alignment horizontal="left" vertical="center"/>
    </xf>
    <xf numFmtId="0" fontId="54" fillId="62" borderId="135" xfId="0" applyFont="1" applyFill="1" applyBorder="1" applyAlignment="1">
      <alignment horizontal="left" vertical="center"/>
    </xf>
    <xf numFmtId="0" fontId="54" fillId="62" borderId="136" xfId="0" applyFont="1" applyFill="1" applyBorder="1" applyAlignment="1">
      <alignment horizontal="left" vertical="center"/>
    </xf>
    <xf numFmtId="0" fontId="16" fillId="48" borderId="102" xfId="0" applyFont="1" applyFill="1" applyBorder="1" applyAlignment="1">
      <alignment horizontal="center" vertical="center"/>
    </xf>
    <xf numFmtId="0" fontId="0" fillId="48" borderId="21" xfId="0" applyFill="1" applyBorder="1" applyAlignment="1">
      <alignment horizontal="center" vertical="center"/>
    </xf>
    <xf numFmtId="0" fontId="0" fillId="48" borderId="103" xfId="0" applyFill="1" applyBorder="1" applyAlignment="1">
      <alignment horizontal="center" vertical="center"/>
    </xf>
    <xf numFmtId="0" fontId="39" fillId="48" borderId="31" xfId="0" applyFont="1" applyFill="1" applyBorder="1" applyAlignment="1">
      <alignment horizontal="center" vertical="center"/>
    </xf>
    <xf numFmtId="0" fontId="0" fillId="48" borderId="23" xfId="0" applyFill="1" applyBorder="1" applyAlignment="1">
      <alignment horizontal="center" vertical="center"/>
    </xf>
    <xf numFmtId="0" fontId="0" fillId="48" borderId="27" xfId="0" applyFill="1" applyBorder="1" applyAlignment="1">
      <alignment horizontal="center" vertical="center"/>
    </xf>
    <xf numFmtId="0" fontId="16" fillId="48" borderId="77" xfId="0" applyFont="1" applyFill="1" applyBorder="1" applyAlignment="1">
      <alignment horizontal="center" vertical="center"/>
    </xf>
    <xf numFmtId="0" fontId="16" fillId="0" borderId="76" xfId="0" applyFont="1" applyBorder="1" applyAlignment="1">
      <alignment horizontal="center" vertical="center"/>
    </xf>
    <xf numFmtId="176" fontId="39" fillId="48" borderId="99" xfId="0" applyNumberFormat="1" applyFont="1" applyFill="1" applyBorder="1" applyAlignment="1">
      <alignment horizontal="center" vertical="center" wrapText="1"/>
    </xf>
    <xf numFmtId="0" fontId="39" fillId="0" borderId="100" xfId="0" applyFont="1" applyBorder="1" applyAlignment="1">
      <alignment horizontal="center" vertical="center"/>
    </xf>
    <xf numFmtId="0" fontId="39" fillId="48" borderId="53" xfId="0" applyFont="1" applyFill="1" applyBorder="1" applyAlignment="1">
      <alignment horizontal="center" vertical="center"/>
    </xf>
    <xf numFmtId="0" fontId="39" fillId="0" borderId="38" xfId="0" applyFont="1" applyBorder="1" applyAlignment="1">
      <alignment horizontal="center" vertical="center"/>
    </xf>
    <xf numFmtId="0" fontId="39" fillId="48" borderId="81" xfId="0" applyFont="1" applyFill="1" applyBorder="1" applyAlignment="1">
      <alignment horizontal="center" vertical="center" wrapText="1"/>
    </xf>
    <xf numFmtId="0" fontId="39" fillId="0" borderId="98" xfId="0" applyFont="1" applyBorder="1" applyAlignment="1">
      <alignment vertical="center"/>
    </xf>
    <xf numFmtId="0" fontId="39" fillId="0" borderId="86" xfId="0" applyFont="1" applyBorder="1" applyAlignment="1">
      <alignment vertical="center"/>
    </xf>
    <xf numFmtId="0" fontId="39" fillId="48" borderId="81" xfId="0" applyFont="1" applyFill="1" applyBorder="1" applyAlignment="1">
      <alignment horizontal="center" vertical="center"/>
    </xf>
    <xf numFmtId="0" fontId="39" fillId="0" borderId="98" xfId="0" applyFont="1" applyBorder="1" applyAlignment="1">
      <alignment horizontal="center" vertical="center"/>
    </xf>
    <xf numFmtId="0" fontId="39" fillId="0" borderId="86" xfId="0" applyFont="1" applyBorder="1" applyAlignment="1">
      <alignment horizontal="center" vertical="center"/>
    </xf>
    <xf numFmtId="176" fontId="16" fillId="48" borderId="76" xfId="0" applyNumberFormat="1" applyFont="1" applyFill="1" applyBorder="1" applyAlignment="1">
      <alignment horizontal="center"/>
    </xf>
    <xf numFmtId="0" fontId="0" fillId="0" borderId="76" xfId="0" applyBorder="1" applyAlignment="1">
      <alignment horizontal="center"/>
    </xf>
    <xf numFmtId="0" fontId="0" fillId="0" borderId="78" xfId="0" applyBorder="1" applyAlignment="1">
      <alignment horizontal="center"/>
    </xf>
    <xf numFmtId="0" fontId="16" fillId="48" borderId="38" xfId="0" applyFont="1" applyFill="1" applyBorder="1" applyAlignment="1">
      <alignment horizontal="center"/>
    </xf>
    <xf numFmtId="0" fontId="0" fillId="0" borderId="42" xfId="0" applyBorder="1" applyAlignment="1">
      <alignment horizontal="center"/>
    </xf>
    <xf numFmtId="176" fontId="16" fillId="48" borderId="53" xfId="0" applyNumberFormat="1" applyFont="1" applyFill="1" applyBorder="1" applyAlignment="1">
      <alignment horizontal="center"/>
    </xf>
    <xf numFmtId="0" fontId="0" fillId="0" borderId="38" xfId="0" applyBorder="1" applyAlignment="1">
      <alignment horizontal="center"/>
    </xf>
    <xf numFmtId="176" fontId="16" fillId="48" borderId="38" xfId="0" applyNumberFormat="1" applyFont="1" applyFill="1" applyBorder="1" applyAlignment="1">
      <alignment horizontal="center"/>
    </xf>
    <xf numFmtId="0" fontId="0" fillId="0" borderId="71" xfId="0" applyBorder="1" applyAlignment="1">
      <alignment horizontal="center"/>
    </xf>
    <xf numFmtId="176" fontId="38" fillId="48" borderId="18" xfId="0" applyNumberFormat="1" applyFont="1" applyFill="1" applyBorder="1" applyAlignment="1">
      <alignment horizontal="center" vertical="center"/>
    </xf>
    <xf numFmtId="0" fontId="0" fillId="0" borderId="17" xfId="0" applyBorder="1" applyAlignment="1">
      <alignment vertical="center"/>
    </xf>
    <xf numFmtId="176" fontId="38" fillId="48" borderId="91" xfId="0" applyNumberFormat="1" applyFont="1" applyFill="1" applyBorder="1" applyAlignment="1">
      <alignment horizontal="center" vertical="center"/>
    </xf>
    <xf numFmtId="0" fontId="0" fillId="0" borderId="20" xfId="0" applyBorder="1" applyAlignment="1">
      <alignment horizontal="center" vertical="center"/>
    </xf>
    <xf numFmtId="176" fontId="38" fillId="48" borderId="92" xfId="0" applyNumberFormat="1" applyFont="1" applyFill="1" applyBorder="1" applyAlignment="1">
      <alignment horizontal="center" vertical="center" wrapText="1"/>
    </xf>
    <xf numFmtId="0" fontId="0" fillId="0" borderId="28" xfId="0" applyBorder="1" applyAlignment="1">
      <alignment horizontal="center" vertical="center"/>
    </xf>
    <xf numFmtId="0" fontId="16" fillId="48" borderId="39" xfId="0" applyFont="1" applyFill="1" applyBorder="1" applyAlignment="1">
      <alignment horizontal="center" vertical="center"/>
    </xf>
    <xf numFmtId="0" fontId="0" fillId="0" borderId="41" xfId="0" applyBorder="1" applyAlignment="1">
      <alignment horizontal="center" vertical="center"/>
    </xf>
    <xf numFmtId="0" fontId="16" fillId="48" borderId="48" xfId="0" applyFont="1" applyFill="1" applyBorder="1" applyAlignment="1">
      <alignment horizontal="center" vertical="center"/>
    </xf>
    <xf numFmtId="0" fontId="0" fillId="0" borderId="50" xfId="0" applyBorder="1" applyAlignment="1">
      <alignment vertical="center"/>
    </xf>
    <xf numFmtId="0" fontId="43" fillId="48" borderId="89" xfId="0" applyFont="1" applyFill="1" applyBorder="1" applyAlignment="1">
      <alignment horizontal="center" vertical="center" wrapText="1"/>
    </xf>
    <xf numFmtId="0" fontId="44" fillId="0" borderId="57" xfId="0" applyFont="1" applyBorder="1" applyAlignment="1">
      <alignment horizontal="center" vertical="center"/>
    </xf>
    <xf numFmtId="0" fontId="39" fillId="48" borderId="89" xfId="0" applyFont="1" applyFill="1" applyBorder="1" applyAlignment="1">
      <alignment horizontal="center" vertical="center" wrapText="1"/>
    </xf>
    <xf numFmtId="0" fontId="16" fillId="0" borderId="57" xfId="0" applyFont="1" applyBorder="1" applyAlignment="1">
      <alignment vertical="center"/>
    </xf>
    <xf numFmtId="176" fontId="37" fillId="48" borderId="88" xfId="0" applyNumberFormat="1" applyFont="1" applyFill="1" applyBorder="1" applyAlignment="1">
      <alignment horizontal="center" vertical="center"/>
    </xf>
    <xf numFmtId="0" fontId="0" fillId="0" borderId="19" xfId="0" applyBorder="1" applyAlignment="1">
      <alignment horizontal="center" vertical="center"/>
    </xf>
    <xf numFmtId="0" fontId="16" fillId="48" borderId="31" xfId="0" applyFont="1" applyFill="1" applyBorder="1" applyAlignment="1">
      <alignment horizontal="center" vertical="center"/>
    </xf>
    <xf numFmtId="0" fontId="0" fillId="0" borderId="23" xfId="0" applyBorder="1" applyAlignment="1">
      <alignment horizontal="center" vertical="center"/>
    </xf>
    <xf numFmtId="0" fontId="0" fillId="0" borderId="27" xfId="0" applyBorder="1" applyAlignment="1">
      <alignment horizontal="center" vertical="center"/>
    </xf>
    <xf numFmtId="0" fontId="38" fillId="48" borderId="25" xfId="0" applyFont="1" applyFill="1" applyBorder="1" applyAlignment="1">
      <alignment horizontal="center" vertical="center" wrapText="1"/>
    </xf>
    <xf numFmtId="0" fontId="17" fillId="0" borderId="37" xfId="0" applyFont="1" applyBorder="1" applyAlignment="1">
      <alignment horizontal="center" vertical="center" wrapText="1"/>
    </xf>
    <xf numFmtId="176" fontId="38" fillId="48" borderId="90" xfId="0" applyNumberFormat="1" applyFont="1" applyFill="1" applyBorder="1" applyAlignment="1">
      <alignment horizontal="center" vertical="center" wrapText="1"/>
    </xf>
    <xf numFmtId="0" fontId="17" fillId="0" borderId="16" xfId="0" applyFont="1" applyBorder="1" applyAlignment="1">
      <alignment horizontal="center" vertical="center" wrapText="1"/>
    </xf>
    <xf numFmtId="176" fontId="38" fillId="48" borderId="68" xfId="0" applyNumberFormat="1" applyFont="1" applyFill="1" applyBorder="1" applyAlignment="1">
      <alignment horizontal="center" vertical="center" wrapText="1"/>
    </xf>
    <xf numFmtId="0" fontId="17" fillId="0" borderId="70" xfId="0" applyFont="1" applyBorder="1" applyAlignment="1">
      <alignment horizontal="center" vertical="center" wrapText="1"/>
    </xf>
    <xf numFmtId="0" fontId="16" fillId="0" borderId="21" xfId="0" applyFont="1" applyBorder="1" applyAlignment="1">
      <alignment horizontal="center" vertical="center"/>
    </xf>
    <xf numFmtId="0" fontId="16" fillId="0" borderId="22" xfId="0" applyFont="1" applyBorder="1" applyAlignment="1">
      <alignment horizontal="center" vertical="center"/>
    </xf>
    <xf numFmtId="176" fontId="39" fillId="48" borderId="31" xfId="0" applyNumberFormat="1" applyFont="1" applyFill="1" applyBorder="1" applyAlignment="1">
      <alignment horizontal="center" vertical="center"/>
    </xf>
    <xf numFmtId="0" fontId="16" fillId="0" borderId="23" xfId="0" applyFont="1" applyBorder="1" applyAlignment="1">
      <alignment vertical="center"/>
    </xf>
    <xf numFmtId="0" fontId="16" fillId="0" borderId="27" xfId="0" applyFont="1" applyBorder="1" applyAlignment="1">
      <alignment vertical="center"/>
    </xf>
    <xf numFmtId="0" fontId="38" fillId="48" borderId="104" xfId="0" applyFont="1" applyFill="1" applyBorder="1" applyAlignment="1">
      <alignment horizontal="center" vertical="center"/>
    </xf>
    <xf numFmtId="0" fontId="0" fillId="0" borderId="105" xfId="0" applyBorder="1" applyAlignment="1"/>
    <xf numFmtId="0" fontId="0" fillId="0" borderId="76" xfId="0" applyBorder="1" applyAlignment="1"/>
    <xf numFmtId="0" fontId="0" fillId="0" borderId="78" xfId="0" applyBorder="1" applyAlignment="1"/>
    <xf numFmtId="0" fontId="0" fillId="0" borderId="76" xfId="0" applyBorder="1" applyAlignment="1">
      <alignment horizontal="center" vertical="center"/>
    </xf>
    <xf numFmtId="0" fontId="0" fillId="0" borderId="93" xfId="0" applyBorder="1" applyAlignment="1">
      <alignment horizontal="center" vertical="center"/>
    </xf>
    <xf numFmtId="0" fontId="0" fillId="0" borderId="78" xfId="0" applyBorder="1" applyAlignment="1">
      <alignment horizontal="center" vertical="center"/>
    </xf>
    <xf numFmtId="0" fontId="37" fillId="48" borderId="95" xfId="0" applyFont="1" applyFill="1" applyBorder="1" applyAlignment="1">
      <alignment horizontal="center" vertical="center" wrapText="1"/>
    </xf>
    <xf numFmtId="0" fontId="0" fillId="0" borderId="35" xfId="0" applyBorder="1" applyAlignment="1">
      <alignment horizontal="center" vertical="center"/>
    </xf>
    <xf numFmtId="0" fontId="37" fillId="48" borderId="90" xfId="0" applyFont="1" applyFill="1" applyBorder="1" applyAlignment="1">
      <alignment horizontal="center" vertical="center" wrapText="1"/>
    </xf>
    <xf numFmtId="0" fontId="0" fillId="0" borderId="16" xfId="0" applyBorder="1" applyAlignment="1">
      <alignment horizontal="center" vertical="center"/>
    </xf>
    <xf numFmtId="176" fontId="38" fillId="48" borderId="90" xfId="0" applyNumberFormat="1" applyFont="1" applyFill="1" applyBorder="1" applyAlignment="1">
      <alignment horizontal="center" vertical="center"/>
    </xf>
    <xf numFmtId="176" fontId="38" fillId="48" borderId="94" xfId="0" applyNumberFormat="1" applyFont="1" applyFill="1" applyBorder="1" applyAlignment="1">
      <alignment horizontal="center" vertical="center" wrapText="1"/>
    </xf>
    <xf numFmtId="0" fontId="0" fillId="0" borderId="15" xfId="0" applyBorder="1" applyAlignment="1">
      <alignment horizontal="center" vertical="center"/>
    </xf>
    <xf numFmtId="0" fontId="16" fillId="48" borderId="44" xfId="0" applyFont="1" applyFill="1" applyBorder="1" applyAlignment="1">
      <alignment horizontal="center" vertical="center"/>
    </xf>
    <xf numFmtId="0" fontId="0" fillId="0" borderId="22" xfId="0" applyBorder="1" applyAlignment="1"/>
    <xf numFmtId="0" fontId="38" fillId="48" borderId="25" xfId="0" applyFont="1" applyFill="1" applyBorder="1" applyAlignment="1">
      <alignment horizontal="center" vertical="center"/>
    </xf>
    <xf numFmtId="0" fontId="0" fillId="0" borderId="37" xfId="0" applyBorder="1" applyAlignment="1">
      <alignment horizontal="center" vertical="center"/>
    </xf>
    <xf numFmtId="0" fontId="39" fillId="33" borderId="34" xfId="0" applyFont="1" applyFill="1" applyBorder="1" applyAlignment="1">
      <alignment horizontal="center" vertical="center"/>
    </xf>
    <xf numFmtId="0" fontId="39" fillId="33" borderId="11" xfId="0" applyFont="1" applyFill="1" applyBorder="1" applyAlignment="1">
      <alignment horizontal="center" vertical="center"/>
    </xf>
    <xf numFmtId="0" fontId="0" fillId="0" borderId="30" xfId="0" applyBorder="1" applyAlignment="1"/>
    <xf numFmtId="0" fontId="0" fillId="0" borderId="11" xfId="0" applyBorder="1" applyAlignment="1">
      <alignment horizontal="center" vertical="center"/>
    </xf>
    <xf numFmtId="0" fontId="0" fillId="0" borderId="30" xfId="0" applyBorder="1" applyAlignment="1">
      <alignment horizontal="center" vertical="center"/>
    </xf>
    <xf numFmtId="176" fontId="39" fillId="33" borderId="34" xfId="0" applyNumberFormat="1" applyFont="1" applyFill="1" applyBorder="1" applyAlignment="1">
      <alignment horizontal="center" vertical="center"/>
    </xf>
    <xf numFmtId="0" fontId="16" fillId="0" borderId="11" xfId="0" applyFont="1" applyBorder="1" applyAlignment="1">
      <alignment horizontal="center" vertical="center"/>
    </xf>
    <xf numFmtId="0" fontId="16" fillId="0" borderId="30" xfId="0" applyFont="1" applyBorder="1" applyAlignment="1">
      <alignment horizontal="center" vertical="center"/>
    </xf>
    <xf numFmtId="0" fontId="39" fillId="33" borderId="30" xfId="0" applyFont="1" applyFill="1" applyBorder="1" applyAlignment="1">
      <alignment horizontal="center" vertical="center"/>
    </xf>
    <xf numFmtId="0" fontId="16" fillId="33" borderId="82" xfId="0" applyFont="1" applyFill="1" applyBorder="1" applyAlignment="1">
      <alignment horizontal="center" vertical="center"/>
    </xf>
    <xf numFmtId="0" fontId="16" fillId="33" borderId="51" xfId="0" applyFont="1" applyFill="1" applyBorder="1" applyAlignment="1">
      <alignment horizontal="center" vertical="center"/>
    </xf>
    <xf numFmtId="0" fontId="41" fillId="33" borderId="64" xfId="0" applyFont="1" applyFill="1" applyBorder="1" applyAlignment="1">
      <alignment horizontal="center" vertical="center" wrapText="1"/>
    </xf>
    <xf numFmtId="0" fontId="0" fillId="0" borderId="55" xfId="0" applyBorder="1" applyAlignment="1">
      <alignment horizontal="center" vertical="center"/>
    </xf>
    <xf numFmtId="0" fontId="41" fillId="33" borderId="64" xfId="0" applyFont="1" applyFill="1" applyBorder="1" applyAlignment="1">
      <alignment horizontal="center" vertical="center" textRotation="180"/>
    </xf>
    <xf numFmtId="0" fontId="0" fillId="0" borderId="55" xfId="0" applyBorder="1" applyAlignment="1">
      <alignment horizontal="center" vertical="center" textRotation="180"/>
    </xf>
    <xf numFmtId="0" fontId="41" fillId="33" borderId="34" xfId="0" applyFont="1" applyFill="1" applyBorder="1" applyAlignment="1">
      <alignment horizontal="center" vertical="center"/>
    </xf>
    <xf numFmtId="0" fontId="41" fillId="33" borderId="26" xfId="0" applyFont="1" applyFill="1" applyBorder="1" applyAlignment="1">
      <alignment horizontal="center" vertical="center"/>
    </xf>
    <xf numFmtId="0" fontId="41" fillId="33" borderId="11" xfId="0" applyFont="1" applyFill="1" applyBorder="1" applyAlignment="1">
      <alignment horizontal="center" vertical="center"/>
    </xf>
    <xf numFmtId="0" fontId="41" fillId="33" borderId="30" xfId="0" applyFont="1" applyFill="1" applyBorder="1" applyAlignment="1">
      <alignment horizontal="center" vertical="center"/>
    </xf>
    <xf numFmtId="0" fontId="41" fillId="33" borderId="63" xfId="0" applyFont="1" applyFill="1" applyBorder="1" applyAlignment="1">
      <alignment horizontal="center" vertical="center" textRotation="180"/>
    </xf>
    <xf numFmtId="0" fontId="0" fillId="0" borderId="33" xfId="0" applyBorder="1" applyAlignment="1">
      <alignment horizontal="center" vertical="center" textRotation="180"/>
    </xf>
    <xf numFmtId="0" fontId="36" fillId="33" borderId="61" xfId="0" applyFont="1" applyFill="1" applyBorder="1" applyAlignment="1">
      <alignment horizontal="center" vertical="center" textRotation="180"/>
    </xf>
    <xf numFmtId="0" fontId="0" fillId="0" borderId="29" xfId="0" applyBorder="1" applyAlignment="1">
      <alignment horizontal="center" vertical="center" textRotation="180"/>
    </xf>
    <xf numFmtId="0" fontId="38" fillId="33" borderId="34" xfId="0" applyFont="1" applyFill="1" applyBorder="1" applyAlignment="1">
      <alignment horizontal="center" vertical="center" wrapText="1"/>
    </xf>
    <xf numFmtId="0" fontId="38" fillId="0" borderId="34" xfId="0" applyFont="1" applyBorder="1" applyAlignment="1">
      <alignment horizontal="center" vertical="center"/>
    </xf>
    <xf numFmtId="176" fontId="38" fillId="33" borderId="30" xfId="0" applyNumberFormat="1" applyFont="1" applyFill="1" applyBorder="1" applyAlignment="1">
      <alignment horizontal="center" vertical="center" wrapText="1"/>
    </xf>
    <xf numFmtId="0" fontId="0" fillId="0" borderId="46" xfId="0" applyBorder="1" applyAlignment="1">
      <alignment horizontal="center" vertical="center"/>
    </xf>
  </cellXfs>
  <cellStyles count="1856">
    <cellStyle name="20% - アクセント 1" xfId="18" builtinId="30" customBuiltin="1"/>
    <cellStyle name="20% - アクセント 1 10" xfId="323"/>
    <cellStyle name="20% - アクセント 1 10 2" xfId="597"/>
    <cellStyle name="20% - アクセント 1 10 2 2" xfId="1205"/>
    <cellStyle name="20% - アクセント 1 10 2 3" xfId="1813"/>
    <cellStyle name="20% - アクセント 1 10 3" xfId="933"/>
    <cellStyle name="20% - アクセント 1 10 4" xfId="1541"/>
    <cellStyle name="20% - アクセント 1 11" xfId="365"/>
    <cellStyle name="20% - アクセント 1 11 2" xfId="613"/>
    <cellStyle name="20% - アクセント 1 11 2 2" xfId="1221"/>
    <cellStyle name="20% - アクセント 1 11 2 3" xfId="1829"/>
    <cellStyle name="20% - アクセント 1 11 3" xfId="975"/>
    <cellStyle name="20% - アクセント 1 11 4" xfId="1583"/>
    <cellStyle name="20% - アクセント 1 12" xfId="407"/>
    <cellStyle name="20% - アクセント 1 12 2" xfId="627"/>
    <cellStyle name="20% - アクセント 1 12 2 2" xfId="1235"/>
    <cellStyle name="20% - アクセント 1 12 2 3" xfId="1843"/>
    <cellStyle name="20% - アクセント 1 12 3" xfId="1017"/>
    <cellStyle name="20% - アクセント 1 12 4" xfId="1625"/>
    <cellStyle name="20% - アクセント 1 13" xfId="451"/>
    <cellStyle name="20% - アクセント 1 13 2" xfId="1059"/>
    <cellStyle name="20% - アクセント 1 13 3" xfId="1667"/>
    <cellStyle name="20% - アクセント 1 14" xfId="465"/>
    <cellStyle name="20% - アクセント 1 14 2" xfId="1073"/>
    <cellStyle name="20% - アクセント 1 14 3" xfId="1681"/>
    <cellStyle name="20% - アクセント 1 15" xfId="639"/>
    <cellStyle name="20% - アクセント 1 16" xfId="1247"/>
    <cellStyle name="20% - アクセント 1 2" xfId="45"/>
    <cellStyle name="20% - アクセント 1 2 10" xfId="423"/>
    <cellStyle name="20% - アクセント 1 2 10 2" xfId="1033"/>
    <cellStyle name="20% - アクセント 1 2 10 3" xfId="1641"/>
    <cellStyle name="20% - アクセント 1 2 11" xfId="481"/>
    <cellStyle name="20% - アクセント 1 2 11 2" xfId="1089"/>
    <cellStyle name="20% - アクセント 1 2 11 3" xfId="1697"/>
    <cellStyle name="20% - アクセント 1 2 12" xfId="655"/>
    <cellStyle name="20% - アクセント 1 2 13" xfId="1263"/>
    <cellStyle name="20% - アクセント 1 2 2" xfId="87"/>
    <cellStyle name="20% - アクセント 1 2 2 2" xfId="697"/>
    <cellStyle name="20% - アクセント 1 2 2 3" xfId="1305"/>
    <cellStyle name="20% - アクセント 1 2 3" xfId="129"/>
    <cellStyle name="20% - アクセント 1 2 3 2" xfId="739"/>
    <cellStyle name="20% - アクセント 1 2 3 3" xfId="1347"/>
    <cellStyle name="20% - アクセント 1 2 4" xfId="171"/>
    <cellStyle name="20% - アクセント 1 2 4 2" xfId="781"/>
    <cellStyle name="20% - アクセント 1 2 4 3" xfId="1389"/>
    <cellStyle name="20% - アクセント 1 2 5" xfId="213"/>
    <cellStyle name="20% - アクセント 1 2 5 2" xfId="823"/>
    <cellStyle name="20% - アクセント 1 2 5 3" xfId="1431"/>
    <cellStyle name="20% - アクセント 1 2 6" xfId="255"/>
    <cellStyle name="20% - アクセント 1 2 6 2" xfId="865"/>
    <cellStyle name="20% - アクセント 1 2 6 3" xfId="1473"/>
    <cellStyle name="20% - アクセント 1 2 7" xfId="297"/>
    <cellStyle name="20% - アクセント 1 2 7 2" xfId="907"/>
    <cellStyle name="20% - アクセント 1 2 7 3" xfId="1515"/>
    <cellStyle name="20% - アクセント 1 2 8" xfId="339"/>
    <cellStyle name="20% - アクセント 1 2 8 2" xfId="949"/>
    <cellStyle name="20% - アクセント 1 2 8 3" xfId="1557"/>
    <cellStyle name="20% - アクセント 1 2 9" xfId="381"/>
    <cellStyle name="20% - アクセント 1 2 9 2" xfId="991"/>
    <cellStyle name="20% - アクセント 1 2 9 3" xfId="1599"/>
    <cellStyle name="20% - アクセント 1 3" xfId="59"/>
    <cellStyle name="20% - アクセント 1 3 10" xfId="437"/>
    <cellStyle name="20% - アクセント 1 3 10 2" xfId="1047"/>
    <cellStyle name="20% - アクセント 1 3 10 3" xfId="1655"/>
    <cellStyle name="20% - アクセント 1 3 11" xfId="497"/>
    <cellStyle name="20% - アクセント 1 3 11 2" xfId="1105"/>
    <cellStyle name="20% - アクセント 1 3 11 3" xfId="1713"/>
    <cellStyle name="20% - アクセント 1 3 12" xfId="669"/>
    <cellStyle name="20% - アクセント 1 3 13" xfId="1277"/>
    <cellStyle name="20% - アクセント 1 3 2" xfId="101"/>
    <cellStyle name="20% - アクセント 1 3 2 2" xfId="711"/>
    <cellStyle name="20% - アクセント 1 3 2 3" xfId="1319"/>
    <cellStyle name="20% - アクセント 1 3 3" xfId="143"/>
    <cellStyle name="20% - アクセント 1 3 3 2" xfId="753"/>
    <cellStyle name="20% - アクセント 1 3 3 3" xfId="1361"/>
    <cellStyle name="20% - アクセント 1 3 4" xfId="185"/>
    <cellStyle name="20% - アクセント 1 3 4 2" xfId="795"/>
    <cellStyle name="20% - アクセント 1 3 4 3" xfId="1403"/>
    <cellStyle name="20% - アクセント 1 3 5" xfId="227"/>
    <cellStyle name="20% - アクセント 1 3 5 2" xfId="837"/>
    <cellStyle name="20% - アクセント 1 3 5 3" xfId="1445"/>
    <cellStyle name="20% - アクセント 1 3 6" xfId="269"/>
    <cellStyle name="20% - アクセント 1 3 6 2" xfId="879"/>
    <cellStyle name="20% - アクセント 1 3 6 3" xfId="1487"/>
    <cellStyle name="20% - アクセント 1 3 7" xfId="311"/>
    <cellStyle name="20% - アクセント 1 3 7 2" xfId="921"/>
    <cellStyle name="20% - アクセント 1 3 7 3" xfId="1529"/>
    <cellStyle name="20% - アクセント 1 3 8" xfId="353"/>
    <cellStyle name="20% - アクセント 1 3 8 2" xfId="963"/>
    <cellStyle name="20% - アクセント 1 3 8 3" xfId="1571"/>
    <cellStyle name="20% - アクセント 1 3 9" xfId="395"/>
    <cellStyle name="20% - アクセント 1 3 9 2" xfId="1005"/>
    <cellStyle name="20% - アクセント 1 3 9 3" xfId="1613"/>
    <cellStyle name="20% - アクセント 1 4" xfId="71"/>
    <cellStyle name="20% - アクセント 1 4 2" xfId="511"/>
    <cellStyle name="20% - アクセント 1 4 2 2" xfId="1119"/>
    <cellStyle name="20% - アクセント 1 4 2 3" xfId="1727"/>
    <cellStyle name="20% - アクセント 1 4 3" xfId="681"/>
    <cellStyle name="20% - アクセント 1 4 4" xfId="1289"/>
    <cellStyle name="20% - アクセント 1 5" xfId="113"/>
    <cellStyle name="20% - アクセント 1 5 2" xfId="525"/>
    <cellStyle name="20% - アクセント 1 5 2 2" xfId="1133"/>
    <cellStyle name="20% - アクセント 1 5 2 3" xfId="1741"/>
    <cellStyle name="20% - アクセント 1 5 3" xfId="723"/>
    <cellStyle name="20% - アクセント 1 5 4" xfId="1331"/>
    <cellStyle name="20% - アクセント 1 6" xfId="155"/>
    <cellStyle name="20% - アクセント 1 6 2" xfId="541"/>
    <cellStyle name="20% - アクセント 1 6 2 2" xfId="1149"/>
    <cellStyle name="20% - アクセント 1 6 2 3" xfId="1757"/>
    <cellStyle name="20% - アクセント 1 6 3" xfId="765"/>
    <cellStyle name="20% - アクセント 1 6 4" xfId="1373"/>
    <cellStyle name="20% - アクセント 1 7" xfId="197"/>
    <cellStyle name="20% - アクセント 1 7 2" xfId="557"/>
    <cellStyle name="20% - アクセント 1 7 2 2" xfId="1165"/>
    <cellStyle name="20% - アクセント 1 7 2 3" xfId="1773"/>
    <cellStyle name="20% - アクセント 1 7 3" xfId="807"/>
    <cellStyle name="20% - アクセント 1 7 4" xfId="1415"/>
    <cellStyle name="20% - アクセント 1 8" xfId="239"/>
    <cellStyle name="20% - アクセント 1 8 2" xfId="571"/>
    <cellStyle name="20% - アクセント 1 8 2 2" xfId="1179"/>
    <cellStyle name="20% - アクセント 1 8 2 3" xfId="1787"/>
    <cellStyle name="20% - アクセント 1 8 3" xfId="849"/>
    <cellStyle name="20% - アクセント 1 8 4" xfId="1457"/>
    <cellStyle name="20% - アクセント 1 9" xfId="281"/>
    <cellStyle name="20% - アクセント 1 9 2" xfId="583"/>
    <cellStyle name="20% - アクセント 1 9 2 2" xfId="1191"/>
    <cellStyle name="20% - アクセント 1 9 2 3" xfId="1799"/>
    <cellStyle name="20% - アクセント 1 9 3" xfId="891"/>
    <cellStyle name="20% - アクセント 1 9 4" xfId="1499"/>
    <cellStyle name="20% - アクセント 2" xfId="22" builtinId="34" customBuiltin="1"/>
    <cellStyle name="20% - アクセント 2 10" xfId="325"/>
    <cellStyle name="20% - アクセント 2 10 2" xfId="599"/>
    <cellStyle name="20% - アクセント 2 10 2 2" xfId="1207"/>
    <cellStyle name="20% - アクセント 2 10 2 3" xfId="1815"/>
    <cellStyle name="20% - アクセント 2 10 3" xfId="935"/>
    <cellStyle name="20% - アクセント 2 10 4" xfId="1543"/>
    <cellStyle name="20% - アクセント 2 11" xfId="367"/>
    <cellStyle name="20% - アクセント 2 11 2" xfId="615"/>
    <cellStyle name="20% - アクセント 2 11 2 2" xfId="1223"/>
    <cellStyle name="20% - アクセント 2 11 2 3" xfId="1831"/>
    <cellStyle name="20% - アクセント 2 11 3" xfId="977"/>
    <cellStyle name="20% - アクセント 2 11 4" xfId="1585"/>
    <cellStyle name="20% - アクセント 2 12" xfId="409"/>
    <cellStyle name="20% - アクセント 2 12 2" xfId="629"/>
    <cellStyle name="20% - アクセント 2 12 2 2" xfId="1237"/>
    <cellStyle name="20% - アクセント 2 12 2 3" xfId="1845"/>
    <cellStyle name="20% - アクセント 2 12 3" xfId="1019"/>
    <cellStyle name="20% - アクセント 2 12 4" xfId="1627"/>
    <cellStyle name="20% - アクセント 2 13" xfId="453"/>
    <cellStyle name="20% - アクセント 2 13 2" xfId="1061"/>
    <cellStyle name="20% - アクセント 2 13 3" xfId="1669"/>
    <cellStyle name="20% - アクセント 2 14" xfId="467"/>
    <cellStyle name="20% - アクセント 2 14 2" xfId="1075"/>
    <cellStyle name="20% - アクセント 2 14 3" xfId="1683"/>
    <cellStyle name="20% - アクセント 2 15" xfId="641"/>
    <cellStyle name="20% - アクセント 2 16" xfId="1249"/>
    <cellStyle name="20% - アクセント 2 2" xfId="47"/>
    <cellStyle name="20% - アクセント 2 2 10" xfId="425"/>
    <cellStyle name="20% - アクセント 2 2 10 2" xfId="1035"/>
    <cellStyle name="20% - アクセント 2 2 10 3" xfId="1643"/>
    <cellStyle name="20% - アクセント 2 2 11" xfId="483"/>
    <cellStyle name="20% - アクセント 2 2 11 2" xfId="1091"/>
    <cellStyle name="20% - アクセント 2 2 11 3" xfId="1699"/>
    <cellStyle name="20% - アクセント 2 2 12" xfId="657"/>
    <cellStyle name="20% - アクセント 2 2 13" xfId="1265"/>
    <cellStyle name="20% - アクセント 2 2 2" xfId="89"/>
    <cellStyle name="20% - アクセント 2 2 2 2" xfId="699"/>
    <cellStyle name="20% - アクセント 2 2 2 3" xfId="1307"/>
    <cellStyle name="20% - アクセント 2 2 3" xfId="131"/>
    <cellStyle name="20% - アクセント 2 2 3 2" xfId="741"/>
    <cellStyle name="20% - アクセント 2 2 3 3" xfId="1349"/>
    <cellStyle name="20% - アクセント 2 2 4" xfId="173"/>
    <cellStyle name="20% - アクセント 2 2 4 2" xfId="783"/>
    <cellStyle name="20% - アクセント 2 2 4 3" xfId="1391"/>
    <cellStyle name="20% - アクセント 2 2 5" xfId="215"/>
    <cellStyle name="20% - アクセント 2 2 5 2" xfId="825"/>
    <cellStyle name="20% - アクセント 2 2 5 3" xfId="1433"/>
    <cellStyle name="20% - アクセント 2 2 6" xfId="257"/>
    <cellStyle name="20% - アクセント 2 2 6 2" xfId="867"/>
    <cellStyle name="20% - アクセント 2 2 6 3" xfId="1475"/>
    <cellStyle name="20% - アクセント 2 2 7" xfId="299"/>
    <cellStyle name="20% - アクセント 2 2 7 2" xfId="909"/>
    <cellStyle name="20% - アクセント 2 2 7 3" xfId="1517"/>
    <cellStyle name="20% - アクセント 2 2 8" xfId="341"/>
    <cellStyle name="20% - アクセント 2 2 8 2" xfId="951"/>
    <cellStyle name="20% - アクセント 2 2 8 3" xfId="1559"/>
    <cellStyle name="20% - アクセント 2 2 9" xfId="383"/>
    <cellStyle name="20% - アクセント 2 2 9 2" xfId="993"/>
    <cellStyle name="20% - アクセント 2 2 9 3" xfId="1601"/>
    <cellStyle name="20% - アクセント 2 3" xfId="61"/>
    <cellStyle name="20% - アクセント 2 3 10" xfId="439"/>
    <cellStyle name="20% - アクセント 2 3 10 2" xfId="1049"/>
    <cellStyle name="20% - アクセント 2 3 10 3" xfId="1657"/>
    <cellStyle name="20% - アクセント 2 3 11" xfId="499"/>
    <cellStyle name="20% - アクセント 2 3 11 2" xfId="1107"/>
    <cellStyle name="20% - アクセント 2 3 11 3" xfId="1715"/>
    <cellStyle name="20% - アクセント 2 3 12" xfId="671"/>
    <cellStyle name="20% - アクセント 2 3 13" xfId="1279"/>
    <cellStyle name="20% - アクセント 2 3 2" xfId="103"/>
    <cellStyle name="20% - アクセント 2 3 2 2" xfId="713"/>
    <cellStyle name="20% - アクセント 2 3 2 3" xfId="1321"/>
    <cellStyle name="20% - アクセント 2 3 3" xfId="145"/>
    <cellStyle name="20% - アクセント 2 3 3 2" xfId="755"/>
    <cellStyle name="20% - アクセント 2 3 3 3" xfId="1363"/>
    <cellStyle name="20% - アクセント 2 3 4" xfId="187"/>
    <cellStyle name="20% - アクセント 2 3 4 2" xfId="797"/>
    <cellStyle name="20% - アクセント 2 3 4 3" xfId="1405"/>
    <cellStyle name="20% - アクセント 2 3 5" xfId="229"/>
    <cellStyle name="20% - アクセント 2 3 5 2" xfId="839"/>
    <cellStyle name="20% - アクセント 2 3 5 3" xfId="1447"/>
    <cellStyle name="20% - アクセント 2 3 6" xfId="271"/>
    <cellStyle name="20% - アクセント 2 3 6 2" xfId="881"/>
    <cellStyle name="20% - アクセント 2 3 6 3" xfId="1489"/>
    <cellStyle name="20% - アクセント 2 3 7" xfId="313"/>
    <cellStyle name="20% - アクセント 2 3 7 2" xfId="923"/>
    <cellStyle name="20% - アクセント 2 3 7 3" xfId="1531"/>
    <cellStyle name="20% - アクセント 2 3 8" xfId="355"/>
    <cellStyle name="20% - アクセント 2 3 8 2" xfId="965"/>
    <cellStyle name="20% - アクセント 2 3 8 3" xfId="1573"/>
    <cellStyle name="20% - アクセント 2 3 9" xfId="397"/>
    <cellStyle name="20% - アクセント 2 3 9 2" xfId="1007"/>
    <cellStyle name="20% - アクセント 2 3 9 3" xfId="1615"/>
    <cellStyle name="20% - アクセント 2 4" xfId="73"/>
    <cellStyle name="20% - アクセント 2 4 2" xfId="513"/>
    <cellStyle name="20% - アクセント 2 4 2 2" xfId="1121"/>
    <cellStyle name="20% - アクセント 2 4 2 3" xfId="1729"/>
    <cellStyle name="20% - アクセント 2 4 3" xfId="683"/>
    <cellStyle name="20% - アクセント 2 4 4" xfId="1291"/>
    <cellStyle name="20% - アクセント 2 5" xfId="115"/>
    <cellStyle name="20% - アクセント 2 5 2" xfId="527"/>
    <cellStyle name="20% - アクセント 2 5 2 2" xfId="1135"/>
    <cellStyle name="20% - アクセント 2 5 2 3" xfId="1743"/>
    <cellStyle name="20% - アクセント 2 5 3" xfId="725"/>
    <cellStyle name="20% - アクセント 2 5 4" xfId="1333"/>
    <cellStyle name="20% - アクセント 2 6" xfId="157"/>
    <cellStyle name="20% - アクセント 2 6 2" xfId="543"/>
    <cellStyle name="20% - アクセント 2 6 2 2" xfId="1151"/>
    <cellStyle name="20% - アクセント 2 6 2 3" xfId="1759"/>
    <cellStyle name="20% - アクセント 2 6 3" xfId="767"/>
    <cellStyle name="20% - アクセント 2 6 4" xfId="1375"/>
    <cellStyle name="20% - アクセント 2 7" xfId="199"/>
    <cellStyle name="20% - アクセント 2 7 2" xfId="559"/>
    <cellStyle name="20% - アクセント 2 7 2 2" xfId="1167"/>
    <cellStyle name="20% - アクセント 2 7 2 3" xfId="1775"/>
    <cellStyle name="20% - アクセント 2 7 3" xfId="809"/>
    <cellStyle name="20% - アクセント 2 7 4" xfId="1417"/>
    <cellStyle name="20% - アクセント 2 8" xfId="241"/>
    <cellStyle name="20% - アクセント 2 8 2" xfId="573"/>
    <cellStyle name="20% - アクセント 2 8 2 2" xfId="1181"/>
    <cellStyle name="20% - アクセント 2 8 2 3" xfId="1789"/>
    <cellStyle name="20% - アクセント 2 8 3" xfId="851"/>
    <cellStyle name="20% - アクセント 2 8 4" xfId="1459"/>
    <cellStyle name="20% - アクセント 2 9" xfId="283"/>
    <cellStyle name="20% - アクセント 2 9 2" xfId="585"/>
    <cellStyle name="20% - アクセント 2 9 2 2" xfId="1193"/>
    <cellStyle name="20% - アクセント 2 9 2 3" xfId="1801"/>
    <cellStyle name="20% - アクセント 2 9 3" xfId="893"/>
    <cellStyle name="20% - アクセント 2 9 4" xfId="1501"/>
    <cellStyle name="20% - アクセント 3" xfId="26" builtinId="38" customBuiltin="1"/>
    <cellStyle name="20% - アクセント 3 10" xfId="327"/>
    <cellStyle name="20% - アクセント 3 10 2" xfId="601"/>
    <cellStyle name="20% - アクセント 3 10 2 2" xfId="1209"/>
    <cellStyle name="20% - アクセント 3 10 2 3" xfId="1817"/>
    <cellStyle name="20% - アクセント 3 10 3" xfId="937"/>
    <cellStyle name="20% - アクセント 3 10 4" xfId="1545"/>
    <cellStyle name="20% - アクセント 3 11" xfId="369"/>
    <cellStyle name="20% - アクセント 3 11 2" xfId="617"/>
    <cellStyle name="20% - アクセント 3 11 2 2" xfId="1225"/>
    <cellStyle name="20% - アクセント 3 11 2 3" xfId="1833"/>
    <cellStyle name="20% - アクセント 3 11 3" xfId="979"/>
    <cellStyle name="20% - アクセント 3 11 4" xfId="1587"/>
    <cellStyle name="20% - アクセント 3 12" xfId="411"/>
    <cellStyle name="20% - アクセント 3 12 2" xfId="631"/>
    <cellStyle name="20% - アクセント 3 12 2 2" xfId="1239"/>
    <cellStyle name="20% - アクセント 3 12 2 3" xfId="1847"/>
    <cellStyle name="20% - アクセント 3 12 3" xfId="1021"/>
    <cellStyle name="20% - アクセント 3 12 4" xfId="1629"/>
    <cellStyle name="20% - アクセント 3 13" xfId="455"/>
    <cellStyle name="20% - アクセント 3 13 2" xfId="1063"/>
    <cellStyle name="20% - アクセント 3 13 3" xfId="1671"/>
    <cellStyle name="20% - アクセント 3 14" xfId="469"/>
    <cellStyle name="20% - アクセント 3 14 2" xfId="1077"/>
    <cellStyle name="20% - アクセント 3 14 3" xfId="1685"/>
    <cellStyle name="20% - アクセント 3 15" xfId="643"/>
    <cellStyle name="20% - アクセント 3 16" xfId="1251"/>
    <cellStyle name="20% - アクセント 3 2" xfId="49"/>
    <cellStyle name="20% - アクセント 3 2 10" xfId="427"/>
    <cellStyle name="20% - アクセント 3 2 10 2" xfId="1037"/>
    <cellStyle name="20% - アクセント 3 2 10 3" xfId="1645"/>
    <cellStyle name="20% - アクセント 3 2 11" xfId="485"/>
    <cellStyle name="20% - アクセント 3 2 11 2" xfId="1093"/>
    <cellStyle name="20% - アクセント 3 2 11 3" xfId="1701"/>
    <cellStyle name="20% - アクセント 3 2 12" xfId="659"/>
    <cellStyle name="20% - アクセント 3 2 13" xfId="1267"/>
    <cellStyle name="20% - アクセント 3 2 2" xfId="91"/>
    <cellStyle name="20% - アクセント 3 2 2 2" xfId="701"/>
    <cellStyle name="20% - アクセント 3 2 2 3" xfId="1309"/>
    <cellStyle name="20% - アクセント 3 2 3" xfId="133"/>
    <cellStyle name="20% - アクセント 3 2 3 2" xfId="743"/>
    <cellStyle name="20% - アクセント 3 2 3 3" xfId="1351"/>
    <cellStyle name="20% - アクセント 3 2 4" xfId="175"/>
    <cellStyle name="20% - アクセント 3 2 4 2" xfId="785"/>
    <cellStyle name="20% - アクセント 3 2 4 3" xfId="1393"/>
    <cellStyle name="20% - アクセント 3 2 5" xfId="217"/>
    <cellStyle name="20% - アクセント 3 2 5 2" xfId="827"/>
    <cellStyle name="20% - アクセント 3 2 5 3" xfId="1435"/>
    <cellStyle name="20% - アクセント 3 2 6" xfId="259"/>
    <cellStyle name="20% - アクセント 3 2 6 2" xfId="869"/>
    <cellStyle name="20% - アクセント 3 2 6 3" xfId="1477"/>
    <cellStyle name="20% - アクセント 3 2 7" xfId="301"/>
    <cellStyle name="20% - アクセント 3 2 7 2" xfId="911"/>
    <cellStyle name="20% - アクセント 3 2 7 3" xfId="1519"/>
    <cellStyle name="20% - アクセント 3 2 8" xfId="343"/>
    <cellStyle name="20% - アクセント 3 2 8 2" xfId="953"/>
    <cellStyle name="20% - アクセント 3 2 8 3" xfId="1561"/>
    <cellStyle name="20% - アクセント 3 2 9" xfId="385"/>
    <cellStyle name="20% - アクセント 3 2 9 2" xfId="995"/>
    <cellStyle name="20% - アクセント 3 2 9 3" xfId="1603"/>
    <cellStyle name="20% - アクセント 3 3" xfId="63"/>
    <cellStyle name="20% - アクセント 3 3 10" xfId="441"/>
    <cellStyle name="20% - アクセント 3 3 10 2" xfId="1051"/>
    <cellStyle name="20% - アクセント 3 3 10 3" xfId="1659"/>
    <cellStyle name="20% - アクセント 3 3 11" xfId="501"/>
    <cellStyle name="20% - アクセント 3 3 11 2" xfId="1109"/>
    <cellStyle name="20% - アクセント 3 3 11 3" xfId="1717"/>
    <cellStyle name="20% - アクセント 3 3 12" xfId="673"/>
    <cellStyle name="20% - アクセント 3 3 13" xfId="1281"/>
    <cellStyle name="20% - アクセント 3 3 2" xfId="105"/>
    <cellStyle name="20% - アクセント 3 3 2 2" xfId="715"/>
    <cellStyle name="20% - アクセント 3 3 2 3" xfId="1323"/>
    <cellStyle name="20% - アクセント 3 3 3" xfId="147"/>
    <cellStyle name="20% - アクセント 3 3 3 2" xfId="757"/>
    <cellStyle name="20% - アクセント 3 3 3 3" xfId="1365"/>
    <cellStyle name="20% - アクセント 3 3 4" xfId="189"/>
    <cellStyle name="20% - アクセント 3 3 4 2" xfId="799"/>
    <cellStyle name="20% - アクセント 3 3 4 3" xfId="1407"/>
    <cellStyle name="20% - アクセント 3 3 5" xfId="231"/>
    <cellStyle name="20% - アクセント 3 3 5 2" xfId="841"/>
    <cellStyle name="20% - アクセント 3 3 5 3" xfId="1449"/>
    <cellStyle name="20% - アクセント 3 3 6" xfId="273"/>
    <cellStyle name="20% - アクセント 3 3 6 2" xfId="883"/>
    <cellStyle name="20% - アクセント 3 3 6 3" xfId="1491"/>
    <cellStyle name="20% - アクセント 3 3 7" xfId="315"/>
    <cellStyle name="20% - アクセント 3 3 7 2" xfId="925"/>
    <cellStyle name="20% - アクセント 3 3 7 3" xfId="1533"/>
    <cellStyle name="20% - アクセント 3 3 8" xfId="357"/>
    <cellStyle name="20% - アクセント 3 3 8 2" xfId="967"/>
    <cellStyle name="20% - アクセント 3 3 8 3" xfId="1575"/>
    <cellStyle name="20% - アクセント 3 3 9" xfId="399"/>
    <cellStyle name="20% - アクセント 3 3 9 2" xfId="1009"/>
    <cellStyle name="20% - アクセント 3 3 9 3" xfId="1617"/>
    <cellStyle name="20% - アクセント 3 4" xfId="75"/>
    <cellStyle name="20% - アクセント 3 4 2" xfId="515"/>
    <cellStyle name="20% - アクセント 3 4 2 2" xfId="1123"/>
    <cellStyle name="20% - アクセント 3 4 2 3" xfId="1731"/>
    <cellStyle name="20% - アクセント 3 4 3" xfId="685"/>
    <cellStyle name="20% - アクセント 3 4 4" xfId="1293"/>
    <cellStyle name="20% - アクセント 3 5" xfId="117"/>
    <cellStyle name="20% - アクセント 3 5 2" xfId="529"/>
    <cellStyle name="20% - アクセント 3 5 2 2" xfId="1137"/>
    <cellStyle name="20% - アクセント 3 5 2 3" xfId="1745"/>
    <cellStyle name="20% - アクセント 3 5 3" xfId="727"/>
    <cellStyle name="20% - アクセント 3 5 4" xfId="1335"/>
    <cellStyle name="20% - アクセント 3 6" xfId="159"/>
    <cellStyle name="20% - アクセント 3 6 2" xfId="545"/>
    <cellStyle name="20% - アクセント 3 6 2 2" xfId="1153"/>
    <cellStyle name="20% - アクセント 3 6 2 3" xfId="1761"/>
    <cellStyle name="20% - アクセント 3 6 3" xfId="769"/>
    <cellStyle name="20% - アクセント 3 6 4" xfId="1377"/>
    <cellStyle name="20% - アクセント 3 7" xfId="201"/>
    <cellStyle name="20% - アクセント 3 7 2" xfId="561"/>
    <cellStyle name="20% - アクセント 3 7 2 2" xfId="1169"/>
    <cellStyle name="20% - アクセント 3 7 2 3" xfId="1777"/>
    <cellStyle name="20% - アクセント 3 7 3" xfId="811"/>
    <cellStyle name="20% - アクセント 3 7 4" xfId="1419"/>
    <cellStyle name="20% - アクセント 3 8" xfId="243"/>
    <cellStyle name="20% - アクセント 3 8 2" xfId="575"/>
    <cellStyle name="20% - アクセント 3 8 2 2" xfId="1183"/>
    <cellStyle name="20% - アクセント 3 8 2 3" xfId="1791"/>
    <cellStyle name="20% - アクセント 3 8 3" xfId="853"/>
    <cellStyle name="20% - アクセント 3 8 4" xfId="1461"/>
    <cellStyle name="20% - アクセント 3 9" xfId="285"/>
    <cellStyle name="20% - アクセント 3 9 2" xfId="587"/>
    <cellStyle name="20% - アクセント 3 9 2 2" xfId="1195"/>
    <cellStyle name="20% - アクセント 3 9 2 3" xfId="1803"/>
    <cellStyle name="20% - アクセント 3 9 3" xfId="895"/>
    <cellStyle name="20% - アクセント 3 9 4" xfId="1503"/>
    <cellStyle name="20% - アクセント 4" xfId="30" builtinId="42" customBuiltin="1"/>
    <cellStyle name="20% - アクセント 4 10" xfId="329"/>
    <cellStyle name="20% - アクセント 4 10 2" xfId="603"/>
    <cellStyle name="20% - アクセント 4 10 2 2" xfId="1211"/>
    <cellStyle name="20% - アクセント 4 10 2 3" xfId="1819"/>
    <cellStyle name="20% - アクセント 4 10 3" xfId="939"/>
    <cellStyle name="20% - アクセント 4 10 4" xfId="1547"/>
    <cellStyle name="20% - アクセント 4 11" xfId="371"/>
    <cellStyle name="20% - アクセント 4 11 2" xfId="619"/>
    <cellStyle name="20% - アクセント 4 11 2 2" xfId="1227"/>
    <cellStyle name="20% - アクセント 4 11 2 3" xfId="1835"/>
    <cellStyle name="20% - アクセント 4 11 3" xfId="981"/>
    <cellStyle name="20% - アクセント 4 11 4" xfId="1589"/>
    <cellStyle name="20% - アクセント 4 12" xfId="413"/>
    <cellStyle name="20% - アクセント 4 12 2" xfId="633"/>
    <cellStyle name="20% - アクセント 4 12 2 2" xfId="1241"/>
    <cellStyle name="20% - アクセント 4 12 2 3" xfId="1849"/>
    <cellStyle name="20% - アクセント 4 12 3" xfId="1023"/>
    <cellStyle name="20% - アクセント 4 12 4" xfId="1631"/>
    <cellStyle name="20% - アクセント 4 13" xfId="457"/>
    <cellStyle name="20% - アクセント 4 13 2" xfId="1065"/>
    <cellStyle name="20% - アクセント 4 13 3" xfId="1673"/>
    <cellStyle name="20% - アクセント 4 14" xfId="471"/>
    <cellStyle name="20% - アクセント 4 14 2" xfId="1079"/>
    <cellStyle name="20% - アクセント 4 14 3" xfId="1687"/>
    <cellStyle name="20% - アクセント 4 15" xfId="645"/>
    <cellStyle name="20% - アクセント 4 16" xfId="1253"/>
    <cellStyle name="20% - アクセント 4 2" xfId="51"/>
    <cellStyle name="20% - アクセント 4 2 10" xfId="429"/>
    <cellStyle name="20% - アクセント 4 2 10 2" xfId="1039"/>
    <cellStyle name="20% - アクセント 4 2 10 3" xfId="1647"/>
    <cellStyle name="20% - アクセント 4 2 11" xfId="487"/>
    <cellStyle name="20% - アクセント 4 2 11 2" xfId="1095"/>
    <cellStyle name="20% - アクセント 4 2 11 3" xfId="1703"/>
    <cellStyle name="20% - アクセント 4 2 12" xfId="661"/>
    <cellStyle name="20% - アクセント 4 2 13" xfId="1269"/>
    <cellStyle name="20% - アクセント 4 2 2" xfId="93"/>
    <cellStyle name="20% - アクセント 4 2 2 2" xfId="703"/>
    <cellStyle name="20% - アクセント 4 2 2 3" xfId="1311"/>
    <cellStyle name="20% - アクセント 4 2 3" xfId="135"/>
    <cellStyle name="20% - アクセント 4 2 3 2" xfId="745"/>
    <cellStyle name="20% - アクセント 4 2 3 3" xfId="1353"/>
    <cellStyle name="20% - アクセント 4 2 4" xfId="177"/>
    <cellStyle name="20% - アクセント 4 2 4 2" xfId="787"/>
    <cellStyle name="20% - アクセント 4 2 4 3" xfId="1395"/>
    <cellStyle name="20% - アクセント 4 2 5" xfId="219"/>
    <cellStyle name="20% - アクセント 4 2 5 2" xfId="829"/>
    <cellStyle name="20% - アクセント 4 2 5 3" xfId="1437"/>
    <cellStyle name="20% - アクセント 4 2 6" xfId="261"/>
    <cellStyle name="20% - アクセント 4 2 6 2" xfId="871"/>
    <cellStyle name="20% - アクセント 4 2 6 3" xfId="1479"/>
    <cellStyle name="20% - アクセント 4 2 7" xfId="303"/>
    <cellStyle name="20% - アクセント 4 2 7 2" xfId="913"/>
    <cellStyle name="20% - アクセント 4 2 7 3" xfId="1521"/>
    <cellStyle name="20% - アクセント 4 2 8" xfId="345"/>
    <cellStyle name="20% - アクセント 4 2 8 2" xfId="955"/>
    <cellStyle name="20% - アクセント 4 2 8 3" xfId="1563"/>
    <cellStyle name="20% - アクセント 4 2 9" xfId="387"/>
    <cellStyle name="20% - アクセント 4 2 9 2" xfId="997"/>
    <cellStyle name="20% - アクセント 4 2 9 3" xfId="1605"/>
    <cellStyle name="20% - アクセント 4 3" xfId="65"/>
    <cellStyle name="20% - アクセント 4 3 10" xfId="443"/>
    <cellStyle name="20% - アクセント 4 3 10 2" xfId="1053"/>
    <cellStyle name="20% - アクセント 4 3 10 3" xfId="1661"/>
    <cellStyle name="20% - アクセント 4 3 11" xfId="503"/>
    <cellStyle name="20% - アクセント 4 3 11 2" xfId="1111"/>
    <cellStyle name="20% - アクセント 4 3 11 3" xfId="1719"/>
    <cellStyle name="20% - アクセント 4 3 12" xfId="675"/>
    <cellStyle name="20% - アクセント 4 3 13" xfId="1283"/>
    <cellStyle name="20% - アクセント 4 3 2" xfId="107"/>
    <cellStyle name="20% - アクセント 4 3 2 2" xfId="717"/>
    <cellStyle name="20% - アクセント 4 3 2 3" xfId="1325"/>
    <cellStyle name="20% - アクセント 4 3 3" xfId="149"/>
    <cellStyle name="20% - アクセント 4 3 3 2" xfId="759"/>
    <cellStyle name="20% - アクセント 4 3 3 3" xfId="1367"/>
    <cellStyle name="20% - アクセント 4 3 4" xfId="191"/>
    <cellStyle name="20% - アクセント 4 3 4 2" xfId="801"/>
    <cellStyle name="20% - アクセント 4 3 4 3" xfId="1409"/>
    <cellStyle name="20% - アクセント 4 3 5" xfId="233"/>
    <cellStyle name="20% - アクセント 4 3 5 2" xfId="843"/>
    <cellStyle name="20% - アクセント 4 3 5 3" xfId="1451"/>
    <cellStyle name="20% - アクセント 4 3 6" xfId="275"/>
    <cellStyle name="20% - アクセント 4 3 6 2" xfId="885"/>
    <cellStyle name="20% - アクセント 4 3 6 3" xfId="1493"/>
    <cellStyle name="20% - アクセント 4 3 7" xfId="317"/>
    <cellStyle name="20% - アクセント 4 3 7 2" xfId="927"/>
    <cellStyle name="20% - アクセント 4 3 7 3" xfId="1535"/>
    <cellStyle name="20% - アクセント 4 3 8" xfId="359"/>
    <cellStyle name="20% - アクセント 4 3 8 2" xfId="969"/>
    <cellStyle name="20% - アクセント 4 3 8 3" xfId="1577"/>
    <cellStyle name="20% - アクセント 4 3 9" xfId="401"/>
    <cellStyle name="20% - アクセント 4 3 9 2" xfId="1011"/>
    <cellStyle name="20% - アクセント 4 3 9 3" xfId="1619"/>
    <cellStyle name="20% - アクセント 4 4" xfId="77"/>
    <cellStyle name="20% - アクセント 4 4 2" xfId="517"/>
    <cellStyle name="20% - アクセント 4 4 2 2" xfId="1125"/>
    <cellStyle name="20% - アクセント 4 4 2 3" xfId="1733"/>
    <cellStyle name="20% - アクセント 4 4 3" xfId="687"/>
    <cellStyle name="20% - アクセント 4 4 4" xfId="1295"/>
    <cellStyle name="20% - アクセント 4 5" xfId="119"/>
    <cellStyle name="20% - アクセント 4 5 2" xfId="531"/>
    <cellStyle name="20% - アクセント 4 5 2 2" xfId="1139"/>
    <cellStyle name="20% - アクセント 4 5 2 3" xfId="1747"/>
    <cellStyle name="20% - アクセント 4 5 3" xfId="729"/>
    <cellStyle name="20% - アクセント 4 5 4" xfId="1337"/>
    <cellStyle name="20% - アクセント 4 6" xfId="161"/>
    <cellStyle name="20% - アクセント 4 6 2" xfId="547"/>
    <cellStyle name="20% - アクセント 4 6 2 2" xfId="1155"/>
    <cellStyle name="20% - アクセント 4 6 2 3" xfId="1763"/>
    <cellStyle name="20% - アクセント 4 6 3" xfId="771"/>
    <cellStyle name="20% - アクセント 4 6 4" xfId="1379"/>
    <cellStyle name="20% - アクセント 4 7" xfId="203"/>
    <cellStyle name="20% - アクセント 4 7 2" xfId="563"/>
    <cellStyle name="20% - アクセント 4 7 2 2" xfId="1171"/>
    <cellStyle name="20% - アクセント 4 7 2 3" xfId="1779"/>
    <cellStyle name="20% - アクセント 4 7 3" xfId="813"/>
    <cellStyle name="20% - アクセント 4 7 4" xfId="1421"/>
    <cellStyle name="20% - アクセント 4 8" xfId="245"/>
    <cellStyle name="20% - アクセント 4 8 2" xfId="577"/>
    <cellStyle name="20% - アクセント 4 8 2 2" xfId="1185"/>
    <cellStyle name="20% - アクセント 4 8 2 3" xfId="1793"/>
    <cellStyle name="20% - アクセント 4 8 3" xfId="855"/>
    <cellStyle name="20% - アクセント 4 8 4" xfId="1463"/>
    <cellStyle name="20% - アクセント 4 9" xfId="287"/>
    <cellStyle name="20% - アクセント 4 9 2" xfId="589"/>
    <cellStyle name="20% - アクセント 4 9 2 2" xfId="1197"/>
    <cellStyle name="20% - アクセント 4 9 2 3" xfId="1805"/>
    <cellStyle name="20% - アクセント 4 9 3" xfId="897"/>
    <cellStyle name="20% - アクセント 4 9 4" xfId="1505"/>
    <cellStyle name="20% - アクセント 5" xfId="34" builtinId="46" customBuiltin="1"/>
    <cellStyle name="20% - アクセント 5 10" xfId="331"/>
    <cellStyle name="20% - アクセント 5 10 2" xfId="605"/>
    <cellStyle name="20% - アクセント 5 10 2 2" xfId="1213"/>
    <cellStyle name="20% - アクセント 5 10 2 3" xfId="1821"/>
    <cellStyle name="20% - アクセント 5 10 3" xfId="941"/>
    <cellStyle name="20% - アクセント 5 10 4" xfId="1549"/>
    <cellStyle name="20% - アクセント 5 11" xfId="373"/>
    <cellStyle name="20% - アクセント 5 11 2" xfId="621"/>
    <cellStyle name="20% - アクセント 5 11 2 2" xfId="1229"/>
    <cellStyle name="20% - アクセント 5 11 2 3" xfId="1837"/>
    <cellStyle name="20% - アクセント 5 11 3" xfId="983"/>
    <cellStyle name="20% - アクセント 5 11 4" xfId="1591"/>
    <cellStyle name="20% - アクセント 5 12" xfId="415"/>
    <cellStyle name="20% - アクセント 5 12 2" xfId="635"/>
    <cellStyle name="20% - アクセント 5 12 2 2" xfId="1243"/>
    <cellStyle name="20% - アクセント 5 12 2 3" xfId="1851"/>
    <cellStyle name="20% - アクセント 5 12 3" xfId="1025"/>
    <cellStyle name="20% - アクセント 5 12 4" xfId="1633"/>
    <cellStyle name="20% - アクセント 5 13" xfId="459"/>
    <cellStyle name="20% - アクセント 5 13 2" xfId="1067"/>
    <cellStyle name="20% - アクセント 5 13 3" xfId="1675"/>
    <cellStyle name="20% - アクセント 5 14" xfId="473"/>
    <cellStyle name="20% - アクセント 5 14 2" xfId="1081"/>
    <cellStyle name="20% - アクセント 5 14 3" xfId="1689"/>
    <cellStyle name="20% - アクセント 5 15" xfId="647"/>
    <cellStyle name="20% - アクセント 5 16" xfId="1255"/>
    <cellStyle name="20% - アクセント 5 2" xfId="53"/>
    <cellStyle name="20% - アクセント 5 2 10" xfId="431"/>
    <cellStyle name="20% - アクセント 5 2 10 2" xfId="1041"/>
    <cellStyle name="20% - アクセント 5 2 10 3" xfId="1649"/>
    <cellStyle name="20% - アクセント 5 2 11" xfId="489"/>
    <cellStyle name="20% - アクセント 5 2 11 2" xfId="1097"/>
    <cellStyle name="20% - アクセント 5 2 11 3" xfId="1705"/>
    <cellStyle name="20% - アクセント 5 2 12" xfId="663"/>
    <cellStyle name="20% - アクセント 5 2 13" xfId="1271"/>
    <cellStyle name="20% - アクセント 5 2 2" xfId="95"/>
    <cellStyle name="20% - アクセント 5 2 2 2" xfId="705"/>
    <cellStyle name="20% - アクセント 5 2 2 3" xfId="1313"/>
    <cellStyle name="20% - アクセント 5 2 3" xfId="137"/>
    <cellStyle name="20% - アクセント 5 2 3 2" xfId="747"/>
    <cellStyle name="20% - アクセント 5 2 3 3" xfId="1355"/>
    <cellStyle name="20% - アクセント 5 2 4" xfId="179"/>
    <cellStyle name="20% - アクセント 5 2 4 2" xfId="789"/>
    <cellStyle name="20% - アクセント 5 2 4 3" xfId="1397"/>
    <cellStyle name="20% - アクセント 5 2 5" xfId="221"/>
    <cellStyle name="20% - アクセント 5 2 5 2" xfId="831"/>
    <cellStyle name="20% - アクセント 5 2 5 3" xfId="1439"/>
    <cellStyle name="20% - アクセント 5 2 6" xfId="263"/>
    <cellStyle name="20% - アクセント 5 2 6 2" xfId="873"/>
    <cellStyle name="20% - アクセント 5 2 6 3" xfId="1481"/>
    <cellStyle name="20% - アクセント 5 2 7" xfId="305"/>
    <cellStyle name="20% - アクセント 5 2 7 2" xfId="915"/>
    <cellStyle name="20% - アクセント 5 2 7 3" xfId="1523"/>
    <cellStyle name="20% - アクセント 5 2 8" xfId="347"/>
    <cellStyle name="20% - アクセント 5 2 8 2" xfId="957"/>
    <cellStyle name="20% - アクセント 5 2 8 3" xfId="1565"/>
    <cellStyle name="20% - アクセント 5 2 9" xfId="389"/>
    <cellStyle name="20% - アクセント 5 2 9 2" xfId="999"/>
    <cellStyle name="20% - アクセント 5 2 9 3" xfId="1607"/>
    <cellStyle name="20% - アクセント 5 3" xfId="67"/>
    <cellStyle name="20% - アクセント 5 3 10" xfId="445"/>
    <cellStyle name="20% - アクセント 5 3 10 2" xfId="1055"/>
    <cellStyle name="20% - アクセント 5 3 10 3" xfId="1663"/>
    <cellStyle name="20% - アクセント 5 3 11" xfId="505"/>
    <cellStyle name="20% - アクセント 5 3 11 2" xfId="1113"/>
    <cellStyle name="20% - アクセント 5 3 11 3" xfId="1721"/>
    <cellStyle name="20% - アクセント 5 3 12" xfId="677"/>
    <cellStyle name="20% - アクセント 5 3 13" xfId="1285"/>
    <cellStyle name="20% - アクセント 5 3 2" xfId="109"/>
    <cellStyle name="20% - アクセント 5 3 2 2" xfId="719"/>
    <cellStyle name="20% - アクセント 5 3 2 3" xfId="1327"/>
    <cellStyle name="20% - アクセント 5 3 3" xfId="151"/>
    <cellStyle name="20% - アクセント 5 3 3 2" xfId="761"/>
    <cellStyle name="20% - アクセント 5 3 3 3" xfId="1369"/>
    <cellStyle name="20% - アクセント 5 3 4" xfId="193"/>
    <cellStyle name="20% - アクセント 5 3 4 2" xfId="803"/>
    <cellStyle name="20% - アクセント 5 3 4 3" xfId="1411"/>
    <cellStyle name="20% - アクセント 5 3 5" xfId="235"/>
    <cellStyle name="20% - アクセント 5 3 5 2" xfId="845"/>
    <cellStyle name="20% - アクセント 5 3 5 3" xfId="1453"/>
    <cellStyle name="20% - アクセント 5 3 6" xfId="277"/>
    <cellStyle name="20% - アクセント 5 3 6 2" xfId="887"/>
    <cellStyle name="20% - アクセント 5 3 6 3" xfId="1495"/>
    <cellStyle name="20% - アクセント 5 3 7" xfId="319"/>
    <cellStyle name="20% - アクセント 5 3 7 2" xfId="929"/>
    <cellStyle name="20% - アクセント 5 3 7 3" xfId="1537"/>
    <cellStyle name="20% - アクセント 5 3 8" xfId="361"/>
    <cellStyle name="20% - アクセント 5 3 8 2" xfId="971"/>
    <cellStyle name="20% - アクセント 5 3 8 3" xfId="1579"/>
    <cellStyle name="20% - アクセント 5 3 9" xfId="403"/>
    <cellStyle name="20% - アクセント 5 3 9 2" xfId="1013"/>
    <cellStyle name="20% - アクセント 5 3 9 3" xfId="1621"/>
    <cellStyle name="20% - アクセント 5 4" xfId="79"/>
    <cellStyle name="20% - アクセント 5 4 2" xfId="519"/>
    <cellStyle name="20% - アクセント 5 4 2 2" xfId="1127"/>
    <cellStyle name="20% - アクセント 5 4 2 3" xfId="1735"/>
    <cellStyle name="20% - アクセント 5 4 3" xfId="689"/>
    <cellStyle name="20% - アクセント 5 4 4" xfId="1297"/>
    <cellStyle name="20% - アクセント 5 5" xfId="121"/>
    <cellStyle name="20% - アクセント 5 5 2" xfId="533"/>
    <cellStyle name="20% - アクセント 5 5 2 2" xfId="1141"/>
    <cellStyle name="20% - アクセント 5 5 2 3" xfId="1749"/>
    <cellStyle name="20% - アクセント 5 5 3" xfId="731"/>
    <cellStyle name="20% - アクセント 5 5 4" xfId="1339"/>
    <cellStyle name="20% - アクセント 5 6" xfId="163"/>
    <cellStyle name="20% - アクセント 5 6 2" xfId="549"/>
    <cellStyle name="20% - アクセント 5 6 2 2" xfId="1157"/>
    <cellStyle name="20% - アクセント 5 6 2 3" xfId="1765"/>
    <cellStyle name="20% - アクセント 5 6 3" xfId="773"/>
    <cellStyle name="20% - アクセント 5 6 4" xfId="1381"/>
    <cellStyle name="20% - アクセント 5 7" xfId="205"/>
    <cellStyle name="20% - アクセント 5 7 2" xfId="565"/>
    <cellStyle name="20% - アクセント 5 7 2 2" xfId="1173"/>
    <cellStyle name="20% - アクセント 5 7 2 3" xfId="1781"/>
    <cellStyle name="20% - アクセント 5 7 3" xfId="815"/>
    <cellStyle name="20% - アクセント 5 7 4" xfId="1423"/>
    <cellStyle name="20% - アクセント 5 8" xfId="247"/>
    <cellStyle name="20% - アクセント 5 8 2" xfId="579"/>
    <cellStyle name="20% - アクセント 5 8 2 2" xfId="1187"/>
    <cellStyle name="20% - アクセント 5 8 2 3" xfId="1795"/>
    <cellStyle name="20% - アクセント 5 8 3" xfId="857"/>
    <cellStyle name="20% - アクセント 5 8 4" xfId="1465"/>
    <cellStyle name="20% - アクセント 5 9" xfId="289"/>
    <cellStyle name="20% - アクセント 5 9 2" xfId="591"/>
    <cellStyle name="20% - アクセント 5 9 2 2" xfId="1199"/>
    <cellStyle name="20% - アクセント 5 9 2 3" xfId="1807"/>
    <cellStyle name="20% - アクセント 5 9 3" xfId="899"/>
    <cellStyle name="20% - アクセント 5 9 4" xfId="1507"/>
    <cellStyle name="20% - アクセント 6" xfId="38" builtinId="50" customBuiltin="1"/>
    <cellStyle name="20% - アクセント 6 10" xfId="333"/>
    <cellStyle name="20% - アクセント 6 10 2" xfId="607"/>
    <cellStyle name="20% - アクセント 6 10 2 2" xfId="1215"/>
    <cellStyle name="20% - アクセント 6 10 2 3" xfId="1823"/>
    <cellStyle name="20% - アクセント 6 10 3" xfId="943"/>
    <cellStyle name="20% - アクセント 6 10 4" xfId="1551"/>
    <cellStyle name="20% - アクセント 6 11" xfId="375"/>
    <cellStyle name="20% - アクセント 6 11 2" xfId="623"/>
    <cellStyle name="20% - アクセント 6 11 2 2" xfId="1231"/>
    <cellStyle name="20% - アクセント 6 11 2 3" xfId="1839"/>
    <cellStyle name="20% - アクセント 6 11 3" xfId="985"/>
    <cellStyle name="20% - アクセント 6 11 4" xfId="1593"/>
    <cellStyle name="20% - アクセント 6 12" xfId="417"/>
    <cellStyle name="20% - アクセント 6 12 2" xfId="637"/>
    <cellStyle name="20% - アクセント 6 12 2 2" xfId="1245"/>
    <cellStyle name="20% - アクセント 6 12 2 3" xfId="1853"/>
    <cellStyle name="20% - アクセント 6 12 3" xfId="1027"/>
    <cellStyle name="20% - アクセント 6 12 4" xfId="1635"/>
    <cellStyle name="20% - アクセント 6 13" xfId="461"/>
    <cellStyle name="20% - アクセント 6 13 2" xfId="1069"/>
    <cellStyle name="20% - アクセント 6 13 3" xfId="1677"/>
    <cellStyle name="20% - アクセント 6 14" xfId="475"/>
    <cellStyle name="20% - アクセント 6 14 2" xfId="1083"/>
    <cellStyle name="20% - アクセント 6 14 3" xfId="1691"/>
    <cellStyle name="20% - アクセント 6 15" xfId="649"/>
    <cellStyle name="20% - アクセント 6 16" xfId="1257"/>
    <cellStyle name="20% - アクセント 6 2" xfId="55"/>
    <cellStyle name="20% - アクセント 6 2 10" xfId="433"/>
    <cellStyle name="20% - アクセント 6 2 10 2" xfId="1043"/>
    <cellStyle name="20% - アクセント 6 2 10 3" xfId="1651"/>
    <cellStyle name="20% - アクセント 6 2 11" xfId="491"/>
    <cellStyle name="20% - アクセント 6 2 11 2" xfId="1099"/>
    <cellStyle name="20% - アクセント 6 2 11 3" xfId="1707"/>
    <cellStyle name="20% - アクセント 6 2 12" xfId="665"/>
    <cellStyle name="20% - アクセント 6 2 13" xfId="1273"/>
    <cellStyle name="20% - アクセント 6 2 2" xfId="97"/>
    <cellStyle name="20% - アクセント 6 2 2 2" xfId="707"/>
    <cellStyle name="20% - アクセント 6 2 2 3" xfId="1315"/>
    <cellStyle name="20% - アクセント 6 2 3" xfId="139"/>
    <cellStyle name="20% - アクセント 6 2 3 2" xfId="749"/>
    <cellStyle name="20% - アクセント 6 2 3 3" xfId="1357"/>
    <cellStyle name="20% - アクセント 6 2 4" xfId="181"/>
    <cellStyle name="20% - アクセント 6 2 4 2" xfId="791"/>
    <cellStyle name="20% - アクセント 6 2 4 3" xfId="1399"/>
    <cellStyle name="20% - アクセント 6 2 5" xfId="223"/>
    <cellStyle name="20% - アクセント 6 2 5 2" xfId="833"/>
    <cellStyle name="20% - アクセント 6 2 5 3" xfId="1441"/>
    <cellStyle name="20% - アクセント 6 2 6" xfId="265"/>
    <cellStyle name="20% - アクセント 6 2 6 2" xfId="875"/>
    <cellStyle name="20% - アクセント 6 2 6 3" xfId="1483"/>
    <cellStyle name="20% - アクセント 6 2 7" xfId="307"/>
    <cellStyle name="20% - アクセント 6 2 7 2" xfId="917"/>
    <cellStyle name="20% - アクセント 6 2 7 3" xfId="1525"/>
    <cellStyle name="20% - アクセント 6 2 8" xfId="349"/>
    <cellStyle name="20% - アクセント 6 2 8 2" xfId="959"/>
    <cellStyle name="20% - アクセント 6 2 8 3" xfId="1567"/>
    <cellStyle name="20% - アクセント 6 2 9" xfId="391"/>
    <cellStyle name="20% - アクセント 6 2 9 2" xfId="1001"/>
    <cellStyle name="20% - アクセント 6 2 9 3" xfId="1609"/>
    <cellStyle name="20% - アクセント 6 3" xfId="69"/>
    <cellStyle name="20% - アクセント 6 3 10" xfId="447"/>
    <cellStyle name="20% - アクセント 6 3 10 2" xfId="1057"/>
    <cellStyle name="20% - アクセント 6 3 10 3" xfId="1665"/>
    <cellStyle name="20% - アクセント 6 3 11" xfId="507"/>
    <cellStyle name="20% - アクセント 6 3 11 2" xfId="1115"/>
    <cellStyle name="20% - アクセント 6 3 11 3" xfId="1723"/>
    <cellStyle name="20% - アクセント 6 3 12" xfId="679"/>
    <cellStyle name="20% - アクセント 6 3 13" xfId="1287"/>
    <cellStyle name="20% - アクセント 6 3 2" xfId="111"/>
    <cellStyle name="20% - アクセント 6 3 2 2" xfId="721"/>
    <cellStyle name="20% - アクセント 6 3 2 3" xfId="1329"/>
    <cellStyle name="20% - アクセント 6 3 3" xfId="153"/>
    <cellStyle name="20% - アクセント 6 3 3 2" xfId="763"/>
    <cellStyle name="20% - アクセント 6 3 3 3" xfId="1371"/>
    <cellStyle name="20% - アクセント 6 3 4" xfId="195"/>
    <cellStyle name="20% - アクセント 6 3 4 2" xfId="805"/>
    <cellStyle name="20% - アクセント 6 3 4 3" xfId="1413"/>
    <cellStyle name="20% - アクセント 6 3 5" xfId="237"/>
    <cellStyle name="20% - アクセント 6 3 5 2" xfId="847"/>
    <cellStyle name="20% - アクセント 6 3 5 3" xfId="1455"/>
    <cellStyle name="20% - アクセント 6 3 6" xfId="279"/>
    <cellStyle name="20% - アクセント 6 3 6 2" xfId="889"/>
    <cellStyle name="20% - アクセント 6 3 6 3" xfId="1497"/>
    <cellStyle name="20% - アクセント 6 3 7" xfId="321"/>
    <cellStyle name="20% - アクセント 6 3 7 2" xfId="931"/>
    <cellStyle name="20% - アクセント 6 3 7 3" xfId="1539"/>
    <cellStyle name="20% - アクセント 6 3 8" xfId="363"/>
    <cellStyle name="20% - アクセント 6 3 8 2" xfId="973"/>
    <cellStyle name="20% - アクセント 6 3 8 3" xfId="1581"/>
    <cellStyle name="20% - アクセント 6 3 9" xfId="405"/>
    <cellStyle name="20% - アクセント 6 3 9 2" xfId="1015"/>
    <cellStyle name="20% - アクセント 6 3 9 3" xfId="1623"/>
    <cellStyle name="20% - アクセント 6 4" xfId="81"/>
    <cellStyle name="20% - アクセント 6 4 2" xfId="521"/>
    <cellStyle name="20% - アクセント 6 4 2 2" xfId="1129"/>
    <cellStyle name="20% - アクセント 6 4 2 3" xfId="1737"/>
    <cellStyle name="20% - アクセント 6 4 3" xfId="691"/>
    <cellStyle name="20% - アクセント 6 4 4" xfId="1299"/>
    <cellStyle name="20% - アクセント 6 5" xfId="123"/>
    <cellStyle name="20% - アクセント 6 5 2" xfId="535"/>
    <cellStyle name="20% - アクセント 6 5 2 2" xfId="1143"/>
    <cellStyle name="20% - アクセント 6 5 2 3" xfId="1751"/>
    <cellStyle name="20% - アクセント 6 5 3" xfId="733"/>
    <cellStyle name="20% - アクセント 6 5 4" xfId="1341"/>
    <cellStyle name="20% - アクセント 6 6" xfId="165"/>
    <cellStyle name="20% - アクセント 6 6 2" xfId="551"/>
    <cellStyle name="20% - アクセント 6 6 2 2" xfId="1159"/>
    <cellStyle name="20% - アクセント 6 6 2 3" xfId="1767"/>
    <cellStyle name="20% - アクセント 6 6 3" xfId="775"/>
    <cellStyle name="20% - アクセント 6 6 4" xfId="1383"/>
    <cellStyle name="20% - アクセント 6 7" xfId="207"/>
    <cellStyle name="20% - アクセント 6 7 2" xfId="567"/>
    <cellStyle name="20% - アクセント 6 7 2 2" xfId="1175"/>
    <cellStyle name="20% - アクセント 6 7 2 3" xfId="1783"/>
    <cellStyle name="20% - アクセント 6 7 3" xfId="817"/>
    <cellStyle name="20% - アクセント 6 7 4" xfId="1425"/>
    <cellStyle name="20% - アクセント 6 8" xfId="249"/>
    <cellStyle name="20% - アクセント 6 8 2" xfId="581"/>
    <cellStyle name="20% - アクセント 6 8 2 2" xfId="1189"/>
    <cellStyle name="20% - アクセント 6 8 2 3" xfId="1797"/>
    <cellStyle name="20% - アクセント 6 8 3" xfId="859"/>
    <cellStyle name="20% - アクセント 6 8 4" xfId="1467"/>
    <cellStyle name="20% - アクセント 6 9" xfId="291"/>
    <cellStyle name="20% - アクセント 6 9 2" xfId="593"/>
    <cellStyle name="20% - アクセント 6 9 2 2" xfId="1201"/>
    <cellStyle name="20% - アクセント 6 9 2 3" xfId="1809"/>
    <cellStyle name="20% - アクセント 6 9 3" xfId="901"/>
    <cellStyle name="20% - アクセント 6 9 4" xfId="1509"/>
    <cellStyle name="40% - アクセント 1" xfId="19" builtinId="31" customBuiltin="1"/>
    <cellStyle name="40% - アクセント 1 10" xfId="324"/>
    <cellStyle name="40% - アクセント 1 10 2" xfId="598"/>
    <cellStyle name="40% - アクセント 1 10 2 2" xfId="1206"/>
    <cellStyle name="40% - アクセント 1 10 2 3" xfId="1814"/>
    <cellStyle name="40% - アクセント 1 10 3" xfId="934"/>
    <cellStyle name="40% - アクセント 1 10 4" xfId="1542"/>
    <cellStyle name="40% - アクセント 1 11" xfId="366"/>
    <cellStyle name="40% - アクセント 1 11 2" xfId="614"/>
    <cellStyle name="40% - アクセント 1 11 2 2" xfId="1222"/>
    <cellStyle name="40% - アクセント 1 11 2 3" xfId="1830"/>
    <cellStyle name="40% - アクセント 1 11 3" xfId="976"/>
    <cellStyle name="40% - アクセント 1 11 4" xfId="1584"/>
    <cellStyle name="40% - アクセント 1 12" xfId="408"/>
    <cellStyle name="40% - アクセント 1 12 2" xfId="628"/>
    <cellStyle name="40% - アクセント 1 12 2 2" xfId="1236"/>
    <cellStyle name="40% - アクセント 1 12 2 3" xfId="1844"/>
    <cellStyle name="40% - アクセント 1 12 3" xfId="1018"/>
    <cellStyle name="40% - アクセント 1 12 4" xfId="1626"/>
    <cellStyle name="40% - アクセント 1 13" xfId="452"/>
    <cellStyle name="40% - アクセント 1 13 2" xfId="1060"/>
    <cellStyle name="40% - アクセント 1 13 3" xfId="1668"/>
    <cellStyle name="40% - アクセント 1 14" xfId="466"/>
    <cellStyle name="40% - アクセント 1 14 2" xfId="1074"/>
    <cellStyle name="40% - アクセント 1 14 3" xfId="1682"/>
    <cellStyle name="40% - アクセント 1 15" xfId="640"/>
    <cellStyle name="40% - アクセント 1 16" xfId="1248"/>
    <cellStyle name="40% - アクセント 1 2" xfId="46"/>
    <cellStyle name="40% - アクセント 1 2 10" xfId="424"/>
    <cellStyle name="40% - アクセント 1 2 10 2" xfId="1034"/>
    <cellStyle name="40% - アクセント 1 2 10 3" xfId="1642"/>
    <cellStyle name="40% - アクセント 1 2 11" xfId="482"/>
    <cellStyle name="40% - アクセント 1 2 11 2" xfId="1090"/>
    <cellStyle name="40% - アクセント 1 2 11 3" xfId="1698"/>
    <cellStyle name="40% - アクセント 1 2 12" xfId="656"/>
    <cellStyle name="40% - アクセント 1 2 13" xfId="1264"/>
    <cellStyle name="40% - アクセント 1 2 2" xfId="88"/>
    <cellStyle name="40% - アクセント 1 2 2 2" xfId="698"/>
    <cellStyle name="40% - アクセント 1 2 2 3" xfId="1306"/>
    <cellStyle name="40% - アクセント 1 2 3" xfId="130"/>
    <cellStyle name="40% - アクセント 1 2 3 2" xfId="740"/>
    <cellStyle name="40% - アクセント 1 2 3 3" xfId="1348"/>
    <cellStyle name="40% - アクセント 1 2 4" xfId="172"/>
    <cellStyle name="40% - アクセント 1 2 4 2" xfId="782"/>
    <cellStyle name="40% - アクセント 1 2 4 3" xfId="1390"/>
    <cellStyle name="40% - アクセント 1 2 5" xfId="214"/>
    <cellStyle name="40% - アクセント 1 2 5 2" xfId="824"/>
    <cellStyle name="40% - アクセント 1 2 5 3" xfId="1432"/>
    <cellStyle name="40% - アクセント 1 2 6" xfId="256"/>
    <cellStyle name="40% - アクセント 1 2 6 2" xfId="866"/>
    <cellStyle name="40% - アクセント 1 2 6 3" xfId="1474"/>
    <cellStyle name="40% - アクセント 1 2 7" xfId="298"/>
    <cellStyle name="40% - アクセント 1 2 7 2" xfId="908"/>
    <cellStyle name="40% - アクセント 1 2 7 3" xfId="1516"/>
    <cellStyle name="40% - アクセント 1 2 8" xfId="340"/>
    <cellStyle name="40% - アクセント 1 2 8 2" xfId="950"/>
    <cellStyle name="40% - アクセント 1 2 8 3" xfId="1558"/>
    <cellStyle name="40% - アクセント 1 2 9" xfId="382"/>
    <cellStyle name="40% - アクセント 1 2 9 2" xfId="992"/>
    <cellStyle name="40% - アクセント 1 2 9 3" xfId="1600"/>
    <cellStyle name="40% - アクセント 1 3" xfId="60"/>
    <cellStyle name="40% - アクセント 1 3 10" xfId="438"/>
    <cellStyle name="40% - アクセント 1 3 10 2" xfId="1048"/>
    <cellStyle name="40% - アクセント 1 3 10 3" xfId="1656"/>
    <cellStyle name="40% - アクセント 1 3 11" xfId="498"/>
    <cellStyle name="40% - アクセント 1 3 11 2" xfId="1106"/>
    <cellStyle name="40% - アクセント 1 3 11 3" xfId="1714"/>
    <cellStyle name="40% - アクセント 1 3 12" xfId="670"/>
    <cellStyle name="40% - アクセント 1 3 13" xfId="1278"/>
    <cellStyle name="40% - アクセント 1 3 2" xfId="102"/>
    <cellStyle name="40% - アクセント 1 3 2 2" xfId="712"/>
    <cellStyle name="40% - アクセント 1 3 2 3" xfId="1320"/>
    <cellStyle name="40% - アクセント 1 3 3" xfId="144"/>
    <cellStyle name="40% - アクセント 1 3 3 2" xfId="754"/>
    <cellStyle name="40% - アクセント 1 3 3 3" xfId="1362"/>
    <cellStyle name="40% - アクセント 1 3 4" xfId="186"/>
    <cellStyle name="40% - アクセント 1 3 4 2" xfId="796"/>
    <cellStyle name="40% - アクセント 1 3 4 3" xfId="1404"/>
    <cellStyle name="40% - アクセント 1 3 5" xfId="228"/>
    <cellStyle name="40% - アクセント 1 3 5 2" xfId="838"/>
    <cellStyle name="40% - アクセント 1 3 5 3" xfId="1446"/>
    <cellStyle name="40% - アクセント 1 3 6" xfId="270"/>
    <cellStyle name="40% - アクセント 1 3 6 2" xfId="880"/>
    <cellStyle name="40% - アクセント 1 3 6 3" xfId="1488"/>
    <cellStyle name="40% - アクセント 1 3 7" xfId="312"/>
    <cellStyle name="40% - アクセント 1 3 7 2" xfId="922"/>
    <cellStyle name="40% - アクセント 1 3 7 3" xfId="1530"/>
    <cellStyle name="40% - アクセント 1 3 8" xfId="354"/>
    <cellStyle name="40% - アクセント 1 3 8 2" xfId="964"/>
    <cellStyle name="40% - アクセント 1 3 8 3" xfId="1572"/>
    <cellStyle name="40% - アクセント 1 3 9" xfId="396"/>
    <cellStyle name="40% - アクセント 1 3 9 2" xfId="1006"/>
    <cellStyle name="40% - アクセント 1 3 9 3" xfId="1614"/>
    <cellStyle name="40% - アクセント 1 4" xfId="72"/>
    <cellStyle name="40% - アクセント 1 4 2" xfId="512"/>
    <cellStyle name="40% - アクセント 1 4 2 2" xfId="1120"/>
    <cellStyle name="40% - アクセント 1 4 2 3" xfId="1728"/>
    <cellStyle name="40% - アクセント 1 4 3" xfId="682"/>
    <cellStyle name="40% - アクセント 1 4 4" xfId="1290"/>
    <cellStyle name="40% - アクセント 1 5" xfId="114"/>
    <cellStyle name="40% - アクセント 1 5 2" xfId="526"/>
    <cellStyle name="40% - アクセント 1 5 2 2" xfId="1134"/>
    <cellStyle name="40% - アクセント 1 5 2 3" xfId="1742"/>
    <cellStyle name="40% - アクセント 1 5 3" xfId="724"/>
    <cellStyle name="40% - アクセント 1 5 4" xfId="1332"/>
    <cellStyle name="40% - アクセント 1 6" xfId="156"/>
    <cellStyle name="40% - アクセント 1 6 2" xfId="542"/>
    <cellStyle name="40% - アクセント 1 6 2 2" xfId="1150"/>
    <cellStyle name="40% - アクセント 1 6 2 3" xfId="1758"/>
    <cellStyle name="40% - アクセント 1 6 3" xfId="766"/>
    <cellStyle name="40% - アクセント 1 6 4" xfId="1374"/>
    <cellStyle name="40% - アクセント 1 7" xfId="198"/>
    <cellStyle name="40% - アクセント 1 7 2" xfId="558"/>
    <cellStyle name="40% - アクセント 1 7 2 2" xfId="1166"/>
    <cellStyle name="40% - アクセント 1 7 2 3" xfId="1774"/>
    <cellStyle name="40% - アクセント 1 7 3" xfId="808"/>
    <cellStyle name="40% - アクセント 1 7 4" xfId="1416"/>
    <cellStyle name="40% - アクセント 1 8" xfId="240"/>
    <cellStyle name="40% - アクセント 1 8 2" xfId="572"/>
    <cellStyle name="40% - アクセント 1 8 2 2" xfId="1180"/>
    <cellStyle name="40% - アクセント 1 8 2 3" xfId="1788"/>
    <cellStyle name="40% - アクセント 1 8 3" xfId="850"/>
    <cellStyle name="40% - アクセント 1 8 4" xfId="1458"/>
    <cellStyle name="40% - アクセント 1 9" xfId="282"/>
    <cellStyle name="40% - アクセント 1 9 2" xfId="584"/>
    <cellStyle name="40% - アクセント 1 9 2 2" xfId="1192"/>
    <cellStyle name="40% - アクセント 1 9 2 3" xfId="1800"/>
    <cellStyle name="40% - アクセント 1 9 3" xfId="892"/>
    <cellStyle name="40% - アクセント 1 9 4" xfId="1500"/>
    <cellStyle name="40% - アクセント 2" xfId="23" builtinId="35" customBuiltin="1"/>
    <cellStyle name="40% - アクセント 2 10" xfId="326"/>
    <cellStyle name="40% - アクセント 2 10 2" xfId="600"/>
    <cellStyle name="40% - アクセント 2 10 2 2" xfId="1208"/>
    <cellStyle name="40% - アクセント 2 10 2 3" xfId="1816"/>
    <cellStyle name="40% - アクセント 2 10 3" xfId="936"/>
    <cellStyle name="40% - アクセント 2 10 4" xfId="1544"/>
    <cellStyle name="40% - アクセント 2 11" xfId="368"/>
    <cellStyle name="40% - アクセント 2 11 2" xfId="616"/>
    <cellStyle name="40% - アクセント 2 11 2 2" xfId="1224"/>
    <cellStyle name="40% - アクセント 2 11 2 3" xfId="1832"/>
    <cellStyle name="40% - アクセント 2 11 3" xfId="978"/>
    <cellStyle name="40% - アクセント 2 11 4" xfId="1586"/>
    <cellStyle name="40% - アクセント 2 12" xfId="410"/>
    <cellStyle name="40% - アクセント 2 12 2" xfId="630"/>
    <cellStyle name="40% - アクセント 2 12 2 2" xfId="1238"/>
    <cellStyle name="40% - アクセント 2 12 2 3" xfId="1846"/>
    <cellStyle name="40% - アクセント 2 12 3" xfId="1020"/>
    <cellStyle name="40% - アクセント 2 12 4" xfId="1628"/>
    <cellStyle name="40% - アクセント 2 13" xfId="454"/>
    <cellStyle name="40% - アクセント 2 13 2" xfId="1062"/>
    <cellStyle name="40% - アクセント 2 13 3" xfId="1670"/>
    <cellStyle name="40% - アクセント 2 14" xfId="468"/>
    <cellStyle name="40% - アクセント 2 14 2" xfId="1076"/>
    <cellStyle name="40% - アクセント 2 14 3" xfId="1684"/>
    <cellStyle name="40% - アクセント 2 15" xfId="642"/>
    <cellStyle name="40% - アクセント 2 16" xfId="1250"/>
    <cellStyle name="40% - アクセント 2 2" xfId="48"/>
    <cellStyle name="40% - アクセント 2 2 10" xfId="426"/>
    <cellStyle name="40% - アクセント 2 2 10 2" xfId="1036"/>
    <cellStyle name="40% - アクセント 2 2 10 3" xfId="1644"/>
    <cellStyle name="40% - アクセント 2 2 11" xfId="484"/>
    <cellStyle name="40% - アクセント 2 2 11 2" xfId="1092"/>
    <cellStyle name="40% - アクセント 2 2 11 3" xfId="1700"/>
    <cellStyle name="40% - アクセント 2 2 12" xfId="658"/>
    <cellStyle name="40% - アクセント 2 2 13" xfId="1266"/>
    <cellStyle name="40% - アクセント 2 2 2" xfId="90"/>
    <cellStyle name="40% - アクセント 2 2 2 2" xfId="700"/>
    <cellStyle name="40% - アクセント 2 2 2 3" xfId="1308"/>
    <cellStyle name="40% - アクセント 2 2 3" xfId="132"/>
    <cellStyle name="40% - アクセント 2 2 3 2" xfId="742"/>
    <cellStyle name="40% - アクセント 2 2 3 3" xfId="1350"/>
    <cellStyle name="40% - アクセント 2 2 4" xfId="174"/>
    <cellStyle name="40% - アクセント 2 2 4 2" xfId="784"/>
    <cellStyle name="40% - アクセント 2 2 4 3" xfId="1392"/>
    <cellStyle name="40% - アクセント 2 2 5" xfId="216"/>
    <cellStyle name="40% - アクセント 2 2 5 2" xfId="826"/>
    <cellStyle name="40% - アクセント 2 2 5 3" xfId="1434"/>
    <cellStyle name="40% - アクセント 2 2 6" xfId="258"/>
    <cellStyle name="40% - アクセント 2 2 6 2" xfId="868"/>
    <cellStyle name="40% - アクセント 2 2 6 3" xfId="1476"/>
    <cellStyle name="40% - アクセント 2 2 7" xfId="300"/>
    <cellStyle name="40% - アクセント 2 2 7 2" xfId="910"/>
    <cellStyle name="40% - アクセント 2 2 7 3" xfId="1518"/>
    <cellStyle name="40% - アクセント 2 2 8" xfId="342"/>
    <cellStyle name="40% - アクセント 2 2 8 2" xfId="952"/>
    <cellStyle name="40% - アクセント 2 2 8 3" xfId="1560"/>
    <cellStyle name="40% - アクセント 2 2 9" xfId="384"/>
    <cellStyle name="40% - アクセント 2 2 9 2" xfId="994"/>
    <cellStyle name="40% - アクセント 2 2 9 3" xfId="1602"/>
    <cellStyle name="40% - アクセント 2 3" xfId="62"/>
    <cellStyle name="40% - アクセント 2 3 10" xfId="440"/>
    <cellStyle name="40% - アクセント 2 3 10 2" xfId="1050"/>
    <cellStyle name="40% - アクセント 2 3 10 3" xfId="1658"/>
    <cellStyle name="40% - アクセント 2 3 11" xfId="500"/>
    <cellStyle name="40% - アクセント 2 3 11 2" xfId="1108"/>
    <cellStyle name="40% - アクセント 2 3 11 3" xfId="1716"/>
    <cellStyle name="40% - アクセント 2 3 12" xfId="672"/>
    <cellStyle name="40% - アクセント 2 3 13" xfId="1280"/>
    <cellStyle name="40% - アクセント 2 3 2" xfId="104"/>
    <cellStyle name="40% - アクセント 2 3 2 2" xfId="714"/>
    <cellStyle name="40% - アクセント 2 3 2 3" xfId="1322"/>
    <cellStyle name="40% - アクセント 2 3 3" xfId="146"/>
    <cellStyle name="40% - アクセント 2 3 3 2" xfId="756"/>
    <cellStyle name="40% - アクセント 2 3 3 3" xfId="1364"/>
    <cellStyle name="40% - アクセント 2 3 4" xfId="188"/>
    <cellStyle name="40% - アクセント 2 3 4 2" xfId="798"/>
    <cellStyle name="40% - アクセント 2 3 4 3" xfId="1406"/>
    <cellStyle name="40% - アクセント 2 3 5" xfId="230"/>
    <cellStyle name="40% - アクセント 2 3 5 2" xfId="840"/>
    <cellStyle name="40% - アクセント 2 3 5 3" xfId="1448"/>
    <cellStyle name="40% - アクセント 2 3 6" xfId="272"/>
    <cellStyle name="40% - アクセント 2 3 6 2" xfId="882"/>
    <cellStyle name="40% - アクセント 2 3 6 3" xfId="1490"/>
    <cellStyle name="40% - アクセント 2 3 7" xfId="314"/>
    <cellStyle name="40% - アクセント 2 3 7 2" xfId="924"/>
    <cellStyle name="40% - アクセント 2 3 7 3" xfId="1532"/>
    <cellStyle name="40% - アクセント 2 3 8" xfId="356"/>
    <cellStyle name="40% - アクセント 2 3 8 2" xfId="966"/>
    <cellStyle name="40% - アクセント 2 3 8 3" xfId="1574"/>
    <cellStyle name="40% - アクセント 2 3 9" xfId="398"/>
    <cellStyle name="40% - アクセント 2 3 9 2" xfId="1008"/>
    <cellStyle name="40% - アクセント 2 3 9 3" xfId="1616"/>
    <cellStyle name="40% - アクセント 2 4" xfId="74"/>
    <cellStyle name="40% - アクセント 2 4 2" xfId="514"/>
    <cellStyle name="40% - アクセント 2 4 2 2" xfId="1122"/>
    <cellStyle name="40% - アクセント 2 4 2 3" xfId="1730"/>
    <cellStyle name="40% - アクセント 2 4 3" xfId="684"/>
    <cellStyle name="40% - アクセント 2 4 4" xfId="1292"/>
    <cellStyle name="40% - アクセント 2 5" xfId="116"/>
    <cellStyle name="40% - アクセント 2 5 2" xfId="528"/>
    <cellStyle name="40% - アクセント 2 5 2 2" xfId="1136"/>
    <cellStyle name="40% - アクセント 2 5 2 3" xfId="1744"/>
    <cellStyle name="40% - アクセント 2 5 3" xfId="726"/>
    <cellStyle name="40% - アクセント 2 5 4" xfId="1334"/>
    <cellStyle name="40% - アクセント 2 6" xfId="158"/>
    <cellStyle name="40% - アクセント 2 6 2" xfId="544"/>
    <cellStyle name="40% - アクセント 2 6 2 2" xfId="1152"/>
    <cellStyle name="40% - アクセント 2 6 2 3" xfId="1760"/>
    <cellStyle name="40% - アクセント 2 6 3" xfId="768"/>
    <cellStyle name="40% - アクセント 2 6 4" xfId="1376"/>
    <cellStyle name="40% - アクセント 2 7" xfId="200"/>
    <cellStyle name="40% - アクセント 2 7 2" xfId="560"/>
    <cellStyle name="40% - アクセント 2 7 2 2" xfId="1168"/>
    <cellStyle name="40% - アクセント 2 7 2 3" xfId="1776"/>
    <cellStyle name="40% - アクセント 2 7 3" xfId="810"/>
    <cellStyle name="40% - アクセント 2 7 4" xfId="1418"/>
    <cellStyle name="40% - アクセント 2 8" xfId="242"/>
    <cellStyle name="40% - アクセント 2 8 2" xfId="574"/>
    <cellStyle name="40% - アクセント 2 8 2 2" xfId="1182"/>
    <cellStyle name="40% - アクセント 2 8 2 3" xfId="1790"/>
    <cellStyle name="40% - アクセント 2 8 3" xfId="852"/>
    <cellStyle name="40% - アクセント 2 8 4" xfId="1460"/>
    <cellStyle name="40% - アクセント 2 9" xfId="284"/>
    <cellStyle name="40% - アクセント 2 9 2" xfId="586"/>
    <cellStyle name="40% - アクセント 2 9 2 2" xfId="1194"/>
    <cellStyle name="40% - アクセント 2 9 2 3" xfId="1802"/>
    <cellStyle name="40% - アクセント 2 9 3" xfId="894"/>
    <cellStyle name="40% - アクセント 2 9 4" xfId="1502"/>
    <cellStyle name="40% - アクセント 3" xfId="27" builtinId="39" customBuiltin="1"/>
    <cellStyle name="40% - アクセント 3 10" xfId="328"/>
    <cellStyle name="40% - アクセント 3 10 2" xfId="602"/>
    <cellStyle name="40% - アクセント 3 10 2 2" xfId="1210"/>
    <cellStyle name="40% - アクセント 3 10 2 3" xfId="1818"/>
    <cellStyle name="40% - アクセント 3 10 3" xfId="938"/>
    <cellStyle name="40% - アクセント 3 10 4" xfId="1546"/>
    <cellStyle name="40% - アクセント 3 11" xfId="370"/>
    <cellStyle name="40% - アクセント 3 11 2" xfId="618"/>
    <cellStyle name="40% - アクセント 3 11 2 2" xfId="1226"/>
    <cellStyle name="40% - アクセント 3 11 2 3" xfId="1834"/>
    <cellStyle name="40% - アクセント 3 11 3" xfId="980"/>
    <cellStyle name="40% - アクセント 3 11 4" xfId="1588"/>
    <cellStyle name="40% - アクセント 3 12" xfId="412"/>
    <cellStyle name="40% - アクセント 3 12 2" xfId="632"/>
    <cellStyle name="40% - アクセント 3 12 2 2" xfId="1240"/>
    <cellStyle name="40% - アクセント 3 12 2 3" xfId="1848"/>
    <cellStyle name="40% - アクセント 3 12 3" xfId="1022"/>
    <cellStyle name="40% - アクセント 3 12 4" xfId="1630"/>
    <cellStyle name="40% - アクセント 3 13" xfId="456"/>
    <cellStyle name="40% - アクセント 3 13 2" xfId="1064"/>
    <cellStyle name="40% - アクセント 3 13 3" xfId="1672"/>
    <cellStyle name="40% - アクセント 3 14" xfId="470"/>
    <cellStyle name="40% - アクセント 3 14 2" xfId="1078"/>
    <cellStyle name="40% - アクセント 3 14 3" xfId="1686"/>
    <cellStyle name="40% - アクセント 3 15" xfId="644"/>
    <cellStyle name="40% - アクセント 3 16" xfId="1252"/>
    <cellStyle name="40% - アクセント 3 2" xfId="50"/>
    <cellStyle name="40% - アクセント 3 2 10" xfId="428"/>
    <cellStyle name="40% - アクセント 3 2 10 2" xfId="1038"/>
    <cellStyle name="40% - アクセント 3 2 10 3" xfId="1646"/>
    <cellStyle name="40% - アクセント 3 2 11" xfId="486"/>
    <cellStyle name="40% - アクセント 3 2 11 2" xfId="1094"/>
    <cellStyle name="40% - アクセント 3 2 11 3" xfId="1702"/>
    <cellStyle name="40% - アクセント 3 2 12" xfId="660"/>
    <cellStyle name="40% - アクセント 3 2 13" xfId="1268"/>
    <cellStyle name="40% - アクセント 3 2 2" xfId="92"/>
    <cellStyle name="40% - アクセント 3 2 2 2" xfId="702"/>
    <cellStyle name="40% - アクセント 3 2 2 3" xfId="1310"/>
    <cellStyle name="40% - アクセント 3 2 3" xfId="134"/>
    <cellStyle name="40% - アクセント 3 2 3 2" xfId="744"/>
    <cellStyle name="40% - アクセント 3 2 3 3" xfId="1352"/>
    <cellStyle name="40% - アクセント 3 2 4" xfId="176"/>
    <cellStyle name="40% - アクセント 3 2 4 2" xfId="786"/>
    <cellStyle name="40% - アクセント 3 2 4 3" xfId="1394"/>
    <cellStyle name="40% - アクセント 3 2 5" xfId="218"/>
    <cellStyle name="40% - アクセント 3 2 5 2" xfId="828"/>
    <cellStyle name="40% - アクセント 3 2 5 3" xfId="1436"/>
    <cellStyle name="40% - アクセント 3 2 6" xfId="260"/>
    <cellStyle name="40% - アクセント 3 2 6 2" xfId="870"/>
    <cellStyle name="40% - アクセント 3 2 6 3" xfId="1478"/>
    <cellStyle name="40% - アクセント 3 2 7" xfId="302"/>
    <cellStyle name="40% - アクセント 3 2 7 2" xfId="912"/>
    <cellStyle name="40% - アクセント 3 2 7 3" xfId="1520"/>
    <cellStyle name="40% - アクセント 3 2 8" xfId="344"/>
    <cellStyle name="40% - アクセント 3 2 8 2" xfId="954"/>
    <cellStyle name="40% - アクセント 3 2 8 3" xfId="1562"/>
    <cellStyle name="40% - アクセント 3 2 9" xfId="386"/>
    <cellStyle name="40% - アクセント 3 2 9 2" xfId="996"/>
    <cellStyle name="40% - アクセント 3 2 9 3" xfId="1604"/>
    <cellStyle name="40% - アクセント 3 3" xfId="64"/>
    <cellStyle name="40% - アクセント 3 3 10" xfId="442"/>
    <cellStyle name="40% - アクセント 3 3 10 2" xfId="1052"/>
    <cellStyle name="40% - アクセント 3 3 10 3" xfId="1660"/>
    <cellStyle name="40% - アクセント 3 3 11" xfId="502"/>
    <cellStyle name="40% - アクセント 3 3 11 2" xfId="1110"/>
    <cellStyle name="40% - アクセント 3 3 11 3" xfId="1718"/>
    <cellStyle name="40% - アクセント 3 3 12" xfId="674"/>
    <cellStyle name="40% - アクセント 3 3 13" xfId="1282"/>
    <cellStyle name="40% - アクセント 3 3 2" xfId="106"/>
    <cellStyle name="40% - アクセント 3 3 2 2" xfId="716"/>
    <cellStyle name="40% - アクセント 3 3 2 3" xfId="1324"/>
    <cellStyle name="40% - アクセント 3 3 3" xfId="148"/>
    <cellStyle name="40% - アクセント 3 3 3 2" xfId="758"/>
    <cellStyle name="40% - アクセント 3 3 3 3" xfId="1366"/>
    <cellStyle name="40% - アクセント 3 3 4" xfId="190"/>
    <cellStyle name="40% - アクセント 3 3 4 2" xfId="800"/>
    <cellStyle name="40% - アクセント 3 3 4 3" xfId="1408"/>
    <cellStyle name="40% - アクセント 3 3 5" xfId="232"/>
    <cellStyle name="40% - アクセント 3 3 5 2" xfId="842"/>
    <cellStyle name="40% - アクセント 3 3 5 3" xfId="1450"/>
    <cellStyle name="40% - アクセント 3 3 6" xfId="274"/>
    <cellStyle name="40% - アクセント 3 3 6 2" xfId="884"/>
    <cellStyle name="40% - アクセント 3 3 6 3" xfId="1492"/>
    <cellStyle name="40% - アクセント 3 3 7" xfId="316"/>
    <cellStyle name="40% - アクセント 3 3 7 2" xfId="926"/>
    <cellStyle name="40% - アクセント 3 3 7 3" xfId="1534"/>
    <cellStyle name="40% - アクセント 3 3 8" xfId="358"/>
    <cellStyle name="40% - アクセント 3 3 8 2" xfId="968"/>
    <cellStyle name="40% - アクセント 3 3 8 3" xfId="1576"/>
    <cellStyle name="40% - アクセント 3 3 9" xfId="400"/>
    <cellStyle name="40% - アクセント 3 3 9 2" xfId="1010"/>
    <cellStyle name="40% - アクセント 3 3 9 3" xfId="1618"/>
    <cellStyle name="40% - アクセント 3 4" xfId="76"/>
    <cellStyle name="40% - アクセント 3 4 2" xfId="516"/>
    <cellStyle name="40% - アクセント 3 4 2 2" xfId="1124"/>
    <cellStyle name="40% - アクセント 3 4 2 3" xfId="1732"/>
    <cellStyle name="40% - アクセント 3 4 3" xfId="686"/>
    <cellStyle name="40% - アクセント 3 4 4" xfId="1294"/>
    <cellStyle name="40% - アクセント 3 5" xfId="118"/>
    <cellStyle name="40% - アクセント 3 5 2" xfId="530"/>
    <cellStyle name="40% - アクセント 3 5 2 2" xfId="1138"/>
    <cellStyle name="40% - アクセント 3 5 2 3" xfId="1746"/>
    <cellStyle name="40% - アクセント 3 5 3" xfId="728"/>
    <cellStyle name="40% - アクセント 3 5 4" xfId="1336"/>
    <cellStyle name="40% - アクセント 3 6" xfId="160"/>
    <cellStyle name="40% - アクセント 3 6 2" xfId="546"/>
    <cellStyle name="40% - アクセント 3 6 2 2" xfId="1154"/>
    <cellStyle name="40% - アクセント 3 6 2 3" xfId="1762"/>
    <cellStyle name="40% - アクセント 3 6 3" xfId="770"/>
    <cellStyle name="40% - アクセント 3 6 4" xfId="1378"/>
    <cellStyle name="40% - アクセント 3 7" xfId="202"/>
    <cellStyle name="40% - アクセント 3 7 2" xfId="562"/>
    <cellStyle name="40% - アクセント 3 7 2 2" xfId="1170"/>
    <cellStyle name="40% - アクセント 3 7 2 3" xfId="1778"/>
    <cellStyle name="40% - アクセント 3 7 3" xfId="812"/>
    <cellStyle name="40% - アクセント 3 7 4" xfId="1420"/>
    <cellStyle name="40% - アクセント 3 8" xfId="244"/>
    <cellStyle name="40% - アクセント 3 8 2" xfId="576"/>
    <cellStyle name="40% - アクセント 3 8 2 2" xfId="1184"/>
    <cellStyle name="40% - アクセント 3 8 2 3" xfId="1792"/>
    <cellStyle name="40% - アクセント 3 8 3" xfId="854"/>
    <cellStyle name="40% - アクセント 3 8 4" xfId="1462"/>
    <cellStyle name="40% - アクセント 3 9" xfId="286"/>
    <cellStyle name="40% - アクセント 3 9 2" xfId="588"/>
    <cellStyle name="40% - アクセント 3 9 2 2" xfId="1196"/>
    <cellStyle name="40% - アクセント 3 9 2 3" xfId="1804"/>
    <cellStyle name="40% - アクセント 3 9 3" xfId="896"/>
    <cellStyle name="40% - アクセント 3 9 4" xfId="1504"/>
    <cellStyle name="40% - アクセント 4" xfId="31" builtinId="43" customBuiltin="1"/>
    <cellStyle name="40% - アクセント 4 10" xfId="330"/>
    <cellStyle name="40% - アクセント 4 10 2" xfId="604"/>
    <cellStyle name="40% - アクセント 4 10 2 2" xfId="1212"/>
    <cellStyle name="40% - アクセント 4 10 2 3" xfId="1820"/>
    <cellStyle name="40% - アクセント 4 10 3" xfId="940"/>
    <cellStyle name="40% - アクセント 4 10 4" xfId="1548"/>
    <cellStyle name="40% - アクセント 4 11" xfId="372"/>
    <cellStyle name="40% - アクセント 4 11 2" xfId="620"/>
    <cellStyle name="40% - アクセント 4 11 2 2" xfId="1228"/>
    <cellStyle name="40% - アクセント 4 11 2 3" xfId="1836"/>
    <cellStyle name="40% - アクセント 4 11 3" xfId="982"/>
    <cellStyle name="40% - アクセント 4 11 4" xfId="1590"/>
    <cellStyle name="40% - アクセント 4 12" xfId="414"/>
    <cellStyle name="40% - アクセント 4 12 2" xfId="634"/>
    <cellStyle name="40% - アクセント 4 12 2 2" xfId="1242"/>
    <cellStyle name="40% - アクセント 4 12 2 3" xfId="1850"/>
    <cellStyle name="40% - アクセント 4 12 3" xfId="1024"/>
    <cellStyle name="40% - アクセント 4 12 4" xfId="1632"/>
    <cellStyle name="40% - アクセント 4 13" xfId="458"/>
    <cellStyle name="40% - アクセント 4 13 2" xfId="1066"/>
    <cellStyle name="40% - アクセント 4 13 3" xfId="1674"/>
    <cellStyle name="40% - アクセント 4 14" xfId="472"/>
    <cellStyle name="40% - アクセント 4 14 2" xfId="1080"/>
    <cellStyle name="40% - アクセント 4 14 3" xfId="1688"/>
    <cellStyle name="40% - アクセント 4 15" xfId="646"/>
    <cellStyle name="40% - アクセント 4 16" xfId="1254"/>
    <cellStyle name="40% - アクセント 4 2" xfId="52"/>
    <cellStyle name="40% - アクセント 4 2 10" xfId="430"/>
    <cellStyle name="40% - アクセント 4 2 10 2" xfId="1040"/>
    <cellStyle name="40% - アクセント 4 2 10 3" xfId="1648"/>
    <cellStyle name="40% - アクセント 4 2 11" xfId="488"/>
    <cellStyle name="40% - アクセント 4 2 11 2" xfId="1096"/>
    <cellStyle name="40% - アクセント 4 2 11 3" xfId="1704"/>
    <cellStyle name="40% - アクセント 4 2 12" xfId="662"/>
    <cellStyle name="40% - アクセント 4 2 13" xfId="1270"/>
    <cellStyle name="40% - アクセント 4 2 2" xfId="94"/>
    <cellStyle name="40% - アクセント 4 2 2 2" xfId="704"/>
    <cellStyle name="40% - アクセント 4 2 2 3" xfId="1312"/>
    <cellStyle name="40% - アクセント 4 2 3" xfId="136"/>
    <cellStyle name="40% - アクセント 4 2 3 2" xfId="746"/>
    <cellStyle name="40% - アクセント 4 2 3 3" xfId="1354"/>
    <cellStyle name="40% - アクセント 4 2 4" xfId="178"/>
    <cellStyle name="40% - アクセント 4 2 4 2" xfId="788"/>
    <cellStyle name="40% - アクセント 4 2 4 3" xfId="1396"/>
    <cellStyle name="40% - アクセント 4 2 5" xfId="220"/>
    <cellStyle name="40% - アクセント 4 2 5 2" xfId="830"/>
    <cellStyle name="40% - アクセント 4 2 5 3" xfId="1438"/>
    <cellStyle name="40% - アクセント 4 2 6" xfId="262"/>
    <cellStyle name="40% - アクセント 4 2 6 2" xfId="872"/>
    <cellStyle name="40% - アクセント 4 2 6 3" xfId="1480"/>
    <cellStyle name="40% - アクセント 4 2 7" xfId="304"/>
    <cellStyle name="40% - アクセント 4 2 7 2" xfId="914"/>
    <cellStyle name="40% - アクセント 4 2 7 3" xfId="1522"/>
    <cellStyle name="40% - アクセント 4 2 8" xfId="346"/>
    <cellStyle name="40% - アクセント 4 2 8 2" xfId="956"/>
    <cellStyle name="40% - アクセント 4 2 8 3" xfId="1564"/>
    <cellStyle name="40% - アクセント 4 2 9" xfId="388"/>
    <cellStyle name="40% - アクセント 4 2 9 2" xfId="998"/>
    <cellStyle name="40% - アクセント 4 2 9 3" xfId="1606"/>
    <cellStyle name="40% - アクセント 4 3" xfId="66"/>
    <cellStyle name="40% - アクセント 4 3 10" xfId="444"/>
    <cellStyle name="40% - アクセント 4 3 10 2" xfId="1054"/>
    <cellStyle name="40% - アクセント 4 3 10 3" xfId="1662"/>
    <cellStyle name="40% - アクセント 4 3 11" xfId="504"/>
    <cellStyle name="40% - アクセント 4 3 11 2" xfId="1112"/>
    <cellStyle name="40% - アクセント 4 3 11 3" xfId="1720"/>
    <cellStyle name="40% - アクセント 4 3 12" xfId="676"/>
    <cellStyle name="40% - アクセント 4 3 13" xfId="1284"/>
    <cellStyle name="40% - アクセント 4 3 2" xfId="108"/>
    <cellStyle name="40% - アクセント 4 3 2 2" xfId="718"/>
    <cellStyle name="40% - アクセント 4 3 2 3" xfId="1326"/>
    <cellStyle name="40% - アクセント 4 3 3" xfId="150"/>
    <cellStyle name="40% - アクセント 4 3 3 2" xfId="760"/>
    <cellStyle name="40% - アクセント 4 3 3 3" xfId="1368"/>
    <cellStyle name="40% - アクセント 4 3 4" xfId="192"/>
    <cellStyle name="40% - アクセント 4 3 4 2" xfId="802"/>
    <cellStyle name="40% - アクセント 4 3 4 3" xfId="1410"/>
    <cellStyle name="40% - アクセント 4 3 5" xfId="234"/>
    <cellStyle name="40% - アクセント 4 3 5 2" xfId="844"/>
    <cellStyle name="40% - アクセント 4 3 5 3" xfId="1452"/>
    <cellStyle name="40% - アクセント 4 3 6" xfId="276"/>
    <cellStyle name="40% - アクセント 4 3 6 2" xfId="886"/>
    <cellStyle name="40% - アクセント 4 3 6 3" xfId="1494"/>
    <cellStyle name="40% - アクセント 4 3 7" xfId="318"/>
    <cellStyle name="40% - アクセント 4 3 7 2" xfId="928"/>
    <cellStyle name="40% - アクセント 4 3 7 3" xfId="1536"/>
    <cellStyle name="40% - アクセント 4 3 8" xfId="360"/>
    <cellStyle name="40% - アクセント 4 3 8 2" xfId="970"/>
    <cellStyle name="40% - アクセント 4 3 8 3" xfId="1578"/>
    <cellStyle name="40% - アクセント 4 3 9" xfId="402"/>
    <cellStyle name="40% - アクセント 4 3 9 2" xfId="1012"/>
    <cellStyle name="40% - アクセント 4 3 9 3" xfId="1620"/>
    <cellStyle name="40% - アクセント 4 4" xfId="78"/>
    <cellStyle name="40% - アクセント 4 4 2" xfId="518"/>
    <cellStyle name="40% - アクセント 4 4 2 2" xfId="1126"/>
    <cellStyle name="40% - アクセント 4 4 2 3" xfId="1734"/>
    <cellStyle name="40% - アクセント 4 4 3" xfId="688"/>
    <cellStyle name="40% - アクセント 4 4 4" xfId="1296"/>
    <cellStyle name="40% - アクセント 4 5" xfId="120"/>
    <cellStyle name="40% - アクセント 4 5 2" xfId="532"/>
    <cellStyle name="40% - アクセント 4 5 2 2" xfId="1140"/>
    <cellStyle name="40% - アクセント 4 5 2 3" xfId="1748"/>
    <cellStyle name="40% - アクセント 4 5 3" xfId="730"/>
    <cellStyle name="40% - アクセント 4 5 4" xfId="1338"/>
    <cellStyle name="40% - アクセント 4 6" xfId="162"/>
    <cellStyle name="40% - アクセント 4 6 2" xfId="548"/>
    <cellStyle name="40% - アクセント 4 6 2 2" xfId="1156"/>
    <cellStyle name="40% - アクセント 4 6 2 3" xfId="1764"/>
    <cellStyle name="40% - アクセント 4 6 3" xfId="772"/>
    <cellStyle name="40% - アクセント 4 6 4" xfId="1380"/>
    <cellStyle name="40% - アクセント 4 7" xfId="204"/>
    <cellStyle name="40% - アクセント 4 7 2" xfId="564"/>
    <cellStyle name="40% - アクセント 4 7 2 2" xfId="1172"/>
    <cellStyle name="40% - アクセント 4 7 2 3" xfId="1780"/>
    <cellStyle name="40% - アクセント 4 7 3" xfId="814"/>
    <cellStyle name="40% - アクセント 4 7 4" xfId="1422"/>
    <cellStyle name="40% - アクセント 4 8" xfId="246"/>
    <cellStyle name="40% - アクセント 4 8 2" xfId="578"/>
    <cellStyle name="40% - アクセント 4 8 2 2" xfId="1186"/>
    <cellStyle name="40% - アクセント 4 8 2 3" xfId="1794"/>
    <cellStyle name="40% - アクセント 4 8 3" xfId="856"/>
    <cellStyle name="40% - アクセント 4 8 4" xfId="1464"/>
    <cellStyle name="40% - アクセント 4 9" xfId="288"/>
    <cellStyle name="40% - アクセント 4 9 2" xfId="590"/>
    <cellStyle name="40% - アクセント 4 9 2 2" xfId="1198"/>
    <cellStyle name="40% - アクセント 4 9 2 3" xfId="1806"/>
    <cellStyle name="40% - アクセント 4 9 3" xfId="898"/>
    <cellStyle name="40% - アクセント 4 9 4" xfId="1506"/>
    <cellStyle name="40% - アクセント 5" xfId="35" builtinId="47" customBuiltin="1"/>
    <cellStyle name="40% - アクセント 5 10" xfId="332"/>
    <cellStyle name="40% - アクセント 5 10 2" xfId="606"/>
    <cellStyle name="40% - アクセント 5 10 2 2" xfId="1214"/>
    <cellStyle name="40% - アクセント 5 10 2 3" xfId="1822"/>
    <cellStyle name="40% - アクセント 5 10 3" xfId="942"/>
    <cellStyle name="40% - アクセント 5 10 4" xfId="1550"/>
    <cellStyle name="40% - アクセント 5 11" xfId="374"/>
    <cellStyle name="40% - アクセント 5 11 2" xfId="622"/>
    <cellStyle name="40% - アクセント 5 11 2 2" xfId="1230"/>
    <cellStyle name="40% - アクセント 5 11 2 3" xfId="1838"/>
    <cellStyle name="40% - アクセント 5 11 3" xfId="984"/>
    <cellStyle name="40% - アクセント 5 11 4" xfId="1592"/>
    <cellStyle name="40% - アクセント 5 12" xfId="416"/>
    <cellStyle name="40% - アクセント 5 12 2" xfId="636"/>
    <cellStyle name="40% - アクセント 5 12 2 2" xfId="1244"/>
    <cellStyle name="40% - アクセント 5 12 2 3" xfId="1852"/>
    <cellStyle name="40% - アクセント 5 12 3" xfId="1026"/>
    <cellStyle name="40% - アクセント 5 12 4" xfId="1634"/>
    <cellStyle name="40% - アクセント 5 13" xfId="460"/>
    <cellStyle name="40% - アクセント 5 13 2" xfId="1068"/>
    <cellStyle name="40% - アクセント 5 13 3" xfId="1676"/>
    <cellStyle name="40% - アクセント 5 14" xfId="474"/>
    <cellStyle name="40% - アクセント 5 14 2" xfId="1082"/>
    <cellStyle name="40% - アクセント 5 14 3" xfId="1690"/>
    <cellStyle name="40% - アクセント 5 15" xfId="648"/>
    <cellStyle name="40% - アクセント 5 16" xfId="1256"/>
    <cellStyle name="40% - アクセント 5 2" xfId="54"/>
    <cellStyle name="40% - アクセント 5 2 10" xfId="432"/>
    <cellStyle name="40% - アクセント 5 2 10 2" xfId="1042"/>
    <cellStyle name="40% - アクセント 5 2 10 3" xfId="1650"/>
    <cellStyle name="40% - アクセント 5 2 11" xfId="490"/>
    <cellStyle name="40% - アクセント 5 2 11 2" xfId="1098"/>
    <cellStyle name="40% - アクセント 5 2 11 3" xfId="1706"/>
    <cellStyle name="40% - アクセント 5 2 12" xfId="664"/>
    <cellStyle name="40% - アクセント 5 2 13" xfId="1272"/>
    <cellStyle name="40% - アクセント 5 2 2" xfId="96"/>
    <cellStyle name="40% - アクセント 5 2 2 2" xfId="706"/>
    <cellStyle name="40% - アクセント 5 2 2 3" xfId="1314"/>
    <cellStyle name="40% - アクセント 5 2 3" xfId="138"/>
    <cellStyle name="40% - アクセント 5 2 3 2" xfId="748"/>
    <cellStyle name="40% - アクセント 5 2 3 3" xfId="1356"/>
    <cellStyle name="40% - アクセント 5 2 4" xfId="180"/>
    <cellStyle name="40% - アクセント 5 2 4 2" xfId="790"/>
    <cellStyle name="40% - アクセント 5 2 4 3" xfId="1398"/>
    <cellStyle name="40% - アクセント 5 2 5" xfId="222"/>
    <cellStyle name="40% - アクセント 5 2 5 2" xfId="832"/>
    <cellStyle name="40% - アクセント 5 2 5 3" xfId="1440"/>
    <cellStyle name="40% - アクセント 5 2 6" xfId="264"/>
    <cellStyle name="40% - アクセント 5 2 6 2" xfId="874"/>
    <cellStyle name="40% - アクセント 5 2 6 3" xfId="1482"/>
    <cellStyle name="40% - アクセント 5 2 7" xfId="306"/>
    <cellStyle name="40% - アクセント 5 2 7 2" xfId="916"/>
    <cellStyle name="40% - アクセント 5 2 7 3" xfId="1524"/>
    <cellStyle name="40% - アクセント 5 2 8" xfId="348"/>
    <cellStyle name="40% - アクセント 5 2 8 2" xfId="958"/>
    <cellStyle name="40% - アクセント 5 2 8 3" xfId="1566"/>
    <cellStyle name="40% - アクセント 5 2 9" xfId="390"/>
    <cellStyle name="40% - アクセント 5 2 9 2" xfId="1000"/>
    <cellStyle name="40% - アクセント 5 2 9 3" xfId="1608"/>
    <cellStyle name="40% - アクセント 5 3" xfId="68"/>
    <cellStyle name="40% - アクセント 5 3 10" xfId="446"/>
    <cellStyle name="40% - アクセント 5 3 10 2" xfId="1056"/>
    <cellStyle name="40% - アクセント 5 3 10 3" xfId="1664"/>
    <cellStyle name="40% - アクセント 5 3 11" xfId="506"/>
    <cellStyle name="40% - アクセント 5 3 11 2" xfId="1114"/>
    <cellStyle name="40% - アクセント 5 3 11 3" xfId="1722"/>
    <cellStyle name="40% - アクセント 5 3 12" xfId="678"/>
    <cellStyle name="40% - アクセント 5 3 13" xfId="1286"/>
    <cellStyle name="40% - アクセント 5 3 2" xfId="110"/>
    <cellStyle name="40% - アクセント 5 3 2 2" xfId="720"/>
    <cellStyle name="40% - アクセント 5 3 2 3" xfId="1328"/>
    <cellStyle name="40% - アクセント 5 3 3" xfId="152"/>
    <cellStyle name="40% - アクセント 5 3 3 2" xfId="762"/>
    <cellStyle name="40% - アクセント 5 3 3 3" xfId="1370"/>
    <cellStyle name="40% - アクセント 5 3 4" xfId="194"/>
    <cellStyle name="40% - アクセント 5 3 4 2" xfId="804"/>
    <cellStyle name="40% - アクセント 5 3 4 3" xfId="1412"/>
    <cellStyle name="40% - アクセント 5 3 5" xfId="236"/>
    <cellStyle name="40% - アクセント 5 3 5 2" xfId="846"/>
    <cellStyle name="40% - アクセント 5 3 5 3" xfId="1454"/>
    <cellStyle name="40% - アクセント 5 3 6" xfId="278"/>
    <cellStyle name="40% - アクセント 5 3 6 2" xfId="888"/>
    <cellStyle name="40% - アクセント 5 3 6 3" xfId="1496"/>
    <cellStyle name="40% - アクセント 5 3 7" xfId="320"/>
    <cellStyle name="40% - アクセント 5 3 7 2" xfId="930"/>
    <cellStyle name="40% - アクセント 5 3 7 3" xfId="1538"/>
    <cellStyle name="40% - アクセント 5 3 8" xfId="362"/>
    <cellStyle name="40% - アクセント 5 3 8 2" xfId="972"/>
    <cellStyle name="40% - アクセント 5 3 8 3" xfId="1580"/>
    <cellStyle name="40% - アクセント 5 3 9" xfId="404"/>
    <cellStyle name="40% - アクセント 5 3 9 2" xfId="1014"/>
    <cellStyle name="40% - アクセント 5 3 9 3" xfId="1622"/>
    <cellStyle name="40% - アクセント 5 4" xfId="80"/>
    <cellStyle name="40% - アクセント 5 4 2" xfId="520"/>
    <cellStyle name="40% - アクセント 5 4 2 2" xfId="1128"/>
    <cellStyle name="40% - アクセント 5 4 2 3" xfId="1736"/>
    <cellStyle name="40% - アクセント 5 4 3" xfId="690"/>
    <cellStyle name="40% - アクセント 5 4 4" xfId="1298"/>
    <cellStyle name="40% - アクセント 5 5" xfId="122"/>
    <cellStyle name="40% - アクセント 5 5 2" xfId="534"/>
    <cellStyle name="40% - アクセント 5 5 2 2" xfId="1142"/>
    <cellStyle name="40% - アクセント 5 5 2 3" xfId="1750"/>
    <cellStyle name="40% - アクセント 5 5 3" xfId="732"/>
    <cellStyle name="40% - アクセント 5 5 4" xfId="1340"/>
    <cellStyle name="40% - アクセント 5 6" xfId="164"/>
    <cellStyle name="40% - アクセント 5 6 2" xfId="550"/>
    <cellStyle name="40% - アクセント 5 6 2 2" xfId="1158"/>
    <cellStyle name="40% - アクセント 5 6 2 3" xfId="1766"/>
    <cellStyle name="40% - アクセント 5 6 3" xfId="774"/>
    <cellStyle name="40% - アクセント 5 6 4" xfId="1382"/>
    <cellStyle name="40% - アクセント 5 7" xfId="206"/>
    <cellStyle name="40% - アクセント 5 7 2" xfId="566"/>
    <cellStyle name="40% - アクセント 5 7 2 2" xfId="1174"/>
    <cellStyle name="40% - アクセント 5 7 2 3" xfId="1782"/>
    <cellStyle name="40% - アクセント 5 7 3" xfId="816"/>
    <cellStyle name="40% - アクセント 5 7 4" xfId="1424"/>
    <cellStyle name="40% - アクセント 5 8" xfId="248"/>
    <cellStyle name="40% - アクセント 5 8 2" xfId="580"/>
    <cellStyle name="40% - アクセント 5 8 2 2" xfId="1188"/>
    <cellStyle name="40% - アクセント 5 8 2 3" xfId="1796"/>
    <cellStyle name="40% - アクセント 5 8 3" xfId="858"/>
    <cellStyle name="40% - アクセント 5 8 4" xfId="1466"/>
    <cellStyle name="40% - アクセント 5 9" xfId="290"/>
    <cellStyle name="40% - アクセント 5 9 2" xfId="592"/>
    <cellStyle name="40% - アクセント 5 9 2 2" xfId="1200"/>
    <cellStyle name="40% - アクセント 5 9 2 3" xfId="1808"/>
    <cellStyle name="40% - アクセント 5 9 3" xfId="900"/>
    <cellStyle name="40% - アクセント 5 9 4" xfId="1508"/>
    <cellStyle name="40% - アクセント 6" xfId="39" builtinId="51" customBuiltin="1"/>
    <cellStyle name="40% - アクセント 6 10" xfId="334"/>
    <cellStyle name="40% - アクセント 6 10 2" xfId="608"/>
    <cellStyle name="40% - アクセント 6 10 2 2" xfId="1216"/>
    <cellStyle name="40% - アクセント 6 10 2 3" xfId="1824"/>
    <cellStyle name="40% - アクセント 6 10 3" xfId="944"/>
    <cellStyle name="40% - アクセント 6 10 4" xfId="1552"/>
    <cellStyle name="40% - アクセント 6 11" xfId="376"/>
    <cellStyle name="40% - アクセント 6 11 2" xfId="624"/>
    <cellStyle name="40% - アクセント 6 11 2 2" xfId="1232"/>
    <cellStyle name="40% - アクセント 6 11 2 3" xfId="1840"/>
    <cellStyle name="40% - アクセント 6 11 3" xfId="986"/>
    <cellStyle name="40% - アクセント 6 11 4" xfId="1594"/>
    <cellStyle name="40% - アクセント 6 12" xfId="418"/>
    <cellStyle name="40% - アクセント 6 12 2" xfId="638"/>
    <cellStyle name="40% - アクセント 6 12 2 2" xfId="1246"/>
    <cellStyle name="40% - アクセント 6 12 2 3" xfId="1854"/>
    <cellStyle name="40% - アクセント 6 12 3" xfId="1028"/>
    <cellStyle name="40% - アクセント 6 12 4" xfId="1636"/>
    <cellStyle name="40% - アクセント 6 13" xfId="462"/>
    <cellStyle name="40% - アクセント 6 13 2" xfId="1070"/>
    <cellStyle name="40% - アクセント 6 13 3" xfId="1678"/>
    <cellStyle name="40% - アクセント 6 14" xfId="476"/>
    <cellStyle name="40% - アクセント 6 14 2" xfId="1084"/>
    <cellStyle name="40% - アクセント 6 14 3" xfId="1692"/>
    <cellStyle name="40% - アクセント 6 15" xfId="650"/>
    <cellStyle name="40% - アクセント 6 16" xfId="1258"/>
    <cellStyle name="40% - アクセント 6 2" xfId="56"/>
    <cellStyle name="40% - アクセント 6 2 10" xfId="434"/>
    <cellStyle name="40% - アクセント 6 2 10 2" xfId="1044"/>
    <cellStyle name="40% - アクセント 6 2 10 3" xfId="1652"/>
    <cellStyle name="40% - アクセント 6 2 11" xfId="492"/>
    <cellStyle name="40% - アクセント 6 2 11 2" xfId="1100"/>
    <cellStyle name="40% - アクセント 6 2 11 3" xfId="1708"/>
    <cellStyle name="40% - アクセント 6 2 12" xfId="666"/>
    <cellStyle name="40% - アクセント 6 2 13" xfId="1274"/>
    <cellStyle name="40% - アクセント 6 2 2" xfId="98"/>
    <cellStyle name="40% - アクセント 6 2 2 2" xfId="708"/>
    <cellStyle name="40% - アクセント 6 2 2 3" xfId="1316"/>
    <cellStyle name="40% - アクセント 6 2 3" xfId="140"/>
    <cellStyle name="40% - アクセント 6 2 3 2" xfId="750"/>
    <cellStyle name="40% - アクセント 6 2 3 3" xfId="1358"/>
    <cellStyle name="40% - アクセント 6 2 4" xfId="182"/>
    <cellStyle name="40% - アクセント 6 2 4 2" xfId="792"/>
    <cellStyle name="40% - アクセント 6 2 4 3" xfId="1400"/>
    <cellStyle name="40% - アクセント 6 2 5" xfId="224"/>
    <cellStyle name="40% - アクセント 6 2 5 2" xfId="834"/>
    <cellStyle name="40% - アクセント 6 2 5 3" xfId="1442"/>
    <cellStyle name="40% - アクセント 6 2 6" xfId="266"/>
    <cellStyle name="40% - アクセント 6 2 6 2" xfId="876"/>
    <cellStyle name="40% - アクセント 6 2 6 3" xfId="1484"/>
    <cellStyle name="40% - アクセント 6 2 7" xfId="308"/>
    <cellStyle name="40% - アクセント 6 2 7 2" xfId="918"/>
    <cellStyle name="40% - アクセント 6 2 7 3" xfId="1526"/>
    <cellStyle name="40% - アクセント 6 2 8" xfId="350"/>
    <cellStyle name="40% - アクセント 6 2 8 2" xfId="960"/>
    <cellStyle name="40% - アクセント 6 2 8 3" xfId="1568"/>
    <cellStyle name="40% - アクセント 6 2 9" xfId="392"/>
    <cellStyle name="40% - アクセント 6 2 9 2" xfId="1002"/>
    <cellStyle name="40% - アクセント 6 2 9 3" xfId="1610"/>
    <cellStyle name="40% - アクセント 6 3" xfId="70"/>
    <cellStyle name="40% - アクセント 6 3 10" xfId="448"/>
    <cellStyle name="40% - アクセント 6 3 10 2" xfId="1058"/>
    <cellStyle name="40% - アクセント 6 3 10 3" xfId="1666"/>
    <cellStyle name="40% - アクセント 6 3 11" xfId="508"/>
    <cellStyle name="40% - アクセント 6 3 11 2" xfId="1116"/>
    <cellStyle name="40% - アクセント 6 3 11 3" xfId="1724"/>
    <cellStyle name="40% - アクセント 6 3 12" xfId="680"/>
    <cellStyle name="40% - アクセント 6 3 13" xfId="1288"/>
    <cellStyle name="40% - アクセント 6 3 2" xfId="112"/>
    <cellStyle name="40% - アクセント 6 3 2 2" xfId="722"/>
    <cellStyle name="40% - アクセント 6 3 2 3" xfId="1330"/>
    <cellStyle name="40% - アクセント 6 3 3" xfId="154"/>
    <cellStyle name="40% - アクセント 6 3 3 2" xfId="764"/>
    <cellStyle name="40% - アクセント 6 3 3 3" xfId="1372"/>
    <cellStyle name="40% - アクセント 6 3 4" xfId="196"/>
    <cellStyle name="40% - アクセント 6 3 4 2" xfId="806"/>
    <cellStyle name="40% - アクセント 6 3 4 3" xfId="1414"/>
    <cellStyle name="40% - アクセント 6 3 5" xfId="238"/>
    <cellStyle name="40% - アクセント 6 3 5 2" xfId="848"/>
    <cellStyle name="40% - アクセント 6 3 5 3" xfId="1456"/>
    <cellStyle name="40% - アクセント 6 3 6" xfId="280"/>
    <cellStyle name="40% - アクセント 6 3 6 2" xfId="890"/>
    <cellStyle name="40% - アクセント 6 3 6 3" xfId="1498"/>
    <cellStyle name="40% - アクセント 6 3 7" xfId="322"/>
    <cellStyle name="40% - アクセント 6 3 7 2" xfId="932"/>
    <cellStyle name="40% - アクセント 6 3 7 3" xfId="1540"/>
    <cellStyle name="40% - アクセント 6 3 8" xfId="364"/>
    <cellStyle name="40% - アクセント 6 3 8 2" xfId="974"/>
    <cellStyle name="40% - アクセント 6 3 8 3" xfId="1582"/>
    <cellStyle name="40% - アクセント 6 3 9" xfId="406"/>
    <cellStyle name="40% - アクセント 6 3 9 2" xfId="1016"/>
    <cellStyle name="40% - アクセント 6 3 9 3" xfId="1624"/>
    <cellStyle name="40% - アクセント 6 4" xfId="82"/>
    <cellStyle name="40% - アクセント 6 4 2" xfId="522"/>
    <cellStyle name="40% - アクセント 6 4 2 2" xfId="1130"/>
    <cellStyle name="40% - アクセント 6 4 2 3" xfId="1738"/>
    <cellStyle name="40% - アクセント 6 4 3" xfId="692"/>
    <cellStyle name="40% - アクセント 6 4 4" xfId="1300"/>
    <cellStyle name="40% - アクセント 6 5" xfId="124"/>
    <cellStyle name="40% - アクセント 6 5 2" xfId="536"/>
    <cellStyle name="40% - アクセント 6 5 2 2" xfId="1144"/>
    <cellStyle name="40% - アクセント 6 5 2 3" xfId="1752"/>
    <cellStyle name="40% - アクセント 6 5 3" xfId="734"/>
    <cellStyle name="40% - アクセント 6 5 4" xfId="1342"/>
    <cellStyle name="40% - アクセント 6 6" xfId="166"/>
    <cellStyle name="40% - アクセント 6 6 2" xfId="552"/>
    <cellStyle name="40% - アクセント 6 6 2 2" xfId="1160"/>
    <cellStyle name="40% - アクセント 6 6 2 3" xfId="1768"/>
    <cellStyle name="40% - アクセント 6 6 3" xfId="776"/>
    <cellStyle name="40% - アクセント 6 6 4" xfId="1384"/>
    <cellStyle name="40% - アクセント 6 7" xfId="208"/>
    <cellStyle name="40% - アクセント 6 7 2" xfId="568"/>
    <cellStyle name="40% - アクセント 6 7 2 2" xfId="1176"/>
    <cellStyle name="40% - アクセント 6 7 2 3" xfId="1784"/>
    <cellStyle name="40% - アクセント 6 7 3" xfId="818"/>
    <cellStyle name="40% - アクセント 6 7 4" xfId="1426"/>
    <cellStyle name="40% - アクセント 6 8" xfId="250"/>
    <cellStyle name="40% - アクセント 6 8 2" xfId="582"/>
    <cellStyle name="40% - アクセント 6 8 2 2" xfId="1190"/>
    <cellStyle name="40% - アクセント 6 8 2 3" xfId="1798"/>
    <cellStyle name="40% - アクセント 6 8 3" xfId="860"/>
    <cellStyle name="40% - アクセント 6 8 4" xfId="1468"/>
    <cellStyle name="40% - アクセント 6 9" xfId="292"/>
    <cellStyle name="40% - アクセント 6 9 2" xfId="594"/>
    <cellStyle name="40% - アクセント 6 9 2 2" xfId="1202"/>
    <cellStyle name="40% - アクセント 6 9 2 3" xfId="1810"/>
    <cellStyle name="40% - アクセント 6 9 3" xfId="902"/>
    <cellStyle name="40% - アクセント 6 9 4" xfId="1510"/>
    <cellStyle name="60% - アクセント 1" xfId="20" builtinId="32" customBuiltin="1"/>
    <cellStyle name="60% - アクセント 2" xfId="24" builtinId="36" customBuiltin="1"/>
    <cellStyle name="60% - アクセント 3" xfId="28" builtinId="40" customBuiltin="1"/>
    <cellStyle name="60% - アクセント 4" xfId="32" builtinId="44" customBuiltin="1"/>
    <cellStyle name="60% - アクセント 5" xfId="36" builtinId="48" customBuiltin="1"/>
    <cellStyle name="60% - アクセント 6" xfId="40" builtinId="52" customBuiltin="1"/>
    <cellStyle name="アクセント 1" xfId="17" builtinId="29" customBuiltin="1"/>
    <cellStyle name="アクセント 2" xfId="21" builtinId="33" customBuiltin="1"/>
    <cellStyle name="アクセント 3" xfId="25" builtinId="37" customBuiltin="1"/>
    <cellStyle name="アクセント 4" xfId="29" builtinId="41" customBuiltin="1"/>
    <cellStyle name="アクセント 5" xfId="33" builtinId="45" customBuiltin="1"/>
    <cellStyle name="アクセント 6" xfId="37" builtinId="49" customBuiltin="1"/>
    <cellStyle name="タイトル" xfId="1" builtinId="15" customBuiltin="1"/>
    <cellStyle name="チェック セル" xfId="13" builtinId="23" customBuiltin="1"/>
    <cellStyle name="どちらでもない" xfId="8" builtinId="28" customBuiltin="1"/>
    <cellStyle name="ハイパーリンク" xfId="1855" builtinId="8"/>
    <cellStyle name="メモ 10" xfId="612"/>
    <cellStyle name="メモ 10 2" xfId="1220"/>
    <cellStyle name="メモ 10 3" xfId="1828"/>
    <cellStyle name="メモ 11" xfId="626"/>
    <cellStyle name="メモ 11 2" xfId="1234"/>
    <cellStyle name="メモ 11 3" xfId="1842"/>
    <cellStyle name="メモ 2" xfId="42"/>
    <cellStyle name="メモ 2 10" xfId="420"/>
    <cellStyle name="メモ 2 10 2" xfId="1030"/>
    <cellStyle name="メモ 2 10 3" xfId="1638"/>
    <cellStyle name="メモ 2 11" xfId="464"/>
    <cellStyle name="メモ 2 11 2" xfId="1072"/>
    <cellStyle name="メモ 2 11 3" xfId="1680"/>
    <cellStyle name="メモ 2 12" xfId="478"/>
    <cellStyle name="メモ 2 12 2" xfId="1086"/>
    <cellStyle name="メモ 2 12 3" xfId="1694"/>
    <cellStyle name="メモ 2 13" xfId="652"/>
    <cellStyle name="メモ 2 14" xfId="1260"/>
    <cellStyle name="メモ 2 2" xfId="84"/>
    <cellStyle name="メモ 2 2 2" xfId="494"/>
    <cellStyle name="メモ 2 2 2 2" xfId="1102"/>
    <cellStyle name="メモ 2 2 2 3" xfId="1710"/>
    <cellStyle name="メモ 2 2 3" xfId="694"/>
    <cellStyle name="メモ 2 2 4" xfId="1302"/>
    <cellStyle name="メモ 2 3" xfId="126"/>
    <cellStyle name="メモ 2 3 2" xfId="538"/>
    <cellStyle name="メモ 2 3 2 2" xfId="1146"/>
    <cellStyle name="メモ 2 3 2 3" xfId="1754"/>
    <cellStyle name="メモ 2 3 3" xfId="736"/>
    <cellStyle name="メモ 2 3 4" xfId="1344"/>
    <cellStyle name="メモ 2 4" xfId="168"/>
    <cellStyle name="メモ 2 4 2" xfId="554"/>
    <cellStyle name="メモ 2 4 2 2" xfId="1162"/>
    <cellStyle name="メモ 2 4 2 3" xfId="1770"/>
    <cellStyle name="メモ 2 4 3" xfId="778"/>
    <cellStyle name="メモ 2 4 4" xfId="1386"/>
    <cellStyle name="メモ 2 5" xfId="210"/>
    <cellStyle name="メモ 2 5 2" xfId="596"/>
    <cellStyle name="メモ 2 5 2 2" xfId="1204"/>
    <cellStyle name="メモ 2 5 2 3" xfId="1812"/>
    <cellStyle name="メモ 2 5 3" xfId="820"/>
    <cellStyle name="メモ 2 5 4" xfId="1428"/>
    <cellStyle name="メモ 2 6" xfId="252"/>
    <cellStyle name="メモ 2 6 2" xfId="610"/>
    <cellStyle name="メモ 2 6 2 2" xfId="1218"/>
    <cellStyle name="メモ 2 6 2 3" xfId="1826"/>
    <cellStyle name="メモ 2 6 3" xfId="862"/>
    <cellStyle name="メモ 2 6 4" xfId="1470"/>
    <cellStyle name="メモ 2 7" xfId="294"/>
    <cellStyle name="メモ 2 7 2" xfId="904"/>
    <cellStyle name="メモ 2 7 3" xfId="1512"/>
    <cellStyle name="メモ 2 8" xfId="336"/>
    <cellStyle name="メモ 2 8 2" xfId="946"/>
    <cellStyle name="メモ 2 8 3" xfId="1554"/>
    <cellStyle name="メモ 2 9" xfId="378"/>
    <cellStyle name="メモ 2 9 2" xfId="988"/>
    <cellStyle name="メモ 2 9 3" xfId="1596"/>
    <cellStyle name="メモ 3" xfId="44"/>
    <cellStyle name="メモ 3 10" xfId="422"/>
    <cellStyle name="メモ 3 10 2" xfId="1032"/>
    <cellStyle name="メモ 3 10 3" xfId="1640"/>
    <cellStyle name="メモ 3 11" xfId="480"/>
    <cellStyle name="メモ 3 11 2" xfId="1088"/>
    <cellStyle name="メモ 3 11 3" xfId="1696"/>
    <cellStyle name="メモ 3 12" xfId="654"/>
    <cellStyle name="メモ 3 13" xfId="1262"/>
    <cellStyle name="メモ 3 2" xfId="86"/>
    <cellStyle name="メモ 3 2 2" xfId="696"/>
    <cellStyle name="メモ 3 2 3" xfId="1304"/>
    <cellStyle name="メモ 3 3" xfId="128"/>
    <cellStyle name="メモ 3 3 2" xfId="738"/>
    <cellStyle name="メモ 3 3 3" xfId="1346"/>
    <cellStyle name="メモ 3 4" xfId="170"/>
    <cellStyle name="メモ 3 4 2" xfId="780"/>
    <cellStyle name="メモ 3 4 3" xfId="1388"/>
    <cellStyle name="メモ 3 5" xfId="212"/>
    <cellStyle name="メモ 3 5 2" xfId="822"/>
    <cellStyle name="メモ 3 5 3" xfId="1430"/>
    <cellStyle name="メモ 3 6" xfId="254"/>
    <cellStyle name="メモ 3 6 2" xfId="864"/>
    <cellStyle name="メモ 3 6 3" xfId="1472"/>
    <cellStyle name="メモ 3 7" xfId="296"/>
    <cellStyle name="メモ 3 7 2" xfId="906"/>
    <cellStyle name="メモ 3 7 3" xfId="1514"/>
    <cellStyle name="メモ 3 8" xfId="338"/>
    <cellStyle name="メモ 3 8 2" xfId="948"/>
    <cellStyle name="メモ 3 8 3" xfId="1556"/>
    <cellStyle name="メモ 3 9" xfId="380"/>
    <cellStyle name="メモ 3 9 2" xfId="990"/>
    <cellStyle name="メモ 3 9 3" xfId="1598"/>
    <cellStyle name="メモ 4" xfId="58"/>
    <cellStyle name="メモ 4 10" xfId="436"/>
    <cellStyle name="メモ 4 10 2" xfId="1046"/>
    <cellStyle name="メモ 4 10 3" xfId="1654"/>
    <cellStyle name="メモ 4 11" xfId="496"/>
    <cellStyle name="メモ 4 11 2" xfId="1104"/>
    <cellStyle name="メモ 4 11 3" xfId="1712"/>
    <cellStyle name="メモ 4 12" xfId="668"/>
    <cellStyle name="メモ 4 13" xfId="1276"/>
    <cellStyle name="メモ 4 2" xfId="100"/>
    <cellStyle name="メモ 4 2 2" xfId="710"/>
    <cellStyle name="メモ 4 2 3" xfId="1318"/>
    <cellStyle name="メモ 4 3" xfId="142"/>
    <cellStyle name="メモ 4 3 2" xfId="752"/>
    <cellStyle name="メモ 4 3 3" xfId="1360"/>
    <cellStyle name="メモ 4 4" xfId="184"/>
    <cellStyle name="メモ 4 4 2" xfId="794"/>
    <cellStyle name="メモ 4 4 3" xfId="1402"/>
    <cellStyle name="メモ 4 5" xfId="226"/>
    <cellStyle name="メモ 4 5 2" xfId="836"/>
    <cellStyle name="メモ 4 5 3" xfId="1444"/>
    <cellStyle name="メモ 4 6" xfId="268"/>
    <cellStyle name="メモ 4 6 2" xfId="878"/>
    <cellStyle name="メモ 4 6 3" xfId="1486"/>
    <cellStyle name="メモ 4 7" xfId="310"/>
    <cellStyle name="メモ 4 7 2" xfId="920"/>
    <cellStyle name="メモ 4 7 3" xfId="1528"/>
    <cellStyle name="メモ 4 8" xfId="352"/>
    <cellStyle name="メモ 4 8 2" xfId="962"/>
    <cellStyle name="メモ 4 8 3" xfId="1570"/>
    <cellStyle name="メモ 4 9" xfId="394"/>
    <cellStyle name="メモ 4 9 2" xfId="1004"/>
    <cellStyle name="メモ 4 9 3" xfId="1612"/>
    <cellStyle name="メモ 5" xfId="510"/>
    <cellStyle name="メモ 5 2" xfId="1118"/>
    <cellStyle name="メモ 5 3" xfId="1726"/>
    <cellStyle name="メモ 6" xfId="524"/>
    <cellStyle name="メモ 6 2" xfId="1132"/>
    <cellStyle name="メモ 6 3" xfId="1740"/>
    <cellStyle name="メモ 7" xfId="540"/>
    <cellStyle name="メモ 7 2" xfId="1148"/>
    <cellStyle name="メモ 7 3" xfId="1756"/>
    <cellStyle name="メモ 8" xfId="556"/>
    <cellStyle name="メモ 8 2" xfId="1164"/>
    <cellStyle name="メモ 8 3" xfId="1772"/>
    <cellStyle name="メモ 9" xfId="570"/>
    <cellStyle name="メモ 9 2" xfId="1178"/>
    <cellStyle name="メモ 9 3" xfId="1786"/>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6" builtinId="25" customBuiltin="1"/>
    <cellStyle name="出力" xfId="10" builtinId="21" customBuiltin="1"/>
    <cellStyle name="説明文" xfId="15" builtinId="53" customBuiltin="1"/>
    <cellStyle name="入力" xfId="9" builtinId="20" customBuiltin="1"/>
    <cellStyle name="標準" xfId="0" builtinId="0"/>
    <cellStyle name="標準 10" xfId="569"/>
    <cellStyle name="標準 10 2" xfId="1177"/>
    <cellStyle name="標準 10 3" xfId="1785"/>
    <cellStyle name="標準 11" xfId="611"/>
    <cellStyle name="標準 11 2" xfId="1219"/>
    <cellStyle name="標準 11 3" xfId="1827"/>
    <cellStyle name="標準 12" xfId="625"/>
    <cellStyle name="標準 12 2" xfId="1233"/>
    <cellStyle name="標準 12 3" xfId="1841"/>
    <cellStyle name="標準 2" xfId="41"/>
    <cellStyle name="標準 2 10" xfId="419"/>
    <cellStyle name="標準 2 10 2" xfId="1029"/>
    <cellStyle name="標準 2 10 3" xfId="1637"/>
    <cellStyle name="標準 2 11" xfId="450"/>
    <cellStyle name="標準 2 12" xfId="651"/>
    <cellStyle name="標準 2 13" xfId="1259"/>
    <cellStyle name="標準 2 2" xfId="83"/>
    <cellStyle name="標準 2 2 2" xfId="693"/>
    <cellStyle name="標準 2 2 3" xfId="1301"/>
    <cellStyle name="標準 2 3" xfId="125"/>
    <cellStyle name="標準 2 3 2" xfId="735"/>
    <cellStyle name="標準 2 3 3" xfId="1343"/>
    <cellStyle name="標準 2 4" xfId="167"/>
    <cellStyle name="標準 2 4 2" xfId="777"/>
    <cellStyle name="標準 2 4 3" xfId="1385"/>
    <cellStyle name="標準 2 5" xfId="209"/>
    <cellStyle name="標準 2 5 2" xfId="819"/>
    <cellStyle name="標準 2 5 3" xfId="1427"/>
    <cellStyle name="標準 2 6" xfId="251"/>
    <cellStyle name="標準 2 6 2" xfId="861"/>
    <cellStyle name="標準 2 6 3" xfId="1469"/>
    <cellStyle name="標準 2 7" xfId="293"/>
    <cellStyle name="標準 2 7 2" xfId="903"/>
    <cellStyle name="標準 2 7 3" xfId="1511"/>
    <cellStyle name="標準 2 8" xfId="335"/>
    <cellStyle name="標準 2 8 2" xfId="945"/>
    <cellStyle name="標準 2 8 3" xfId="1553"/>
    <cellStyle name="標準 2 9" xfId="377"/>
    <cellStyle name="標準 2 9 2" xfId="987"/>
    <cellStyle name="標準 2 9 3" xfId="1595"/>
    <cellStyle name="標準 3" xfId="43"/>
    <cellStyle name="標準 3 10" xfId="421"/>
    <cellStyle name="標準 3 10 2" xfId="1031"/>
    <cellStyle name="標準 3 10 3" xfId="1639"/>
    <cellStyle name="標準 3 11" xfId="463"/>
    <cellStyle name="標準 3 11 2" xfId="1071"/>
    <cellStyle name="標準 3 11 3" xfId="1679"/>
    <cellStyle name="標準 3 12" xfId="477"/>
    <cellStyle name="標準 3 12 2" xfId="1085"/>
    <cellStyle name="標準 3 12 3" xfId="1693"/>
    <cellStyle name="標準 3 13" xfId="653"/>
    <cellStyle name="標準 3 14" xfId="1261"/>
    <cellStyle name="標準 3 2" xfId="85"/>
    <cellStyle name="標準 3 2 2" xfId="493"/>
    <cellStyle name="標準 3 2 2 2" xfId="1101"/>
    <cellStyle name="標準 3 2 2 3" xfId="1709"/>
    <cellStyle name="標準 3 2 3" xfId="695"/>
    <cellStyle name="標準 3 2 4" xfId="1303"/>
    <cellStyle name="標準 3 3" xfId="127"/>
    <cellStyle name="標準 3 3 2" xfId="537"/>
    <cellStyle name="標準 3 3 2 2" xfId="1145"/>
    <cellStyle name="標準 3 3 2 3" xfId="1753"/>
    <cellStyle name="標準 3 3 3" xfId="737"/>
    <cellStyle name="標準 3 3 4" xfId="1345"/>
    <cellStyle name="標準 3 4" xfId="169"/>
    <cellStyle name="標準 3 4 2" xfId="553"/>
    <cellStyle name="標準 3 4 2 2" xfId="1161"/>
    <cellStyle name="標準 3 4 2 3" xfId="1769"/>
    <cellStyle name="標準 3 4 3" xfId="779"/>
    <cellStyle name="標準 3 4 4" xfId="1387"/>
    <cellStyle name="標準 3 5" xfId="211"/>
    <cellStyle name="標準 3 5 2" xfId="595"/>
    <cellStyle name="標準 3 5 2 2" xfId="1203"/>
    <cellStyle name="標準 3 5 2 3" xfId="1811"/>
    <cellStyle name="標準 3 5 3" xfId="821"/>
    <cellStyle name="標準 3 5 4" xfId="1429"/>
    <cellStyle name="標準 3 6" xfId="253"/>
    <cellStyle name="標準 3 6 2" xfId="609"/>
    <cellStyle name="標準 3 6 2 2" xfId="1217"/>
    <cellStyle name="標準 3 6 2 3" xfId="1825"/>
    <cellStyle name="標準 3 6 3" xfId="863"/>
    <cellStyle name="標準 3 6 4" xfId="1471"/>
    <cellStyle name="標準 3 7" xfId="295"/>
    <cellStyle name="標準 3 7 2" xfId="905"/>
    <cellStyle name="標準 3 7 3" xfId="1513"/>
    <cellStyle name="標準 3 8" xfId="337"/>
    <cellStyle name="標準 3 8 2" xfId="947"/>
    <cellStyle name="標準 3 8 3" xfId="1555"/>
    <cellStyle name="標準 3 9" xfId="379"/>
    <cellStyle name="標準 3 9 2" xfId="989"/>
    <cellStyle name="標準 3 9 3" xfId="1597"/>
    <cellStyle name="標準 4" xfId="57"/>
    <cellStyle name="標準 4 10" xfId="435"/>
    <cellStyle name="標準 4 10 2" xfId="1045"/>
    <cellStyle name="標準 4 10 3" xfId="1653"/>
    <cellStyle name="標準 4 11" xfId="479"/>
    <cellStyle name="標準 4 11 2" xfId="1087"/>
    <cellStyle name="標準 4 11 3" xfId="1695"/>
    <cellStyle name="標準 4 12" xfId="667"/>
    <cellStyle name="標準 4 13" xfId="1275"/>
    <cellStyle name="標準 4 2" xfId="99"/>
    <cellStyle name="標準 4 2 2" xfId="709"/>
    <cellStyle name="標準 4 2 3" xfId="1317"/>
    <cellStyle name="標準 4 3" xfId="141"/>
    <cellStyle name="標準 4 3 2" xfId="751"/>
    <cellStyle name="標準 4 3 3" xfId="1359"/>
    <cellStyle name="標準 4 4" xfId="183"/>
    <cellStyle name="標準 4 4 2" xfId="793"/>
    <cellStyle name="標準 4 4 3" xfId="1401"/>
    <cellStyle name="標準 4 5" xfId="225"/>
    <cellStyle name="標準 4 5 2" xfId="835"/>
    <cellStyle name="標準 4 5 3" xfId="1443"/>
    <cellStyle name="標準 4 6" xfId="267"/>
    <cellStyle name="標準 4 6 2" xfId="877"/>
    <cellStyle name="標準 4 6 3" xfId="1485"/>
    <cellStyle name="標準 4 7" xfId="309"/>
    <cellStyle name="標準 4 7 2" xfId="919"/>
    <cellStyle name="標準 4 7 3" xfId="1527"/>
    <cellStyle name="標準 4 8" xfId="351"/>
    <cellStyle name="標準 4 8 2" xfId="961"/>
    <cellStyle name="標準 4 8 3" xfId="1569"/>
    <cellStyle name="標準 4 9" xfId="393"/>
    <cellStyle name="標準 4 9 2" xfId="1003"/>
    <cellStyle name="標準 4 9 3" xfId="1611"/>
    <cellStyle name="標準 5" xfId="449"/>
    <cellStyle name="標準 5 2" xfId="495"/>
    <cellStyle name="標準 5 2 2" xfId="1103"/>
    <cellStyle name="標準 5 2 3" xfId="1711"/>
    <cellStyle name="標準 6" xfId="509"/>
    <cellStyle name="標準 6 2" xfId="1117"/>
    <cellStyle name="標準 6 3" xfId="1725"/>
    <cellStyle name="標準 7" xfId="523"/>
    <cellStyle name="標準 7 2" xfId="1131"/>
    <cellStyle name="標準 7 3" xfId="1739"/>
    <cellStyle name="標準 8" xfId="539"/>
    <cellStyle name="標準 8 2" xfId="1147"/>
    <cellStyle name="標準 8 3" xfId="1755"/>
    <cellStyle name="標準 9" xfId="555"/>
    <cellStyle name="標準 9 2" xfId="1163"/>
    <cellStyle name="標準 9 3" xfId="1771"/>
    <cellStyle name="良い" xfId="6" builtinId="26" customBuiltin="1"/>
  </cellStyles>
  <dxfs count="25">
    <dxf>
      <fill>
        <patternFill>
          <bgColor theme="8" tint="0.39994506668294322"/>
        </patternFill>
      </fill>
    </dxf>
    <dxf>
      <font>
        <color theme="0"/>
      </font>
      <fill>
        <patternFill>
          <bgColor theme="8" tint="-0.499984740745262"/>
        </patternFill>
      </fill>
    </dxf>
    <dxf>
      <fill>
        <patternFill>
          <bgColor theme="5" tint="0.39994506668294322"/>
        </patternFill>
      </fill>
    </dxf>
    <dxf>
      <font>
        <color theme="0"/>
      </font>
      <fill>
        <patternFill>
          <bgColor theme="5" tint="-0.499984740745262"/>
        </patternFill>
      </fill>
    </dxf>
    <dxf>
      <fill>
        <patternFill>
          <bgColor theme="8" tint="0.39994506668294322"/>
        </patternFill>
      </fill>
    </dxf>
    <dxf>
      <font>
        <color theme="0"/>
      </font>
      <fill>
        <patternFill>
          <bgColor theme="8" tint="-0.499984740745262"/>
        </patternFill>
      </fill>
    </dxf>
    <dxf>
      <fill>
        <patternFill>
          <bgColor theme="5" tint="0.39994506668294322"/>
        </patternFill>
      </fill>
    </dxf>
    <dxf>
      <font>
        <color theme="0"/>
      </font>
      <fill>
        <patternFill>
          <bgColor theme="5" tint="-0.499984740745262"/>
        </patternFill>
      </fill>
    </dxf>
    <dxf>
      <fill>
        <patternFill>
          <bgColor theme="7" tint="0.79998168889431442"/>
        </patternFill>
      </fill>
    </dxf>
    <dxf>
      <fill>
        <patternFill>
          <bgColor theme="7" tint="0.39994506668294322"/>
        </patternFill>
      </fill>
    </dxf>
    <dxf>
      <font>
        <color theme="0"/>
      </font>
      <fill>
        <patternFill>
          <bgColor theme="7" tint="-0.499984740745262"/>
        </patternFill>
      </fill>
    </dxf>
    <dxf>
      <fill>
        <patternFill>
          <bgColor theme="6" tint="0.79998168889431442"/>
        </patternFill>
      </fill>
    </dxf>
    <dxf>
      <fill>
        <patternFill>
          <bgColor theme="6" tint="0.39994506668294322"/>
        </patternFill>
      </fill>
    </dxf>
    <dxf>
      <font>
        <color theme="0"/>
      </font>
      <fill>
        <patternFill>
          <bgColor theme="6" tint="-0.499984740745262"/>
        </patternFill>
      </fill>
    </dxf>
    <dxf>
      <fill>
        <patternFill>
          <bgColor theme="0" tint="-0.24994659260841701"/>
        </patternFill>
      </fill>
    </dxf>
    <dxf>
      <font>
        <color theme="0"/>
      </font>
      <fill>
        <patternFill>
          <bgColor theme="4" tint="-0.499984740745262"/>
        </patternFill>
      </fill>
    </dxf>
    <dxf>
      <fill>
        <patternFill>
          <bgColor theme="4" tint="0.39994506668294322"/>
        </patternFill>
      </fill>
    </dxf>
    <dxf>
      <fill>
        <patternFill>
          <bgColor theme="4" tint="0.59996337778862885"/>
        </patternFill>
      </fill>
    </dxf>
    <dxf>
      <fill>
        <patternFill>
          <bgColor theme="5" tint="0.59996337778862885"/>
        </patternFill>
      </fill>
    </dxf>
    <dxf>
      <fill>
        <patternFill>
          <bgColor theme="4" tint="0.59996337778862885"/>
        </patternFill>
      </fill>
    </dxf>
    <dxf>
      <font>
        <color theme="0"/>
      </font>
      <fill>
        <patternFill>
          <bgColor theme="5" tint="-0.499984740745262"/>
        </patternFill>
      </fill>
    </dxf>
    <dxf>
      <fill>
        <patternFill>
          <bgColor theme="5" tint="0.39994506668294322"/>
        </patternFill>
      </fill>
    </dxf>
    <dxf>
      <fill>
        <patternFill>
          <bgColor theme="5" tint="0.59996337778862885"/>
        </patternFill>
      </fill>
    </dxf>
    <dxf>
      <fill>
        <patternFill>
          <bgColor theme="5" tint="0.79998168889431442"/>
        </patternFill>
      </fill>
    </dxf>
    <dxf>
      <font>
        <color theme="0" tint="-0.24994659260841701"/>
      </font>
      <fill>
        <patternFill>
          <bgColor theme="0" tint="-4.9989318521683403E-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53340</xdr:rowOff>
        </xdr:from>
        <xdr:to>
          <xdr:col>1</xdr:col>
          <xdr:colOff>998220</xdr:colOff>
          <xdr:row>1</xdr:row>
          <xdr:rowOff>83820</xdr:rowOff>
        </xdr:to>
        <xdr:sp macro="" textlink="">
          <xdr:nvSpPr>
            <xdr:cNvPr id="3167" name="Button 95" hidden="1">
              <a:extLst>
                <a:ext uri="{63B3BB69-23CF-44E3-9099-C40C66FF867C}">
                  <a14:compatExt spid="_x0000_s316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予測値入力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1089660</xdr:colOff>
          <xdr:row>0</xdr:row>
          <xdr:rowOff>53340</xdr:rowOff>
        </xdr:from>
        <xdr:to>
          <xdr:col>2</xdr:col>
          <xdr:colOff>114300</xdr:colOff>
          <xdr:row>1</xdr:row>
          <xdr:rowOff>83820</xdr:rowOff>
        </xdr:to>
        <xdr:sp macro="" textlink="">
          <xdr:nvSpPr>
            <xdr:cNvPr id="3168" name="Button 96" hidden="1">
              <a:extLst>
                <a:ext uri="{63B3BB69-23CF-44E3-9099-C40C66FF867C}">
                  <a14:compatExt spid="_x0000_s316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106680</xdr:colOff>
          <xdr:row>0</xdr:row>
          <xdr:rowOff>60960</xdr:rowOff>
        </xdr:from>
        <xdr:to>
          <xdr:col>7</xdr:col>
          <xdr:colOff>213360</xdr:colOff>
          <xdr:row>1</xdr:row>
          <xdr:rowOff>91440</xdr:rowOff>
        </xdr:to>
        <xdr:sp macro="" textlink="">
          <xdr:nvSpPr>
            <xdr:cNvPr id="3169" name="Button 97" hidden="1">
              <a:extLst>
                <a:ext uri="{63B3BB69-23CF-44E3-9099-C40C66FF867C}">
                  <a14:compatExt spid="_x0000_s3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wikiデータ生成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281940</xdr:colOff>
          <xdr:row>0</xdr:row>
          <xdr:rowOff>53340</xdr:rowOff>
        </xdr:from>
        <xdr:to>
          <xdr:col>10</xdr:col>
          <xdr:colOff>68580</xdr:colOff>
          <xdr:row>1</xdr:row>
          <xdr:rowOff>99060</xdr:rowOff>
        </xdr:to>
        <xdr:sp macro="" textlink="">
          <xdr:nvSpPr>
            <xdr:cNvPr id="3170" name="Button 98" hidden="1">
              <a:extLst>
                <a:ext uri="{63B3BB69-23CF-44E3-9099-C40C66FF867C}">
                  <a14:compatExt spid="_x0000_s3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wiki個別生成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137160</xdr:colOff>
          <xdr:row>0</xdr:row>
          <xdr:rowOff>53340</xdr:rowOff>
        </xdr:from>
        <xdr:to>
          <xdr:col>11</xdr:col>
          <xdr:colOff>472440</xdr:colOff>
          <xdr:row>1</xdr:row>
          <xdr:rowOff>99060</xdr:rowOff>
        </xdr:to>
        <xdr:sp macro="" textlink="">
          <xdr:nvSpPr>
            <xdr:cNvPr id="3171" name="Button 99" hidden="1">
              <a:extLst>
                <a:ext uri="{63B3BB69-23CF-44E3-9099-C40C66FF867C}">
                  <a14:compatExt spid="_x0000_s317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Myリゾート用</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312420</xdr:colOff>
          <xdr:row>12</xdr:row>
          <xdr:rowOff>83820</xdr:rowOff>
        </xdr:from>
        <xdr:to>
          <xdr:col>1</xdr:col>
          <xdr:colOff>1310640</xdr:colOff>
          <xdr:row>13</xdr:row>
          <xdr:rowOff>121920</xdr:rowOff>
        </xdr:to>
        <xdr:sp macro="" textlink="">
          <xdr:nvSpPr>
            <xdr:cNvPr id="1026049" name="Button 1" hidden="1">
              <a:extLst>
                <a:ext uri="{63B3BB69-23CF-44E3-9099-C40C66FF867C}">
                  <a14:compatExt spid="_x0000_s1026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全一覧作成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143385</xdr:colOff>
      <xdr:row>1</xdr:row>
      <xdr:rowOff>15233</xdr:rowOff>
    </xdr:from>
    <xdr:to>
      <xdr:col>1</xdr:col>
      <xdr:colOff>742942</xdr:colOff>
      <xdr:row>2</xdr:row>
      <xdr:rowOff>83458</xdr:rowOff>
    </xdr:to>
    <xdr:sp macro="" textlink="">
      <xdr:nvSpPr>
        <xdr:cNvPr id="2" name="角丸四角形 1"/>
        <xdr:cNvSpPr/>
      </xdr:nvSpPr>
      <xdr:spPr>
        <a:xfrm>
          <a:off x="143385" y="191838"/>
          <a:ext cx="843397" cy="235865"/>
        </a:xfrm>
        <a:prstGeom prst="roundRect">
          <a:avLst/>
        </a:prstGeom>
        <a:solidFill>
          <a:schemeClr val="bg1"/>
        </a:solidFill>
        <a:ln>
          <a:solidFill>
            <a:schemeClr val="bg1">
              <a:lumMod val="75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900">
              <a:solidFill>
                <a:schemeClr val="accent2">
                  <a:lumMod val="75000"/>
                </a:schemeClr>
              </a:solidFill>
            </a:rPr>
            <a:t>数値確認用</a:t>
          </a:r>
        </a:p>
      </xdr:txBody>
    </xdr:sp>
    <xdr:clientData/>
  </xdr:twoCellAnchor>
  <xdr:twoCellAnchor editAs="absolute">
    <xdr:from>
      <xdr:col>0</xdr:col>
      <xdr:colOff>116526</xdr:colOff>
      <xdr:row>2</xdr:row>
      <xdr:rowOff>101128</xdr:rowOff>
    </xdr:from>
    <xdr:to>
      <xdr:col>3</xdr:col>
      <xdr:colOff>51097</xdr:colOff>
      <xdr:row>6</xdr:row>
      <xdr:rowOff>82468</xdr:rowOff>
    </xdr:to>
    <xdr:sp macro="" textlink="">
      <xdr:nvSpPr>
        <xdr:cNvPr id="3" name="角丸四角形 2"/>
        <xdr:cNvSpPr/>
      </xdr:nvSpPr>
      <xdr:spPr>
        <a:xfrm flipH="1">
          <a:off x="116526" y="445373"/>
          <a:ext cx="2083411" cy="651900"/>
        </a:xfrm>
        <a:prstGeom prst="roundRect">
          <a:avLst/>
        </a:prstGeom>
        <a:solidFill>
          <a:schemeClr val="bg1"/>
        </a:solidFill>
        <a:ln>
          <a:solidFill>
            <a:schemeClr val="bg1">
              <a:lumMod val="85000"/>
            </a:schemeClr>
          </a:solidFill>
        </a:ln>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0</xdr:col>
      <xdr:colOff>170257</xdr:colOff>
      <xdr:row>4</xdr:row>
      <xdr:rowOff>149237</xdr:rowOff>
    </xdr:from>
    <xdr:to>
      <xdr:col>1</xdr:col>
      <xdr:colOff>644465</xdr:colOff>
      <xdr:row>6</xdr:row>
      <xdr:rowOff>69322</xdr:rowOff>
    </xdr:to>
    <xdr:sp macro="" textlink="">
      <xdr:nvSpPr>
        <xdr:cNvPr id="4" name="テキスト ボックス 3"/>
        <xdr:cNvSpPr txBox="1"/>
      </xdr:nvSpPr>
      <xdr:spPr>
        <a:xfrm>
          <a:off x="170257" y="828761"/>
          <a:ext cx="718048" cy="25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ja-JP" altLang="en-US" sz="900" b="1" i="0">
              <a:solidFill>
                <a:schemeClr val="accent2">
                  <a:lumMod val="75000"/>
                </a:schemeClr>
              </a:solidFill>
            </a:rPr>
            <a:t>来島者数  </a:t>
          </a:r>
          <a:endParaRPr kumimoji="1" lang="ja-JP" altLang="en-US" sz="1100" b="1" i="0">
            <a:solidFill>
              <a:schemeClr val="accent2">
                <a:lumMod val="75000"/>
              </a:schemeClr>
            </a:solidFill>
          </a:endParaRPr>
        </a:p>
      </xdr:txBody>
    </xdr:sp>
    <xdr:clientData/>
  </xdr:twoCellAnchor>
  <xdr:twoCellAnchor editAs="absolute">
    <xdr:from>
      <xdr:col>0</xdr:col>
      <xdr:colOff>170250</xdr:colOff>
      <xdr:row>3</xdr:row>
      <xdr:rowOff>153775</xdr:rowOff>
    </xdr:from>
    <xdr:to>
      <xdr:col>1</xdr:col>
      <xdr:colOff>349008</xdr:colOff>
      <xdr:row>5</xdr:row>
      <xdr:rowOff>51994</xdr:rowOff>
    </xdr:to>
    <xdr:sp macro="" textlink="">
      <xdr:nvSpPr>
        <xdr:cNvPr id="5" name="テキスト ボックス 4"/>
        <xdr:cNvSpPr txBox="1"/>
      </xdr:nvSpPr>
      <xdr:spPr>
        <a:xfrm>
          <a:off x="170250" y="665660"/>
          <a:ext cx="422598" cy="233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ja-JP" altLang="en-US" sz="900" b="1" i="0">
              <a:solidFill>
                <a:schemeClr val="accent2">
                  <a:lumMod val="75000"/>
                </a:schemeClr>
              </a:solidFill>
            </a:rPr>
            <a:t>客数</a:t>
          </a:r>
          <a:endParaRPr kumimoji="1" lang="ja-JP" altLang="en-US" sz="1100" b="1" i="0">
            <a:solidFill>
              <a:schemeClr val="accent2">
                <a:lumMod val="75000"/>
              </a:schemeClr>
            </a:solidFill>
          </a:endParaRPr>
        </a:p>
      </xdr:txBody>
    </xdr:sp>
    <xdr:clientData/>
  </xdr:twoCellAnchor>
  <xdr:twoCellAnchor editAs="absolute">
    <xdr:from>
      <xdr:col>1</xdr:col>
      <xdr:colOff>1611408</xdr:colOff>
      <xdr:row>4</xdr:row>
      <xdr:rowOff>140400</xdr:rowOff>
    </xdr:from>
    <xdr:to>
      <xdr:col>3</xdr:col>
      <xdr:colOff>60057</xdr:colOff>
      <xdr:row>6</xdr:row>
      <xdr:rowOff>60485</xdr:rowOff>
    </xdr:to>
    <xdr:sp macro="" textlink="">
      <xdr:nvSpPr>
        <xdr:cNvPr id="6" name="テキスト ボックス 5"/>
        <xdr:cNvSpPr txBox="1"/>
      </xdr:nvSpPr>
      <xdr:spPr>
        <a:xfrm>
          <a:off x="1855248" y="819924"/>
          <a:ext cx="353649" cy="25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en-US" altLang="ja-JP" sz="1100" b="1" i="0">
              <a:solidFill>
                <a:schemeClr val="accent6">
                  <a:lumMod val="75000"/>
                </a:schemeClr>
              </a:solidFill>
            </a:rPr>
            <a:t>%)</a:t>
          </a:r>
          <a:endParaRPr kumimoji="1" lang="ja-JP" altLang="en-US" sz="1100" b="1" i="0">
            <a:solidFill>
              <a:schemeClr val="accent6">
                <a:lumMod val="75000"/>
              </a:schemeClr>
            </a:solidFill>
          </a:endParaRPr>
        </a:p>
      </xdr:txBody>
    </xdr:sp>
    <xdr:clientData/>
  </xdr:twoCellAnchor>
  <xdr:twoCellAnchor editAs="absolute">
    <xdr:from>
      <xdr:col>1</xdr:col>
      <xdr:colOff>1065284</xdr:colOff>
      <xdr:row>4</xdr:row>
      <xdr:rowOff>140400</xdr:rowOff>
    </xdr:from>
    <xdr:to>
      <xdr:col>1</xdr:col>
      <xdr:colOff>1333871</xdr:colOff>
      <xdr:row>6</xdr:row>
      <xdr:rowOff>60485</xdr:rowOff>
    </xdr:to>
    <xdr:sp macro="" textlink="">
      <xdr:nvSpPr>
        <xdr:cNvPr id="7" name="テキスト ボックス 6"/>
        <xdr:cNvSpPr txBox="1"/>
      </xdr:nvSpPr>
      <xdr:spPr>
        <a:xfrm>
          <a:off x="1309124" y="819924"/>
          <a:ext cx="268587" cy="25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en-US" altLang="ja-JP" sz="1100" b="1" i="0">
              <a:solidFill>
                <a:schemeClr val="accent6">
                  <a:lumMod val="75000"/>
                </a:schemeClr>
              </a:solidFill>
            </a:rPr>
            <a:t>(</a:t>
          </a:r>
          <a:endParaRPr kumimoji="1" lang="ja-JP" altLang="en-US" sz="1100" b="1" i="0">
            <a:solidFill>
              <a:schemeClr val="accent6">
                <a:lumMod val="75000"/>
              </a:schemeClr>
            </a:solidFill>
          </a:endParaRPr>
        </a:p>
      </xdr:txBody>
    </xdr:sp>
    <xdr:clientData/>
  </xdr:twoCellAnchor>
  <xdr:twoCellAnchor editAs="absolute">
    <xdr:from>
      <xdr:col>1</xdr:col>
      <xdr:colOff>1119000</xdr:colOff>
      <xdr:row>3</xdr:row>
      <xdr:rowOff>134011</xdr:rowOff>
    </xdr:from>
    <xdr:to>
      <xdr:col>1</xdr:col>
      <xdr:colOff>1405500</xdr:colOff>
      <xdr:row>5</xdr:row>
      <xdr:rowOff>54096</xdr:rowOff>
    </xdr:to>
    <xdr:sp macro="" textlink="">
      <xdr:nvSpPr>
        <xdr:cNvPr id="8" name="テキスト ボックス 7"/>
        <xdr:cNvSpPr txBox="1"/>
      </xdr:nvSpPr>
      <xdr:spPr>
        <a:xfrm>
          <a:off x="1362840" y="645896"/>
          <a:ext cx="286500" cy="255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en-US" altLang="ja-JP" sz="1100" b="1" i="0">
              <a:solidFill>
                <a:schemeClr val="accent2">
                  <a:lumMod val="75000"/>
                </a:schemeClr>
              </a:solidFill>
            </a:rPr>
            <a:t>/</a:t>
          </a:r>
          <a:endParaRPr kumimoji="1" lang="ja-JP" altLang="en-US" sz="1100" b="1" i="0">
            <a:solidFill>
              <a:schemeClr val="accent2">
                <a:lumMod val="75000"/>
              </a:schemeClr>
            </a:solidFill>
          </a:endParaRPr>
        </a:p>
      </xdr:txBody>
    </xdr:sp>
    <xdr:clientData/>
  </xdr:twoCellAnchor>
  <xdr:twoCellAnchor editAs="absolute">
    <xdr:from>
      <xdr:col>0</xdr:col>
      <xdr:colOff>170249</xdr:colOff>
      <xdr:row>2</xdr:row>
      <xdr:rowOff>129725</xdr:rowOff>
    </xdr:from>
    <xdr:to>
      <xdr:col>1</xdr:col>
      <xdr:colOff>733995</xdr:colOff>
      <xdr:row>4</xdr:row>
      <xdr:rowOff>27945</xdr:rowOff>
    </xdr:to>
    <xdr:sp macro="" textlink="">
      <xdr:nvSpPr>
        <xdr:cNvPr id="9" name="テキスト ボックス 8"/>
        <xdr:cNvSpPr txBox="1"/>
      </xdr:nvSpPr>
      <xdr:spPr>
        <a:xfrm>
          <a:off x="170249" y="473970"/>
          <a:ext cx="807586" cy="2334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kumimoji="1" lang="ja-JP" altLang="en-US" sz="900" b="1" i="0">
              <a:solidFill>
                <a:schemeClr val="accent2">
                  <a:lumMod val="75000"/>
                </a:schemeClr>
              </a:solidFill>
            </a:rPr>
            <a:t>カネー生産</a:t>
          </a:r>
          <a:endParaRPr kumimoji="1" lang="ja-JP" altLang="en-US" sz="1100" b="1" i="0">
            <a:solidFill>
              <a:schemeClr val="accent2">
                <a:lumMod val="75000"/>
              </a:schemeClr>
            </a:solidFill>
          </a:endParaRPr>
        </a:p>
      </xdr:txBody>
    </xdr:sp>
    <xdr:clientData/>
  </xdr:twoCellAnchor>
  <xdr:twoCellAnchor editAs="absolute">
    <xdr:from>
      <xdr:col>3</xdr:col>
      <xdr:colOff>104864</xdr:colOff>
      <xdr:row>0</xdr:row>
      <xdr:rowOff>71722</xdr:rowOff>
    </xdr:from>
    <xdr:to>
      <xdr:col>11</xdr:col>
      <xdr:colOff>147445</xdr:colOff>
      <xdr:row>4</xdr:row>
      <xdr:rowOff>165854</xdr:rowOff>
    </xdr:to>
    <xdr:sp macro="" textlink="">
      <xdr:nvSpPr>
        <xdr:cNvPr id="10" name="角丸四角形 9"/>
        <xdr:cNvSpPr/>
      </xdr:nvSpPr>
      <xdr:spPr>
        <a:xfrm>
          <a:off x="2253704" y="71722"/>
          <a:ext cx="1985681" cy="770967"/>
        </a:xfrm>
        <a:prstGeom prst="roundRect">
          <a:avLst>
            <a:gd name="adj" fmla="val 0"/>
          </a:avLst>
        </a:prstGeom>
        <a:solidFill>
          <a:schemeClr val="bg1"/>
        </a:solidFill>
        <a:ln>
          <a:solidFill>
            <a:schemeClr val="bg1">
              <a:lumMod val="7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3</xdr:col>
      <xdr:colOff>167558</xdr:colOff>
      <xdr:row>1</xdr:row>
      <xdr:rowOff>148026</xdr:rowOff>
    </xdr:from>
    <xdr:to>
      <xdr:col>5</xdr:col>
      <xdr:colOff>149731</xdr:colOff>
      <xdr:row>3</xdr:row>
      <xdr:rowOff>78437</xdr:rowOff>
    </xdr:to>
    <xdr:sp macro="" textlink="">
      <xdr:nvSpPr>
        <xdr:cNvPr id="11" name="テキスト ボックス 10"/>
        <xdr:cNvSpPr txBox="1"/>
      </xdr:nvSpPr>
      <xdr:spPr>
        <a:xfrm>
          <a:off x="2316398" y="324631"/>
          <a:ext cx="469853" cy="265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最大</a:t>
          </a:r>
        </a:p>
      </xdr:txBody>
    </xdr:sp>
    <xdr:clientData/>
  </xdr:twoCellAnchor>
  <xdr:twoCellAnchor editAs="absolute">
    <xdr:from>
      <xdr:col>3</xdr:col>
      <xdr:colOff>167558</xdr:colOff>
      <xdr:row>3</xdr:row>
      <xdr:rowOff>27707</xdr:rowOff>
    </xdr:from>
    <xdr:to>
      <xdr:col>5</xdr:col>
      <xdr:colOff>149731</xdr:colOff>
      <xdr:row>4</xdr:row>
      <xdr:rowOff>128448</xdr:rowOff>
    </xdr:to>
    <xdr:sp macro="" textlink="">
      <xdr:nvSpPr>
        <xdr:cNvPr id="12" name="テキスト ボックス 11"/>
        <xdr:cNvSpPr txBox="1"/>
      </xdr:nvSpPr>
      <xdr:spPr>
        <a:xfrm>
          <a:off x="2316398" y="539592"/>
          <a:ext cx="469853" cy="2683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時給</a:t>
          </a:r>
        </a:p>
      </xdr:txBody>
    </xdr:sp>
    <xdr:clientData/>
  </xdr:twoCellAnchor>
  <xdr:twoCellAnchor editAs="absolute">
    <xdr:from>
      <xdr:col>5</xdr:col>
      <xdr:colOff>59539</xdr:colOff>
      <xdr:row>0</xdr:row>
      <xdr:rowOff>106985</xdr:rowOff>
    </xdr:from>
    <xdr:to>
      <xdr:col>9</xdr:col>
      <xdr:colOff>54936</xdr:colOff>
      <xdr:row>2</xdr:row>
      <xdr:rowOff>28431</xdr:rowOff>
    </xdr:to>
    <xdr:sp macro="" textlink="">
      <xdr:nvSpPr>
        <xdr:cNvPr id="13" name="テキスト ボックス 12"/>
        <xdr:cNvSpPr txBox="1"/>
      </xdr:nvSpPr>
      <xdr:spPr>
        <a:xfrm>
          <a:off x="2696059" y="106985"/>
          <a:ext cx="886937" cy="265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カネー生産</a:t>
          </a:r>
        </a:p>
      </xdr:txBody>
    </xdr:sp>
    <xdr:clientData/>
  </xdr:twoCellAnchor>
  <xdr:twoCellAnchor editAs="absolute">
    <xdr:from>
      <xdr:col>9</xdr:col>
      <xdr:colOff>49585</xdr:colOff>
      <xdr:row>0</xdr:row>
      <xdr:rowOff>106985</xdr:rowOff>
    </xdr:from>
    <xdr:to>
      <xdr:col>11</xdr:col>
      <xdr:colOff>91982</xdr:colOff>
      <xdr:row>2</xdr:row>
      <xdr:rowOff>28431</xdr:rowOff>
    </xdr:to>
    <xdr:sp macro="" textlink="">
      <xdr:nvSpPr>
        <xdr:cNvPr id="14" name="テキスト ボックス 13"/>
        <xdr:cNvSpPr txBox="1"/>
      </xdr:nvSpPr>
      <xdr:spPr>
        <a:xfrm>
          <a:off x="3577645" y="106985"/>
          <a:ext cx="606277" cy="265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0">
              <a:solidFill>
                <a:schemeClr val="tx2">
                  <a:lumMod val="75000"/>
                </a:schemeClr>
              </a:solidFill>
              <a:latin typeface="HG丸ｺﾞｼｯｸM-PRO" panose="020F0600000000000000" pitchFamily="50" charset="-128"/>
              <a:ea typeface="HG丸ｺﾞｼｯｸM-PRO" panose="020F0600000000000000" pitchFamily="50" charset="-128"/>
            </a:rPr>
            <a:t>経験値</a:t>
          </a:r>
        </a:p>
      </xdr:txBody>
    </xdr:sp>
    <xdr:clientData/>
  </xdr:twoCellAnchor>
  <xdr:twoCellAnchor editAs="absolute">
    <xdr:from>
      <xdr:col>3</xdr:col>
      <xdr:colOff>104871</xdr:colOff>
      <xdr:row>5</xdr:row>
      <xdr:rowOff>4480</xdr:rowOff>
    </xdr:from>
    <xdr:to>
      <xdr:col>11</xdr:col>
      <xdr:colOff>416393</xdr:colOff>
      <xdr:row>40</xdr:row>
      <xdr:rowOff>35858</xdr:rowOff>
    </xdr:to>
    <xdr:sp macro="" textlink="">
      <xdr:nvSpPr>
        <xdr:cNvPr id="15" name="角丸四角形 14"/>
        <xdr:cNvSpPr/>
      </xdr:nvSpPr>
      <xdr:spPr>
        <a:xfrm>
          <a:off x="2253711" y="851645"/>
          <a:ext cx="2254622" cy="869578"/>
        </a:xfrm>
        <a:prstGeom prst="roundRect">
          <a:avLst>
            <a:gd name="adj" fmla="val 0"/>
          </a:avLst>
        </a:prstGeom>
        <a:solidFill>
          <a:schemeClr val="bg1"/>
        </a:solidFill>
        <a:ln>
          <a:solidFill>
            <a:schemeClr val="bg1">
              <a:lumMod val="7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3</xdr:col>
      <xdr:colOff>248216</xdr:colOff>
      <xdr:row>8</xdr:row>
      <xdr:rowOff>5628</xdr:rowOff>
    </xdr:from>
    <xdr:to>
      <xdr:col>11</xdr:col>
      <xdr:colOff>255203</xdr:colOff>
      <xdr:row>9</xdr:row>
      <xdr:rowOff>135527</xdr:rowOff>
    </xdr:to>
    <xdr:sp macro="" textlink="">
      <xdr:nvSpPr>
        <xdr:cNvPr id="16" name="角丸四角形 15"/>
        <xdr:cNvSpPr/>
      </xdr:nvSpPr>
      <xdr:spPr>
        <a:xfrm>
          <a:off x="2397056" y="1355713"/>
          <a:ext cx="1950087" cy="297538"/>
        </a:xfrm>
        <a:prstGeom prst="roundRect">
          <a:avLst/>
        </a:prstGeom>
        <a:solidFill>
          <a:schemeClr val="bg1">
            <a:lumMod val="95000"/>
          </a:schemeClr>
        </a:solidFill>
        <a:ln>
          <a:solidFill>
            <a:schemeClr val="bg1"/>
          </a:solidFill>
        </a:ln>
        <a:effectLst/>
        <a:scene3d>
          <a:camera prst="orthographicFront"/>
          <a:lightRig rig="threePt" dir="t"/>
        </a:scene3d>
        <a:sp3d extrusionH="76200">
          <a:bevelT w="152400" h="50800" prst="softRound"/>
        </a:sp3d>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8</xdr:col>
      <xdr:colOff>76911</xdr:colOff>
      <xdr:row>5</xdr:row>
      <xdr:rowOff>66293</xdr:rowOff>
    </xdr:from>
    <xdr:to>
      <xdr:col>10</xdr:col>
      <xdr:colOff>41218</xdr:colOff>
      <xdr:row>6</xdr:row>
      <xdr:rowOff>167545</xdr:rowOff>
    </xdr:to>
    <xdr:sp macro="" textlink="">
      <xdr:nvSpPr>
        <xdr:cNvPr id="17" name="テキスト ボックス 16"/>
        <xdr:cNvSpPr txBox="1"/>
      </xdr:nvSpPr>
      <xdr:spPr>
        <a:xfrm>
          <a:off x="3330651" y="913458"/>
          <a:ext cx="459607" cy="2662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客数</a:t>
          </a:r>
        </a:p>
      </xdr:txBody>
    </xdr:sp>
    <xdr:clientData/>
  </xdr:twoCellAnchor>
  <xdr:twoCellAnchor editAs="absolute">
    <xdr:from>
      <xdr:col>3</xdr:col>
      <xdr:colOff>221297</xdr:colOff>
      <xdr:row>5</xdr:row>
      <xdr:rowOff>66292</xdr:rowOff>
    </xdr:from>
    <xdr:to>
      <xdr:col>7</xdr:col>
      <xdr:colOff>73006</xdr:colOff>
      <xdr:row>6</xdr:row>
      <xdr:rowOff>167544</xdr:rowOff>
    </xdr:to>
    <xdr:sp macro="" textlink="">
      <xdr:nvSpPr>
        <xdr:cNvPr id="18" name="テキスト ボックス 17"/>
        <xdr:cNvSpPr txBox="1"/>
      </xdr:nvSpPr>
      <xdr:spPr>
        <a:xfrm>
          <a:off x="2370137" y="913457"/>
          <a:ext cx="750869" cy="2662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1">
              <a:solidFill>
                <a:schemeClr val="tx2">
                  <a:lumMod val="75000"/>
                </a:schemeClr>
              </a:solidFill>
              <a:latin typeface="HG丸ｺﾞｼｯｸM-PRO" panose="020F0600000000000000" pitchFamily="50" charset="-128"/>
              <a:ea typeface="HG丸ｺﾞｼｯｸM-PRO" panose="020F0600000000000000" pitchFamily="50" charset="-128"/>
            </a:rPr>
            <a:t>来島者数</a:t>
          </a:r>
        </a:p>
      </xdr:txBody>
    </xdr:sp>
    <xdr:clientData/>
  </xdr:twoCellAnchor>
  <xdr:twoCellAnchor editAs="absolute">
    <xdr:from>
      <xdr:col>10</xdr:col>
      <xdr:colOff>192836</xdr:colOff>
      <xdr:row>5</xdr:row>
      <xdr:rowOff>66294</xdr:rowOff>
    </xdr:from>
    <xdr:to>
      <xdr:col>11</xdr:col>
      <xdr:colOff>318508</xdr:colOff>
      <xdr:row>6</xdr:row>
      <xdr:rowOff>167546</xdr:rowOff>
    </xdr:to>
    <xdr:sp macro="" textlink="">
      <xdr:nvSpPr>
        <xdr:cNvPr id="19" name="テキスト ボックス 18"/>
        <xdr:cNvSpPr txBox="1"/>
      </xdr:nvSpPr>
      <xdr:spPr>
        <a:xfrm>
          <a:off x="3941876" y="913459"/>
          <a:ext cx="468572" cy="2662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kumimoji="1" lang="ja-JP" altLang="en-US" sz="1100" b="0">
              <a:solidFill>
                <a:schemeClr val="tx2">
                  <a:lumMod val="75000"/>
                </a:schemeClr>
              </a:solidFill>
              <a:latin typeface="HG丸ｺﾞｼｯｸM-PRO" panose="020F0600000000000000" pitchFamily="50" charset="-128"/>
              <a:ea typeface="HG丸ｺﾞｼｯｸM-PRO" panose="020F0600000000000000" pitchFamily="50" charset="-128"/>
            </a:rPr>
            <a:t>比率</a:t>
          </a:r>
        </a:p>
      </xdr:txBody>
    </xdr:sp>
    <xdr:clientData/>
  </xdr:twoCellAnchor>
  <xdr:twoCellAnchor editAs="absolute">
    <xdr:from>
      <xdr:col>6</xdr:col>
      <xdr:colOff>166890</xdr:colOff>
      <xdr:row>6</xdr:row>
      <xdr:rowOff>107859</xdr:rowOff>
    </xdr:from>
    <xdr:to>
      <xdr:col>7</xdr:col>
      <xdr:colOff>205719</xdr:colOff>
      <xdr:row>8</xdr:row>
      <xdr:rowOff>27792</xdr:rowOff>
    </xdr:to>
    <xdr:sp macro="" textlink="">
      <xdr:nvSpPr>
        <xdr:cNvPr id="20" name="テキスト ボックス 19"/>
        <xdr:cNvSpPr txBox="1"/>
      </xdr:nvSpPr>
      <xdr:spPr>
        <a:xfrm>
          <a:off x="3009150" y="1122664"/>
          <a:ext cx="244569" cy="2552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b="1"/>
            <a:t>/</a:t>
          </a:r>
          <a:endParaRPr kumimoji="1" lang="ja-JP" altLang="en-US" sz="1100" b="1"/>
        </a:p>
      </xdr:txBody>
    </xdr:sp>
    <xdr:clientData/>
  </xdr:twoCellAnchor>
  <xdr:twoCellAnchor editAs="absolute">
    <xdr:from>
      <xdr:col>1</xdr:col>
      <xdr:colOff>717159</xdr:colOff>
      <xdr:row>7</xdr:row>
      <xdr:rowOff>152389</xdr:rowOff>
    </xdr:from>
    <xdr:to>
      <xdr:col>3</xdr:col>
      <xdr:colOff>98598</xdr:colOff>
      <xdr:row>40</xdr:row>
      <xdr:rowOff>35860</xdr:rowOff>
    </xdr:to>
    <xdr:sp macro="" textlink="">
      <xdr:nvSpPr>
        <xdr:cNvPr id="21" name="角丸四角形 20"/>
        <xdr:cNvSpPr/>
      </xdr:nvSpPr>
      <xdr:spPr>
        <a:xfrm>
          <a:off x="960999" y="1334834"/>
          <a:ext cx="1286439" cy="386391"/>
        </a:xfrm>
        <a:prstGeom prst="roundRect">
          <a:avLst>
            <a:gd name="adj" fmla="val 0"/>
          </a:avLst>
        </a:prstGeom>
        <a:solidFill>
          <a:schemeClr val="bg1"/>
        </a:solidFill>
        <a:ln>
          <a:solidFill>
            <a:schemeClr val="bg1">
              <a:lumMod val="75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absolute">
    <xdr:from>
      <xdr:col>1</xdr:col>
      <xdr:colOff>749493</xdr:colOff>
      <xdr:row>8</xdr:row>
      <xdr:rowOff>25026</xdr:rowOff>
    </xdr:from>
    <xdr:to>
      <xdr:col>3</xdr:col>
      <xdr:colOff>153191</xdr:colOff>
      <xdr:row>9</xdr:row>
      <xdr:rowOff>80400</xdr:rowOff>
    </xdr:to>
    <xdr:sp macro="" textlink="">
      <xdr:nvSpPr>
        <xdr:cNvPr id="22" name="テキスト ボックス 21"/>
        <xdr:cNvSpPr txBox="1"/>
      </xdr:nvSpPr>
      <xdr:spPr>
        <a:xfrm>
          <a:off x="993333" y="1375111"/>
          <a:ext cx="1308698" cy="223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kumimoji="1" lang="ja-JP" altLang="en-US" sz="800" b="0">
              <a:solidFill>
                <a:schemeClr val="tx2">
                  <a:lumMod val="75000"/>
                </a:schemeClr>
              </a:solidFill>
              <a:latin typeface="HG丸ｺﾞｼｯｸM-PRO" panose="020F0600000000000000" pitchFamily="50" charset="-128"/>
              <a:ea typeface="HG丸ｺﾞｼｯｸM-PRO" panose="020F0600000000000000" pitchFamily="50" charset="-128"/>
            </a:rPr>
            <a:t>ルートでの来島者数上限</a:t>
          </a:r>
        </a:p>
      </xdr:txBody>
    </xdr:sp>
    <xdr:clientData/>
  </xdr:twoCellAnchor>
  <xdr:twoCellAnchor editAs="absolute">
    <xdr:from>
      <xdr:col>5</xdr:col>
      <xdr:colOff>17927</xdr:colOff>
      <xdr:row>2</xdr:row>
      <xdr:rowOff>-1</xdr:rowOff>
    </xdr:from>
    <xdr:to>
      <xdr:col>9</xdr:col>
      <xdr:colOff>71716</xdr:colOff>
      <xdr:row>3</xdr:row>
      <xdr:rowOff>71717</xdr:rowOff>
    </xdr:to>
    <xdr:sp macro="" textlink="B24">
      <xdr:nvSpPr>
        <xdr:cNvPr id="23" name="正方形/長方形 22"/>
        <xdr:cNvSpPr/>
      </xdr:nvSpPr>
      <xdr:spPr>
        <a:xfrm>
          <a:off x="2654447" y="344244"/>
          <a:ext cx="945329"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B9B52BFF-971B-4674-A2BA-DDA2709F091B}" type="TxLink">
            <a:rPr kumimoji="1" lang="en-US" altLang="en-US" sz="1000" b="1" i="0" u="none" strike="noStrike">
              <a:solidFill>
                <a:srgbClr val="000000"/>
              </a:solidFill>
              <a:latin typeface="Arial" panose="020B0604020202020204" pitchFamily="34" charset="0"/>
              <a:ea typeface="ＭＳ Ｐゴシック"/>
              <a:cs typeface="Arial" panose="020B0604020202020204" pitchFamily="34" charset="0"/>
            </a:rPr>
            <a:pPr algn="r"/>
            <a:t>1,285,355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5</xdr:col>
      <xdr:colOff>98611</xdr:colOff>
      <xdr:row>3</xdr:row>
      <xdr:rowOff>35857</xdr:rowOff>
    </xdr:from>
    <xdr:to>
      <xdr:col>9</xdr:col>
      <xdr:colOff>71714</xdr:colOff>
      <xdr:row>4</xdr:row>
      <xdr:rowOff>107575</xdr:rowOff>
    </xdr:to>
    <xdr:sp macro="" textlink="B22">
      <xdr:nvSpPr>
        <xdr:cNvPr id="24" name="正方形/長方形 23"/>
        <xdr:cNvSpPr/>
      </xdr:nvSpPr>
      <xdr:spPr>
        <a:xfrm>
          <a:off x="2735131" y="547742"/>
          <a:ext cx="864643" cy="2393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1DDCA4ED-A894-4AC7-A991-FCBA57A82652}" type="TxLink">
            <a:rPr kumimoji="1" lang="en-US" altLang="en-US" sz="1000" b="1" i="0" u="none" strike="noStrike">
              <a:solidFill>
                <a:srgbClr val="000000"/>
              </a:solidFill>
              <a:latin typeface="Arial" panose="020B0604020202020204" pitchFamily="34" charset="0"/>
              <a:ea typeface="ＭＳ Ｐゴシック"/>
              <a:cs typeface="Arial" panose="020B0604020202020204" pitchFamily="34" charset="0"/>
            </a:rPr>
            <a:pPr algn="r"/>
            <a:t>213,735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8</xdr:col>
      <xdr:colOff>179294</xdr:colOff>
      <xdr:row>3</xdr:row>
      <xdr:rowOff>35860</xdr:rowOff>
    </xdr:from>
    <xdr:to>
      <xdr:col>11</xdr:col>
      <xdr:colOff>89617</xdr:colOff>
      <xdr:row>4</xdr:row>
      <xdr:rowOff>107578</xdr:rowOff>
    </xdr:to>
    <xdr:sp macro="" textlink="B26">
      <xdr:nvSpPr>
        <xdr:cNvPr id="25" name="正方形/長方形 24"/>
        <xdr:cNvSpPr/>
      </xdr:nvSpPr>
      <xdr:spPr>
        <a:xfrm>
          <a:off x="3433034" y="547745"/>
          <a:ext cx="748523" cy="2393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6B235AF2-B645-450C-BCCD-3CCCD1D89189}" type="TxLink">
            <a:rPr kumimoji="1" lang="en-US" altLang="en-US" sz="900" b="0" i="0" u="none" strike="noStrike">
              <a:solidFill>
                <a:srgbClr val="000000"/>
              </a:solidFill>
              <a:latin typeface="Arial" panose="020B0604020202020204" pitchFamily="34" charset="0"/>
              <a:ea typeface="ＭＳ Ｐゴシック"/>
              <a:cs typeface="Arial" panose="020B0604020202020204" pitchFamily="34" charset="0"/>
            </a:rPr>
            <a:pPr algn="r"/>
            <a:t>15,278 </a:t>
          </a:fld>
          <a:endParaRPr kumimoji="1" lang="ja-JP" altLang="en-US" sz="1000" b="0">
            <a:latin typeface="Arial" panose="020B0604020202020204" pitchFamily="34" charset="0"/>
            <a:cs typeface="Arial" panose="020B0604020202020204" pitchFamily="34" charset="0"/>
          </a:endParaRPr>
        </a:p>
      </xdr:txBody>
    </xdr:sp>
    <xdr:clientData/>
  </xdr:twoCellAnchor>
  <xdr:twoCellAnchor editAs="absolute">
    <xdr:from>
      <xdr:col>8</xdr:col>
      <xdr:colOff>179292</xdr:colOff>
      <xdr:row>2</xdr:row>
      <xdr:rowOff>0</xdr:rowOff>
    </xdr:from>
    <xdr:to>
      <xdr:col>11</xdr:col>
      <xdr:colOff>89615</xdr:colOff>
      <xdr:row>3</xdr:row>
      <xdr:rowOff>71718</xdr:rowOff>
    </xdr:to>
    <xdr:sp macro="" textlink="B28">
      <xdr:nvSpPr>
        <xdr:cNvPr id="26" name="正方形/長方形 25"/>
        <xdr:cNvSpPr/>
      </xdr:nvSpPr>
      <xdr:spPr>
        <a:xfrm>
          <a:off x="3433032" y="344245"/>
          <a:ext cx="748523"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2308C7E9-36CF-49AB-90EB-EE7B1F8BD336}" type="TxLink">
            <a:rPr kumimoji="1" lang="en-US" altLang="en-US" sz="900" b="0" i="0" u="none" strike="noStrike">
              <a:solidFill>
                <a:srgbClr val="000000"/>
              </a:solidFill>
              <a:latin typeface="Arial" panose="020B0604020202020204" pitchFamily="34" charset="0"/>
              <a:ea typeface="ＭＳ Ｐゴシック"/>
              <a:cs typeface="Arial" panose="020B0604020202020204" pitchFamily="34" charset="0"/>
            </a:rPr>
            <a:pPr algn="r"/>
            <a:t>70,339 </a:t>
          </a:fld>
          <a:endParaRPr kumimoji="1" lang="ja-JP" altLang="en-US" sz="1000" b="0">
            <a:latin typeface="Arial" panose="020B0604020202020204" pitchFamily="34" charset="0"/>
            <a:cs typeface="Arial" panose="020B0604020202020204" pitchFamily="34" charset="0"/>
          </a:endParaRPr>
        </a:p>
      </xdr:txBody>
    </xdr:sp>
    <xdr:clientData/>
  </xdr:twoCellAnchor>
  <xdr:twoCellAnchor editAs="absolute">
    <xdr:from>
      <xdr:col>3</xdr:col>
      <xdr:colOff>116543</xdr:colOff>
      <xdr:row>6</xdr:row>
      <xdr:rowOff>116540</xdr:rowOff>
    </xdr:from>
    <xdr:to>
      <xdr:col>7</xdr:col>
      <xdr:colOff>89645</xdr:colOff>
      <xdr:row>8</xdr:row>
      <xdr:rowOff>17928</xdr:rowOff>
    </xdr:to>
    <xdr:sp macro="" textlink="B16">
      <xdr:nvSpPr>
        <xdr:cNvPr id="27" name="正方形/長方形 26"/>
        <xdr:cNvSpPr/>
      </xdr:nvSpPr>
      <xdr:spPr>
        <a:xfrm>
          <a:off x="2265383" y="1131345"/>
          <a:ext cx="872262"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04803375-CC47-4059-813B-6AD49F8C5DBE}" type="TxLink">
            <a:rPr kumimoji="1" lang="en-US" altLang="en-US" sz="1000" b="1" i="0" u="none" strike="noStrike">
              <a:solidFill>
                <a:srgbClr val="000000"/>
              </a:solidFill>
              <a:latin typeface="Arial" panose="020B0604020202020204" pitchFamily="34" charset="0"/>
              <a:ea typeface="ＭＳ Ｐゴシック"/>
              <a:cs typeface="Arial" panose="020B0604020202020204" pitchFamily="34" charset="0"/>
            </a:rPr>
            <a:pPr algn="r"/>
            <a:t>29,224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7</xdr:col>
      <xdr:colOff>62753</xdr:colOff>
      <xdr:row>6</xdr:row>
      <xdr:rowOff>116541</xdr:rowOff>
    </xdr:from>
    <xdr:to>
      <xdr:col>10</xdr:col>
      <xdr:colOff>53780</xdr:colOff>
      <xdr:row>8</xdr:row>
      <xdr:rowOff>17929</xdr:rowOff>
    </xdr:to>
    <xdr:sp macro="" textlink="B20">
      <xdr:nvSpPr>
        <xdr:cNvPr id="28" name="正方形/長方形 27"/>
        <xdr:cNvSpPr/>
      </xdr:nvSpPr>
      <xdr:spPr>
        <a:xfrm>
          <a:off x="3110753" y="1131346"/>
          <a:ext cx="692067"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400FB930-1B39-4E0A-AC9D-2A253568C5EA}" type="TxLink">
            <a:rPr kumimoji="1" lang="en-US" altLang="en-US" sz="1000" b="1" i="0" u="none" strike="noStrike">
              <a:solidFill>
                <a:srgbClr val="000000"/>
              </a:solidFill>
              <a:latin typeface="Arial" panose="020B0604020202020204" pitchFamily="34" charset="0"/>
              <a:ea typeface="ＭＳ Ｐゴシック"/>
              <a:cs typeface="Arial" panose="020B0604020202020204" pitchFamily="34" charset="0"/>
            </a:rPr>
            <a:pPr algn="r"/>
            <a:t>32,530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9</xdr:col>
      <xdr:colOff>188257</xdr:colOff>
      <xdr:row>6</xdr:row>
      <xdr:rowOff>107577</xdr:rowOff>
    </xdr:from>
    <xdr:to>
      <xdr:col>11</xdr:col>
      <xdr:colOff>322719</xdr:colOff>
      <xdr:row>8</xdr:row>
      <xdr:rowOff>8965</xdr:rowOff>
    </xdr:to>
    <xdr:sp macro="" textlink="B32">
      <xdr:nvSpPr>
        <xdr:cNvPr id="29" name="正方形/長方形 28"/>
        <xdr:cNvSpPr/>
      </xdr:nvSpPr>
      <xdr:spPr>
        <a:xfrm>
          <a:off x="3716317" y="1122382"/>
          <a:ext cx="698342"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E4644FC8-64AB-4C57-8CD5-C224846FECD5}" type="TxLink">
            <a:rPr kumimoji="1" lang="en-US" altLang="en-US" sz="900" b="0" i="0" u="none" strike="noStrike">
              <a:solidFill>
                <a:srgbClr val="000000"/>
              </a:solidFill>
              <a:latin typeface="Arial" panose="020B0604020202020204" pitchFamily="34" charset="0"/>
              <a:ea typeface="ＭＳ Ｐゴシック"/>
              <a:cs typeface="Arial" panose="020B0604020202020204" pitchFamily="34" charset="0"/>
            </a:rPr>
            <a:pPr algn="r"/>
            <a:t>89.8%</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3</xdr:col>
      <xdr:colOff>277905</xdr:colOff>
      <xdr:row>8</xdr:row>
      <xdr:rowOff>44824</xdr:rowOff>
    </xdr:from>
    <xdr:to>
      <xdr:col>11</xdr:col>
      <xdr:colOff>242047</xdr:colOff>
      <xdr:row>9</xdr:row>
      <xdr:rowOff>116542</xdr:rowOff>
    </xdr:to>
    <xdr:sp macro="" textlink="B40">
      <xdr:nvSpPr>
        <xdr:cNvPr id="30" name="正方形/長方形 29"/>
        <xdr:cNvSpPr/>
      </xdr:nvSpPr>
      <xdr:spPr>
        <a:xfrm>
          <a:off x="2426745" y="1394909"/>
          <a:ext cx="1907242" cy="23935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32FF7F8-4806-44A3-9B50-E28EC9FD857C}" type="TxLink">
            <a:rPr kumimoji="1" lang="ja-JP" altLang="en-US" sz="800" b="0" i="0" u="none" strike="noStrike">
              <a:solidFill>
                <a:srgbClr val="000000"/>
              </a:solidFill>
              <a:latin typeface="HG丸ｺﾞｼｯｸM-PRO" panose="020F0600000000000000" pitchFamily="50" charset="-128"/>
              <a:ea typeface="HG丸ｺﾞｼｯｸM-PRO" panose="020F0600000000000000" pitchFamily="50" charset="-128"/>
              <a:cs typeface="Arial" panose="020B0604020202020204" pitchFamily="34" charset="0"/>
            </a:rPr>
            <a:pPr algn="ctr"/>
            <a:t>まあいい感じ！</a:t>
          </a:fld>
          <a:endParaRPr kumimoji="1" lang="ja-JP" altLang="en-US" sz="800" b="1">
            <a:latin typeface="HG丸ｺﾞｼｯｸM-PRO" panose="020F0600000000000000" pitchFamily="50" charset="-128"/>
            <a:ea typeface="HG丸ｺﾞｼｯｸM-PRO" panose="020F0600000000000000" pitchFamily="50" charset="-128"/>
            <a:cs typeface="Arial" panose="020B0604020202020204" pitchFamily="34" charset="0"/>
          </a:endParaRPr>
        </a:p>
      </xdr:txBody>
    </xdr:sp>
    <xdr:clientData/>
  </xdr:twoCellAnchor>
  <xdr:twoCellAnchor editAs="absolute">
    <xdr:from>
      <xdr:col>1</xdr:col>
      <xdr:colOff>1165420</xdr:colOff>
      <xdr:row>8</xdr:row>
      <xdr:rowOff>161365</xdr:rowOff>
    </xdr:from>
    <xdr:to>
      <xdr:col>3</xdr:col>
      <xdr:colOff>125510</xdr:colOff>
      <xdr:row>40</xdr:row>
      <xdr:rowOff>62753</xdr:rowOff>
    </xdr:to>
    <xdr:sp macro="" textlink="B18">
      <xdr:nvSpPr>
        <xdr:cNvPr id="31" name="正方形/長方形 30"/>
        <xdr:cNvSpPr/>
      </xdr:nvSpPr>
      <xdr:spPr>
        <a:xfrm>
          <a:off x="1409260" y="1508760"/>
          <a:ext cx="865090"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C1053BF1-E8F3-4AFC-8B33-0155688BA5F0}" type="TxLink">
            <a:rPr kumimoji="1" lang="en-US" altLang="en-US" sz="900" b="0" i="0" u="none" strike="noStrike">
              <a:solidFill>
                <a:srgbClr val="000000"/>
              </a:solidFill>
              <a:latin typeface="Arial" panose="020B0604020202020204" pitchFamily="34" charset="0"/>
              <a:ea typeface="ＭＳ Ｐゴシック"/>
              <a:cs typeface="Arial" panose="020B0604020202020204" pitchFamily="34" charset="0"/>
            </a:rPr>
            <a:pPr algn="r"/>
            <a:t>35,783 </a:t>
          </a:fld>
          <a:endParaRPr kumimoji="1" lang="ja-JP" altLang="en-US" sz="1000" b="1">
            <a:latin typeface="Arial" panose="020B0604020202020204" pitchFamily="34" charset="0"/>
            <a:cs typeface="Arial" panose="020B0604020202020204" pitchFamily="34" charset="0"/>
          </a:endParaRPr>
        </a:p>
      </xdr:txBody>
    </xdr:sp>
    <xdr:clientData/>
  </xdr:twoCellAnchor>
  <xdr:twoCellAnchor editAs="absolute">
    <xdr:from>
      <xdr:col>1</xdr:col>
      <xdr:colOff>1039902</xdr:colOff>
      <xdr:row>4</xdr:row>
      <xdr:rowOff>161368</xdr:rowOff>
    </xdr:from>
    <xdr:to>
      <xdr:col>1</xdr:col>
      <xdr:colOff>1783972</xdr:colOff>
      <xdr:row>6</xdr:row>
      <xdr:rowOff>62756</xdr:rowOff>
    </xdr:to>
    <xdr:sp macro="" textlink="B1">
      <xdr:nvSpPr>
        <xdr:cNvPr id="32" name="正方形/長方形 31"/>
        <xdr:cNvSpPr/>
      </xdr:nvSpPr>
      <xdr:spPr>
        <a:xfrm>
          <a:off x="1283742" y="838203"/>
          <a:ext cx="744070"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071E92F8-3C7A-49E1-AB97-1622633AE0F4}" type="TxLink">
            <a:rPr kumimoji="1" lang="en-US" altLang="en-US" sz="1100" b="1" i="0" u="none" strike="noStrike">
              <a:solidFill>
                <a:schemeClr val="accent6">
                  <a:lumMod val="75000"/>
                </a:schemeClr>
              </a:solidFill>
              <a:latin typeface="ＭＳ Ｐゴシック"/>
              <a:ea typeface="ＭＳ Ｐゴシック"/>
              <a:cs typeface="Arial" panose="020B0604020202020204" pitchFamily="34" charset="0"/>
            </a:rPr>
            <a:pPr algn="r"/>
            <a:t>175.75</a:t>
          </a:fld>
          <a:endParaRPr kumimoji="1" lang="ja-JP" altLang="en-US" sz="1000" b="0">
            <a:solidFill>
              <a:schemeClr val="accent6">
                <a:lumMod val="75000"/>
              </a:schemeClr>
            </a:solidFill>
            <a:latin typeface="Arial" panose="020B0604020202020204" pitchFamily="34" charset="0"/>
            <a:cs typeface="Arial" panose="020B0604020202020204" pitchFamily="34" charset="0"/>
          </a:endParaRPr>
        </a:p>
      </xdr:txBody>
    </xdr:sp>
    <xdr:clientData/>
  </xdr:twoCellAnchor>
  <xdr:twoCellAnchor editAs="absolute">
    <xdr:from>
      <xdr:col>1</xdr:col>
      <xdr:colOff>475102</xdr:colOff>
      <xdr:row>4</xdr:row>
      <xdr:rowOff>170328</xdr:rowOff>
    </xdr:from>
    <xdr:to>
      <xdr:col>1</xdr:col>
      <xdr:colOff>1210212</xdr:colOff>
      <xdr:row>6</xdr:row>
      <xdr:rowOff>71716</xdr:rowOff>
    </xdr:to>
    <xdr:sp macro="" textlink="B36">
      <xdr:nvSpPr>
        <xdr:cNvPr id="33" name="正方形/長方形 32"/>
        <xdr:cNvSpPr/>
      </xdr:nvSpPr>
      <xdr:spPr>
        <a:xfrm>
          <a:off x="718942" y="847163"/>
          <a:ext cx="735110" cy="23935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7AC98187-9889-4B59-9663-84C9A910F60A}" type="TxLink">
            <a:rPr kumimoji="1" lang="en-US" altLang="en-US" sz="1100" b="1" i="0" u="none" strike="noStrike">
              <a:solidFill>
                <a:schemeClr val="accent6">
                  <a:lumMod val="75000"/>
                </a:schemeClr>
              </a:solidFill>
              <a:latin typeface="ＭＳ Ｐゴシック"/>
              <a:ea typeface="ＭＳ Ｐゴシック"/>
              <a:cs typeface="Arial" panose="020B0604020202020204" pitchFamily="34" charset="0"/>
            </a:rPr>
            <a:pPr algn="r"/>
            <a:t>29,224 </a:t>
          </a:fld>
          <a:endParaRPr kumimoji="1" lang="ja-JP" altLang="en-US" sz="1100" b="1">
            <a:solidFill>
              <a:schemeClr val="accent6">
                <a:lumMod val="75000"/>
              </a:schemeClr>
            </a:solidFill>
            <a:latin typeface="Arial" panose="020B0604020202020204" pitchFamily="34" charset="0"/>
            <a:cs typeface="Arial" panose="020B0604020202020204" pitchFamily="34" charset="0"/>
          </a:endParaRPr>
        </a:p>
      </xdr:txBody>
    </xdr:sp>
    <xdr:clientData/>
  </xdr:twoCellAnchor>
  <xdr:twoCellAnchor editAs="absolute">
    <xdr:from>
      <xdr:col>1</xdr:col>
      <xdr:colOff>475097</xdr:colOff>
      <xdr:row>3</xdr:row>
      <xdr:rowOff>143422</xdr:rowOff>
    </xdr:from>
    <xdr:to>
      <xdr:col>1</xdr:col>
      <xdr:colOff>1210207</xdr:colOff>
      <xdr:row>5</xdr:row>
      <xdr:rowOff>44810</xdr:rowOff>
    </xdr:to>
    <xdr:sp macro="" textlink="B38">
      <xdr:nvSpPr>
        <xdr:cNvPr id="34" name="正方形/長方形 33"/>
        <xdr:cNvSpPr/>
      </xdr:nvSpPr>
      <xdr:spPr>
        <a:xfrm>
          <a:off x="718937" y="655307"/>
          <a:ext cx="735110"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FD6F5CDC-F0F5-4AF7-9B97-BB1904C5C002}" type="TxLink">
            <a:rPr kumimoji="1" lang="en-US" altLang="en-US" sz="1100" b="1" i="0" u="none" strike="noStrike">
              <a:solidFill>
                <a:schemeClr val="accent6">
                  <a:lumMod val="40000"/>
                  <a:lumOff val="60000"/>
                </a:schemeClr>
              </a:solidFill>
              <a:latin typeface="ＭＳ Ｐゴシック"/>
              <a:ea typeface="ＭＳ Ｐゴシック"/>
              <a:cs typeface="Arial" panose="020B0604020202020204" pitchFamily="34" charset="0"/>
            </a:rPr>
            <a:pPr algn="r"/>
            <a:t>29,224 </a:t>
          </a:fld>
          <a:endParaRPr kumimoji="1" lang="ja-JP" altLang="en-US" sz="1100" b="1">
            <a:solidFill>
              <a:schemeClr val="accent6">
                <a:lumMod val="40000"/>
                <a:lumOff val="60000"/>
              </a:schemeClr>
            </a:solidFill>
            <a:latin typeface="Arial" panose="020B0604020202020204" pitchFamily="34" charset="0"/>
            <a:cs typeface="Arial" panose="020B0604020202020204" pitchFamily="34" charset="0"/>
          </a:endParaRPr>
        </a:p>
      </xdr:txBody>
    </xdr:sp>
    <xdr:clientData/>
  </xdr:twoCellAnchor>
  <xdr:twoCellAnchor editAs="absolute">
    <xdr:from>
      <xdr:col>1</xdr:col>
      <xdr:colOff>1219187</xdr:colOff>
      <xdr:row>3</xdr:row>
      <xdr:rowOff>143409</xdr:rowOff>
    </xdr:from>
    <xdr:to>
      <xdr:col>3</xdr:col>
      <xdr:colOff>35860</xdr:colOff>
      <xdr:row>5</xdr:row>
      <xdr:rowOff>44797</xdr:rowOff>
    </xdr:to>
    <xdr:sp macro="" textlink="B34">
      <xdr:nvSpPr>
        <xdr:cNvPr id="35" name="正方形/長方形 34"/>
        <xdr:cNvSpPr/>
      </xdr:nvSpPr>
      <xdr:spPr>
        <a:xfrm>
          <a:off x="1463027" y="655294"/>
          <a:ext cx="721673"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C555465A-4CE5-4F48-8F8B-94472433DE55}" type="TxLink">
            <a:rPr kumimoji="1" lang="en-US" altLang="en-US" sz="1100" b="1" i="0" u="none" strike="noStrike">
              <a:solidFill>
                <a:schemeClr val="accent6">
                  <a:lumMod val="75000"/>
                </a:schemeClr>
              </a:solidFill>
              <a:latin typeface="ＭＳ Ｐゴシック"/>
              <a:ea typeface="ＭＳ Ｐゴシック"/>
              <a:cs typeface="Arial" panose="020B0604020202020204" pitchFamily="34" charset="0"/>
            </a:rPr>
            <a:pPr algn="r"/>
            <a:t>35,284 </a:t>
          </a:fld>
          <a:endParaRPr kumimoji="1" lang="ja-JP" altLang="en-US" sz="1100" b="1">
            <a:solidFill>
              <a:schemeClr val="accent6">
                <a:lumMod val="75000"/>
              </a:schemeClr>
            </a:solidFill>
            <a:latin typeface="Arial" panose="020B0604020202020204" pitchFamily="34" charset="0"/>
            <a:cs typeface="Arial" panose="020B0604020202020204" pitchFamily="34" charset="0"/>
          </a:endParaRPr>
        </a:p>
      </xdr:txBody>
    </xdr:sp>
    <xdr:clientData/>
  </xdr:twoCellAnchor>
  <xdr:twoCellAnchor editAs="absolute">
    <xdr:from>
      <xdr:col>1</xdr:col>
      <xdr:colOff>941293</xdr:colOff>
      <xdr:row>2</xdr:row>
      <xdr:rowOff>125462</xdr:rowOff>
    </xdr:from>
    <xdr:to>
      <xdr:col>3</xdr:col>
      <xdr:colOff>26895</xdr:colOff>
      <xdr:row>4</xdr:row>
      <xdr:rowOff>26851</xdr:rowOff>
    </xdr:to>
    <xdr:sp macro="" textlink="B24">
      <xdr:nvSpPr>
        <xdr:cNvPr id="36" name="正方形/長方形 35"/>
        <xdr:cNvSpPr/>
      </xdr:nvSpPr>
      <xdr:spPr>
        <a:xfrm>
          <a:off x="1185133" y="469707"/>
          <a:ext cx="990602" cy="2366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0A9C085F-2320-441D-85B7-095F64C7210F}" type="TxLink">
            <a:rPr kumimoji="1" lang="en-US" altLang="en-US" sz="1100" b="1" i="0" u="none" strike="noStrike">
              <a:solidFill>
                <a:schemeClr val="accent2">
                  <a:lumMod val="75000"/>
                </a:schemeClr>
              </a:solidFill>
              <a:latin typeface="ＭＳ Ｐゴシック"/>
              <a:ea typeface="ＭＳ Ｐゴシック"/>
              <a:cs typeface="Arial" panose="020B0604020202020204" pitchFamily="34" charset="0"/>
            </a:rPr>
            <a:pPr algn="r"/>
            <a:t>1,285,355 </a:t>
          </a:fld>
          <a:endParaRPr kumimoji="1" lang="ja-JP" altLang="en-US" sz="1100" b="1">
            <a:solidFill>
              <a:schemeClr val="accent2">
                <a:lumMod val="75000"/>
              </a:schemeClr>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12</xdr:col>
          <xdr:colOff>68580</xdr:colOff>
          <xdr:row>0</xdr:row>
          <xdr:rowOff>83820</xdr:rowOff>
        </xdr:from>
        <xdr:to>
          <xdr:col>14</xdr:col>
          <xdr:colOff>53340</xdr:colOff>
          <xdr:row>1</xdr:row>
          <xdr:rowOff>129540</xdr:rowOff>
        </xdr:to>
        <xdr:sp macro="" textlink="">
          <xdr:nvSpPr>
            <xdr:cNvPr id="1045505" name="Button 1" hidden="1">
              <a:extLst>
                <a:ext uri="{63B3BB69-23CF-44E3-9099-C40C66FF867C}">
                  <a14:compatExt spid="_x0000_s104550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行追加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68580</xdr:colOff>
          <xdr:row>2</xdr:row>
          <xdr:rowOff>106680</xdr:rowOff>
        </xdr:from>
        <xdr:to>
          <xdr:col>15</xdr:col>
          <xdr:colOff>167640</xdr:colOff>
          <xdr:row>4</xdr:row>
          <xdr:rowOff>22860</xdr:rowOff>
        </xdr:to>
        <xdr:sp macro="" textlink="">
          <xdr:nvSpPr>
            <xdr:cNvPr id="1045506" name="Button 2" hidden="1">
              <a:extLst>
                <a:ext uri="{63B3BB69-23CF-44E3-9099-C40C66FF867C}">
                  <a14:compatExt spid="_x0000_s104550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フィルタ用ページ作成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F347"/>
  <sheetViews>
    <sheetView tabSelected="1" zoomScale="85" zoomScaleNormal="85" workbookViewId="0"/>
  </sheetViews>
  <sheetFormatPr defaultRowHeight="13.2"/>
  <cols>
    <col min="1" max="4" width="2.77734375" style="1163" customWidth="1"/>
    <col min="5" max="5" width="82.77734375" style="1163" customWidth="1"/>
    <col min="6" max="6" width="15.77734375" style="1163" bestFit="1" customWidth="1"/>
    <col min="7" max="16384" width="8.88671875" style="1163"/>
  </cols>
  <sheetData>
    <row r="1" spans="2:6">
      <c r="E1" s="1166">
        <v>42420</v>
      </c>
    </row>
    <row r="2" spans="2:6">
      <c r="E2" s="1167" t="s">
        <v>1008</v>
      </c>
    </row>
    <row r="3" spans="2:6" ht="13.8" thickBot="1">
      <c r="E3" s="1165"/>
    </row>
    <row r="4" spans="2:6" ht="13.8" thickTop="1">
      <c r="B4" s="1170" t="s">
        <v>1010</v>
      </c>
      <c r="C4" s="1171"/>
      <c r="D4" s="1171"/>
      <c r="E4" s="1172"/>
    </row>
    <row r="5" spans="2:6">
      <c r="B5" s="1173"/>
      <c r="C5" s="1174"/>
      <c r="D5" s="1174"/>
      <c r="E5" s="1175"/>
      <c r="F5" s="1164"/>
    </row>
    <row r="6" spans="2:6">
      <c r="B6" s="1176"/>
      <c r="C6" s="1177"/>
      <c r="D6" s="1177"/>
      <c r="E6" s="1178"/>
    </row>
    <row r="7" spans="2:6">
      <c r="B7" s="1176"/>
      <c r="C7" s="1177"/>
      <c r="D7" s="1177"/>
      <c r="E7" s="1178"/>
    </row>
    <row r="8" spans="2:6">
      <c r="B8" s="1176"/>
      <c r="C8" s="1177"/>
      <c r="D8" s="1177"/>
      <c r="E8" s="1178"/>
    </row>
    <row r="9" spans="2:6" ht="13.8" thickBot="1">
      <c r="B9" s="1179"/>
      <c r="C9" s="1180"/>
      <c r="D9" s="1180"/>
      <c r="E9" s="1181"/>
    </row>
    <row r="10" spans="2:6" ht="13.8" thickTop="1"/>
    <row r="11" spans="2:6">
      <c r="B11" s="1182" t="s">
        <v>1196</v>
      </c>
      <c r="C11" s="1183"/>
      <c r="D11" s="1183"/>
      <c r="E11" s="1184"/>
    </row>
    <row r="12" spans="2:6">
      <c r="B12" s="1185"/>
      <c r="C12" s="1186"/>
      <c r="D12" s="1186"/>
      <c r="E12" s="1187"/>
    </row>
    <row r="14" spans="2:6">
      <c r="E14" s="1169" t="s">
        <v>1197</v>
      </c>
    </row>
    <row r="15" spans="2:6">
      <c r="E15" s="1169" t="s">
        <v>1198</v>
      </c>
    </row>
    <row r="16" spans="2:6">
      <c r="E16" s="1169" t="s">
        <v>1199</v>
      </c>
    </row>
    <row r="17" spans="2:5">
      <c r="E17" s="1169" t="s">
        <v>1200</v>
      </c>
    </row>
    <row r="18" spans="2:5">
      <c r="E18" s="1169" t="s">
        <v>1201</v>
      </c>
    </row>
    <row r="19" spans="2:5">
      <c r="E19" s="1169" t="s">
        <v>1202</v>
      </c>
    </row>
    <row r="21" spans="2:5">
      <c r="B21" s="1182" t="s">
        <v>1009</v>
      </c>
      <c r="C21" s="1183"/>
      <c r="D21" s="1183"/>
      <c r="E21" s="1184"/>
    </row>
    <row r="22" spans="2:5">
      <c r="B22" s="1185"/>
      <c r="C22" s="1186"/>
      <c r="D22" s="1186"/>
      <c r="E22" s="1187"/>
    </row>
    <row r="24" spans="2:5">
      <c r="E24" s="1163" t="s">
        <v>1020</v>
      </c>
    </row>
    <row r="26" spans="2:5">
      <c r="E26" s="1163" t="s">
        <v>1024</v>
      </c>
    </row>
    <row r="27" spans="2:5">
      <c r="E27" s="1163" t="s">
        <v>1021</v>
      </c>
    </row>
    <row r="28" spans="2:5">
      <c r="E28" s="1163" t="s">
        <v>1022</v>
      </c>
    </row>
    <row r="29" spans="2:5">
      <c r="E29" s="1163" t="s">
        <v>1023</v>
      </c>
    </row>
    <row r="31" spans="2:5">
      <c r="B31" s="1182" t="s">
        <v>1011</v>
      </c>
      <c r="C31" s="1183"/>
      <c r="D31" s="1183"/>
      <c r="E31" s="1184"/>
    </row>
    <row r="32" spans="2:5">
      <c r="B32" s="1185"/>
      <c r="C32" s="1186"/>
      <c r="D32" s="1186"/>
      <c r="E32" s="1187"/>
    </row>
    <row r="34" spans="2:5">
      <c r="E34" s="1163" t="s">
        <v>968</v>
      </c>
    </row>
    <row r="35" spans="2:5">
      <c r="E35" s="1163" t="s">
        <v>1028</v>
      </c>
    </row>
    <row r="37" spans="2:5">
      <c r="E37" s="1163" t="s">
        <v>1025</v>
      </c>
    </row>
    <row r="38" spans="2:5">
      <c r="E38" s="1163" t="s">
        <v>1027</v>
      </c>
    </row>
    <row r="39" spans="2:5">
      <c r="E39" s="1163" t="s">
        <v>1026</v>
      </c>
    </row>
    <row r="40" spans="2:5">
      <c r="E40" s="1163" t="s">
        <v>1029</v>
      </c>
    </row>
    <row r="42" spans="2:5">
      <c r="B42" s="1182" t="s">
        <v>1012</v>
      </c>
      <c r="C42" s="1183"/>
      <c r="D42" s="1183"/>
      <c r="E42" s="1184"/>
    </row>
    <row r="43" spans="2:5">
      <c r="B43" s="1185"/>
      <c r="C43" s="1186"/>
      <c r="D43" s="1186"/>
      <c r="E43" s="1187"/>
    </row>
    <row r="45" spans="2:5">
      <c r="E45" s="1163" t="s">
        <v>1030</v>
      </c>
    </row>
    <row r="46" spans="2:5">
      <c r="E46" s="1163" t="s">
        <v>1031</v>
      </c>
    </row>
    <row r="48" spans="2:5">
      <c r="E48" s="1163" t="s">
        <v>1032</v>
      </c>
    </row>
    <row r="49" spans="2:5">
      <c r="E49" s="1165" t="s">
        <v>1033</v>
      </c>
    </row>
    <row r="50" spans="2:5">
      <c r="E50" s="1163" t="s">
        <v>1043</v>
      </c>
    </row>
    <row r="51" spans="2:5">
      <c r="E51" s="1165" t="s">
        <v>1044</v>
      </c>
    </row>
    <row r="53" spans="2:5">
      <c r="B53" s="1182" t="s">
        <v>1013</v>
      </c>
      <c r="C53" s="1183"/>
      <c r="D53" s="1183"/>
      <c r="E53" s="1184"/>
    </row>
    <row r="54" spans="2:5">
      <c r="B54" s="1185"/>
      <c r="C54" s="1186"/>
      <c r="D54" s="1186"/>
      <c r="E54" s="1187"/>
    </row>
    <row r="56" spans="2:5">
      <c r="C56" s="1190" t="s">
        <v>1045</v>
      </c>
      <c r="D56" s="1191"/>
      <c r="E56" s="1192"/>
    </row>
    <row r="57" spans="2:5">
      <c r="C57" s="1193"/>
      <c r="D57" s="1194"/>
      <c r="E57" s="1195"/>
    </row>
    <row r="59" spans="2:5">
      <c r="E59" s="1163" t="s">
        <v>1046</v>
      </c>
    </row>
    <row r="61" spans="2:5">
      <c r="E61" s="1163" t="s">
        <v>1047</v>
      </c>
    </row>
    <row r="62" spans="2:5">
      <c r="E62" s="1163" t="s">
        <v>1051</v>
      </c>
    </row>
    <row r="63" spans="2:5">
      <c r="E63" s="1163" t="s">
        <v>1048</v>
      </c>
    </row>
    <row r="64" spans="2:5">
      <c r="E64" s="1163" t="s">
        <v>1050</v>
      </c>
    </row>
    <row r="65" spans="5:5">
      <c r="E65" s="1163" t="s">
        <v>1049</v>
      </c>
    </row>
    <row r="66" spans="5:5">
      <c r="E66" s="1163" t="s">
        <v>1052</v>
      </c>
    </row>
    <row r="68" spans="5:5">
      <c r="E68" s="1163" t="s">
        <v>1053</v>
      </c>
    </row>
    <row r="69" spans="5:5">
      <c r="E69" s="1163" t="s">
        <v>1056</v>
      </c>
    </row>
    <row r="70" spans="5:5">
      <c r="E70" s="1163" t="s">
        <v>1054</v>
      </c>
    </row>
    <row r="71" spans="5:5">
      <c r="E71" s="1163" t="s">
        <v>1055</v>
      </c>
    </row>
    <row r="73" spans="5:5">
      <c r="E73" s="1163" t="s">
        <v>1057</v>
      </c>
    </row>
    <row r="74" spans="5:5">
      <c r="E74" s="1163" t="s">
        <v>1059</v>
      </c>
    </row>
    <row r="75" spans="5:5">
      <c r="E75" s="1163" t="s">
        <v>1058</v>
      </c>
    </row>
    <row r="77" spans="5:5">
      <c r="E77" s="1163" t="s">
        <v>1060</v>
      </c>
    </row>
    <row r="78" spans="5:5">
      <c r="E78" s="1163" t="s">
        <v>1061</v>
      </c>
    </row>
    <row r="80" spans="5:5">
      <c r="E80" s="1163" t="s">
        <v>1062</v>
      </c>
    </row>
    <row r="81" spans="3:5">
      <c r="E81" s="1163" t="s">
        <v>1063</v>
      </c>
    </row>
    <row r="83" spans="3:5">
      <c r="C83" s="1190" t="s">
        <v>1014</v>
      </c>
      <c r="D83" s="1191"/>
      <c r="E83" s="1192"/>
    </row>
    <row r="84" spans="3:5">
      <c r="C84" s="1193"/>
      <c r="D84" s="1194"/>
      <c r="E84" s="1195"/>
    </row>
    <row r="86" spans="3:5">
      <c r="E86" s="1163" t="s">
        <v>1064</v>
      </c>
    </row>
    <row r="87" spans="3:5">
      <c r="E87" s="1163" t="s">
        <v>1065</v>
      </c>
    </row>
    <row r="89" spans="3:5">
      <c r="D89" s="1188" t="s">
        <v>1066</v>
      </c>
      <c r="E89" s="1189"/>
    </row>
    <row r="90" spans="3:5">
      <c r="D90" s="1168"/>
      <c r="E90" s="1168"/>
    </row>
    <row r="91" spans="3:5">
      <c r="E91" s="1163" t="s">
        <v>1067</v>
      </c>
    </row>
    <row r="93" spans="3:5">
      <c r="E93" s="1163" t="s">
        <v>1068</v>
      </c>
    </row>
    <row r="94" spans="3:5">
      <c r="E94" s="1163" t="s">
        <v>1069</v>
      </c>
    </row>
    <row r="95" spans="3:5">
      <c r="E95" s="1163" t="s">
        <v>1070</v>
      </c>
    </row>
    <row r="97" spans="4:5">
      <c r="D97" s="1188" t="s">
        <v>1071</v>
      </c>
      <c r="E97" s="1189"/>
    </row>
    <row r="99" spans="4:5">
      <c r="E99" s="1163" t="s">
        <v>1072</v>
      </c>
    </row>
    <row r="101" spans="4:5">
      <c r="E101" s="1163" t="s">
        <v>1073</v>
      </c>
    </row>
    <row r="102" spans="4:5">
      <c r="E102" s="1163" t="s">
        <v>1074</v>
      </c>
    </row>
    <row r="103" spans="4:5">
      <c r="E103" s="1163" t="s">
        <v>1075</v>
      </c>
    </row>
    <row r="105" spans="4:5">
      <c r="E105" s="1163" t="s">
        <v>1076</v>
      </c>
    </row>
    <row r="106" spans="4:5">
      <c r="E106" s="1163" t="s">
        <v>1077</v>
      </c>
    </row>
    <row r="107" spans="4:5">
      <c r="E107" s="1163" t="s">
        <v>1078</v>
      </c>
    </row>
    <row r="109" spans="4:5">
      <c r="D109" s="1188" t="s">
        <v>1079</v>
      </c>
      <c r="E109" s="1189"/>
    </row>
    <row r="111" spans="4:5">
      <c r="E111" s="1163" t="s">
        <v>1084</v>
      </c>
    </row>
    <row r="113" spans="4:5">
      <c r="E113" s="1163" t="s">
        <v>1080</v>
      </c>
    </row>
    <row r="114" spans="4:5">
      <c r="E114" s="1163" t="s">
        <v>1082</v>
      </c>
    </row>
    <row r="115" spans="4:5">
      <c r="E115" s="1163" t="s">
        <v>1081</v>
      </c>
    </row>
    <row r="117" spans="4:5">
      <c r="D117" s="1188" t="s">
        <v>1083</v>
      </c>
      <c r="E117" s="1189"/>
    </row>
    <row r="119" spans="4:5">
      <c r="E119" s="1163" t="s">
        <v>1085</v>
      </c>
    </row>
    <row r="121" spans="4:5">
      <c r="E121" s="1163" t="s">
        <v>1086</v>
      </c>
    </row>
    <row r="122" spans="4:5">
      <c r="E122" s="1163" t="s">
        <v>1087</v>
      </c>
    </row>
    <row r="124" spans="4:5">
      <c r="E124" s="1163" t="s">
        <v>1088</v>
      </c>
    </row>
    <row r="125" spans="4:5">
      <c r="E125" s="1163" t="s">
        <v>1089</v>
      </c>
    </row>
    <row r="127" spans="4:5">
      <c r="E127" s="1163" t="s">
        <v>1090</v>
      </c>
    </row>
    <row r="128" spans="4:5">
      <c r="E128" s="1163" t="s">
        <v>1091</v>
      </c>
    </row>
    <row r="129" spans="3:5">
      <c r="E129" s="1163" t="s">
        <v>1092</v>
      </c>
    </row>
    <row r="130" spans="3:5">
      <c r="E130" s="1163" t="s">
        <v>1093</v>
      </c>
    </row>
    <row r="131" spans="3:5">
      <c r="E131" s="1163" t="s">
        <v>1094</v>
      </c>
    </row>
    <row r="132" spans="3:5">
      <c r="E132" s="1163" t="s">
        <v>1097</v>
      </c>
    </row>
    <row r="133" spans="3:5">
      <c r="E133" s="1163" t="s">
        <v>1095</v>
      </c>
    </row>
    <row r="134" spans="3:5">
      <c r="E134" s="1163" t="s">
        <v>1096</v>
      </c>
    </row>
    <row r="136" spans="3:5">
      <c r="D136" s="1188" t="s">
        <v>1098</v>
      </c>
      <c r="E136" s="1189"/>
    </row>
    <row r="138" spans="3:5">
      <c r="E138" s="1163" t="s">
        <v>1100</v>
      </c>
    </row>
    <row r="139" spans="3:5">
      <c r="E139" s="1163" t="s">
        <v>1099</v>
      </c>
    </row>
    <row r="141" spans="3:5">
      <c r="C141" s="1190" t="s">
        <v>1101</v>
      </c>
      <c r="D141" s="1191"/>
      <c r="E141" s="1192"/>
    </row>
    <row r="142" spans="3:5">
      <c r="C142" s="1193"/>
      <c r="D142" s="1194"/>
      <c r="E142" s="1195"/>
    </row>
    <row r="144" spans="3:5">
      <c r="E144" s="1163" t="s">
        <v>1108</v>
      </c>
    </row>
    <row r="145" spans="4:5">
      <c r="E145" s="1163" t="s">
        <v>1105</v>
      </c>
    </row>
    <row r="146" spans="4:5">
      <c r="E146" s="1163" t="s">
        <v>1102</v>
      </c>
    </row>
    <row r="147" spans="4:5">
      <c r="E147" s="1163" t="s">
        <v>1103</v>
      </c>
    </row>
    <row r="148" spans="4:5">
      <c r="E148" s="1163" t="s">
        <v>1104</v>
      </c>
    </row>
    <row r="149" spans="4:5">
      <c r="E149" s="1163" t="s">
        <v>1106</v>
      </c>
    </row>
    <row r="150" spans="4:5">
      <c r="E150" s="1163" t="s">
        <v>1107</v>
      </c>
    </row>
    <row r="152" spans="4:5">
      <c r="D152" s="1188" t="s">
        <v>1109</v>
      </c>
      <c r="E152" s="1189"/>
    </row>
    <row r="154" spans="4:5">
      <c r="E154" s="1163" t="s">
        <v>1110</v>
      </c>
    </row>
    <row r="155" spans="4:5">
      <c r="E155" s="1163" t="s">
        <v>1111</v>
      </c>
    </row>
    <row r="157" spans="4:5">
      <c r="E157" s="1163" t="s">
        <v>1112</v>
      </c>
    </row>
    <row r="158" spans="4:5">
      <c r="E158" s="1163" t="s">
        <v>1113</v>
      </c>
    </row>
    <row r="159" spans="4:5">
      <c r="E159" s="1163" t="s">
        <v>1114</v>
      </c>
    </row>
    <row r="160" spans="4:5">
      <c r="E160" s="1163" t="s">
        <v>1115</v>
      </c>
    </row>
    <row r="161" spans="4:5">
      <c r="E161" s="1163" t="s">
        <v>1116</v>
      </c>
    </row>
    <row r="162" spans="4:5">
      <c r="E162" s="1163" t="s">
        <v>1117</v>
      </c>
    </row>
    <row r="164" spans="4:5">
      <c r="E164" s="1163" t="s">
        <v>1118</v>
      </c>
    </row>
    <row r="166" spans="4:5">
      <c r="E166" s="1163" t="s">
        <v>1119</v>
      </c>
    </row>
    <row r="167" spans="4:5">
      <c r="E167" s="1163" t="s">
        <v>1120</v>
      </c>
    </row>
    <row r="169" spans="4:5">
      <c r="E169" s="1163" t="s">
        <v>1121</v>
      </c>
    </row>
    <row r="170" spans="4:5">
      <c r="E170" s="1163" t="s">
        <v>1122</v>
      </c>
    </row>
    <row r="172" spans="4:5">
      <c r="E172" s="1163" t="s">
        <v>1123</v>
      </c>
    </row>
    <row r="173" spans="4:5">
      <c r="E173" s="1163" t="s">
        <v>1124</v>
      </c>
    </row>
    <row r="175" spans="4:5">
      <c r="D175" s="1188" t="s">
        <v>1125</v>
      </c>
      <c r="E175" s="1189"/>
    </row>
    <row r="177" spans="5:5">
      <c r="E177" s="1163" t="s">
        <v>1126</v>
      </c>
    </row>
    <row r="178" spans="5:5">
      <c r="E178" s="1163" t="s">
        <v>1127</v>
      </c>
    </row>
    <row r="180" spans="5:5">
      <c r="E180" s="1163" t="s">
        <v>1128</v>
      </c>
    </row>
    <row r="181" spans="5:5">
      <c r="E181" s="1163" t="s">
        <v>1129</v>
      </c>
    </row>
    <row r="183" spans="5:5">
      <c r="E183" s="1163" t="s">
        <v>1130</v>
      </c>
    </row>
    <row r="184" spans="5:5">
      <c r="E184" s="1163" t="s">
        <v>1131</v>
      </c>
    </row>
    <row r="185" spans="5:5">
      <c r="E185" s="1163" t="s">
        <v>1132</v>
      </c>
    </row>
    <row r="186" spans="5:5">
      <c r="E186" s="1163" t="s">
        <v>1133</v>
      </c>
    </row>
    <row r="187" spans="5:5">
      <c r="E187" s="1163" t="s">
        <v>1134</v>
      </c>
    </row>
    <row r="188" spans="5:5">
      <c r="E188" s="1163" t="s">
        <v>1135</v>
      </c>
    </row>
    <row r="189" spans="5:5">
      <c r="E189" s="1163" t="s">
        <v>1136</v>
      </c>
    </row>
    <row r="191" spans="5:5">
      <c r="E191" s="1163" t="s">
        <v>1137</v>
      </c>
    </row>
    <row r="193" spans="4:5">
      <c r="D193" s="1188" t="s">
        <v>1138</v>
      </c>
      <c r="E193" s="1189"/>
    </row>
    <row r="195" spans="4:5">
      <c r="E195" s="1163" t="s">
        <v>1139</v>
      </c>
    </row>
    <row r="196" spans="4:5">
      <c r="E196" s="1163" t="s">
        <v>1140</v>
      </c>
    </row>
    <row r="198" spans="4:5">
      <c r="E198" s="1163" t="s">
        <v>1143</v>
      </c>
    </row>
    <row r="199" spans="4:5">
      <c r="E199" s="1163" t="s">
        <v>1141</v>
      </c>
    </row>
    <row r="200" spans="4:5">
      <c r="E200" s="1163" t="s">
        <v>1142</v>
      </c>
    </row>
    <row r="201" spans="4:5">
      <c r="E201" s="1163" t="s">
        <v>1144</v>
      </c>
    </row>
    <row r="202" spans="4:5">
      <c r="E202" s="1163" t="s">
        <v>1145</v>
      </c>
    </row>
    <row r="203" spans="4:5">
      <c r="E203" s="1163" t="s">
        <v>1146</v>
      </c>
    </row>
    <row r="205" spans="4:5">
      <c r="E205" s="1163" t="s">
        <v>1147</v>
      </c>
    </row>
    <row r="206" spans="4:5">
      <c r="E206" s="1163" t="s">
        <v>1148</v>
      </c>
    </row>
    <row r="207" spans="4:5">
      <c r="E207" s="1163" t="s">
        <v>1149</v>
      </c>
    </row>
    <row r="209" spans="5:5">
      <c r="E209" s="1163" t="s">
        <v>1150</v>
      </c>
    </row>
    <row r="212" spans="5:5">
      <c r="E212" s="1163" t="s">
        <v>1151</v>
      </c>
    </row>
    <row r="214" spans="5:5">
      <c r="E214" s="1163" t="s">
        <v>1152</v>
      </c>
    </row>
    <row r="215" spans="5:5">
      <c r="E215" s="1163" t="s">
        <v>1153</v>
      </c>
    </row>
    <row r="216" spans="5:5">
      <c r="E216" s="1163" t="s">
        <v>1154</v>
      </c>
    </row>
    <row r="217" spans="5:5">
      <c r="E217" s="1163" t="s">
        <v>1155</v>
      </c>
    </row>
    <row r="219" spans="5:5">
      <c r="E219" s="1163" t="s">
        <v>1156</v>
      </c>
    </row>
    <row r="220" spans="5:5">
      <c r="E220" s="1163" t="s">
        <v>1157</v>
      </c>
    </row>
    <row r="221" spans="5:5">
      <c r="E221" s="1163" t="s">
        <v>1158</v>
      </c>
    </row>
    <row r="222" spans="5:5">
      <c r="E222" s="1163" t="s">
        <v>1159</v>
      </c>
    </row>
    <row r="224" spans="5:5">
      <c r="E224" s="1163" t="s">
        <v>1160</v>
      </c>
    </row>
    <row r="225" spans="3:5">
      <c r="E225" s="1163" t="s">
        <v>1161</v>
      </c>
    </row>
    <row r="226" spans="3:5">
      <c r="E226" s="1163" t="s">
        <v>1164</v>
      </c>
    </row>
    <row r="228" spans="3:5">
      <c r="E228" s="1163" t="s">
        <v>1162</v>
      </c>
    </row>
    <row r="229" spans="3:5">
      <c r="E229" s="1163" t="s">
        <v>1163</v>
      </c>
    </row>
    <row r="230" spans="3:5">
      <c r="E230" s="1163" t="s">
        <v>1165</v>
      </c>
    </row>
    <row r="232" spans="3:5">
      <c r="C232" s="1190" t="s">
        <v>1166</v>
      </c>
      <c r="D232" s="1191"/>
      <c r="E232" s="1192"/>
    </row>
    <row r="233" spans="3:5">
      <c r="C233" s="1193"/>
      <c r="D233" s="1194"/>
      <c r="E233" s="1195"/>
    </row>
    <row r="235" spans="3:5">
      <c r="E235" s="1163" t="s">
        <v>1167</v>
      </c>
    </row>
    <row r="236" spans="3:5">
      <c r="E236" s="1163" t="s">
        <v>1168</v>
      </c>
    </row>
    <row r="238" spans="3:5">
      <c r="E238" s="1163" t="s">
        <v>1169</v>
      </c>
    </row>
    <row r="239" spans="3:5">
      <c r="E239" s="1163" t="s">
        <v>1170</v>
      </c>
    </row>
    <row r="241" spans="4:5">
      <c r="D241" s="1188" t="s">
        <v>1171</v>
      </c>
      <c r="E241" s="1189"/>
    </row>
    <row r="243" spans="4:5">
      <c r="E243" s="1163" t="s">
        <v>1172</v>
      </c>
    </row>
    <row r="245" spans="4:5">
      <c r="E245" s="1163" t="s">
        <v>1178</v>
      </c>
    </row>
    <row r="247" spans="4:5">
      <c r="E247" s="1163" t="s">
        <v>1173</v>
      </c>
    </row>
    <row r="248" spans="4:5">
      <c r="E248" s="1163" t="s">
        <v>1174</v>
      </c>
    </row>
    <row r="249" spans="4:5">
      <c r="E249" s="1163" t="s">
        <v>1175</v>
      </c>
    </row>
    <row r="250" spans="4:5">
      <c r="E250" s="1163" t="s">
        <v>1176</v>
      </c>
    </row>
    <row r="252" spans="4:5">
      <c r="E252" s="1163" t="s">
        <v>1177</v>
      </c>
    </row>
    <row r="255" spans="4:5">
      <c r="E255" s="1163" t="s">
        <v>1179</v>
      </c>
    </row>
    <row r="257" spans="5:5">
      <c r="E257" s="1163" t="s">
        <v>1180</v>
      </c>
    </row>
    <row r="258" spans="5:5">
      <c r="E258" s="1163" t="s">
        <v>1181</v>
      </c>
    </row>
    <row r="259" spans="5:5">
      <c r="E259" s="1163" t="s">
        <v>1182</v>
      </c>
    </row>
    <row r="260" spans="5:5">
      <c r="E260" s="1163" t="s">
        <v>1183</v>
      </c>
    </row>
    <row r="262" spans="5:5">
      <c r="E262" s="1163" t="s">
        <v>1184</v>
      </c>
    </row>
    <row r="263" spans="5:5">
      <c r="E263" s="1163" t="s">
        <v>1185</v>
      </c>
    </row>
    <row r="264" spans="5:5">
      <c r="E264" s="1163" t="s">
        <v>1193</v>
      </c>
    </row>
    <row r="267" spans="5:5">
      <c r="E267" s="1163" t="s">
        <v>1186</v>
      </c>
    </row>
    <row r="269" spans="5:5">
      <c r="E269" s="1163" t="s">
        <v>1187</v>
      </c>
    </row>
    <row r="270" spans="5:5">
      <c r="E270" s="1163" t="s">
        <v>1188</v>
      </c>
    </row>
    <row r="271" spans="5:5">
      <c r="E271" s="1163" t="s">
        <v>1189</v>
      </c>
    </row>
    <row r="272" spans="5:5">
      <c r="E272" s="1163" t="s">
        <v>1190</v>
      </c>
    </row>
    <row r="273" spans="3:5">
      <c r="E273" s="1163" t="s">
        <v>1191</v>
      </c>
    </row>
    <row r="275" spans="3:5">
      <c r="D275" s="1188" t="s">
        <v>1192</v>
      </c>
      <c r="E275" s="1189"/>
    </row>
    <row r="277" spans="3:5">
      <c r="E277" s="1163" t="s">
        <v>1194</v>
      </c>
    </row>
    <row r="278" spans="3:5">
      <c r="E278" s="1163" t="s">
        <v>1195</v>
      </c>
    </row>
    <row r="280" spans="3:5">
      <c r="C280" s="1190" t="s">
        <v>1015</v>
      </c>
      <c r="D280" s="1191"/>
      <c r="E280" s="1192"/>
    </row>
    <row r="281" spans="3:5">
      <c r="C281" s="1193"/>
      <c r="D281" s="1194"/>
      <c r="E281" s="1195"/>
    </row>
    <row r="283" spans="3:5">
      <c r="E283" s="1163" t="s">
        <v>969</v>
      </c>
    </row>
    <row r="284" spans="3:5">
      <c r="E284" s="1163" t="s">
        <v>970</v>
      </c>
    </row>
    <row r="285" spans="3:5">
      <c r="E285" s="1163" t="s">
        <v>971</v>
      </c>
    </row>
    <row r="286" spans="3:5">
      <c r="E286" s="1163" t="s">
        <v>972</v>
      </c>
    </row>
    <row r="288" spans="3:5">
      <c r="E288" s="1163" t="s">
        <v>973</v>
      </c>
    </row>
    <row r="289" spans="3:5">
      <c r="E289" s="1163" t="s">
        <v>974</v>
      </c>
    </row>
    <row r="291" spans="3:5">
      <c r="E291" s="1163" t="s">
        <v>975</v>
      </c>
    </row>
    <row r="292" spans="3:5">
      <c r="E292" s="1163" t="s">
        <v>976</v>
      </c>
    </row>
    <row r="294" spans="3:5">
      <c r="C294" s="1190" t="s">
        <v>1016</v>
      </c>
      <c r="D294" s="1191"/>
      <c r="E294" s="1192"/>
    </row>
    <row r="295" spans="3:5">
      <c r="C295" s="1193"/>
      <c r="D295" s="1194"/>
      <c r="E295" s="1195"/>
    </row>
    <row r="297" spans="3:5">
      <c r="E297" s="1163" t="s">
        <v>977</v>
      </c>
    </row>
    <row r="298" spans="3:5">
      <c r="E298" s="1163" t="s">
        <v>978</v>
      </c>
    </row>
    <row r="300" spans="3:5">
      <c r="E300" s="1163" t="s">
        <v>979</v>
      </c>
    </row>
    <row r="301" spans="3:5">
      <c r="E301" s="1163" t="s">
        <v>980</v>
      </c>
    </row>
    <row r="303" spans="3:5">
      <c r="C303" s="1190" t="s">
        <v>1017</v>
      </c>
      <c r="D303" s="1191"/>
      <c r="E303" s="1192"/>
    </row>
    <row r="304" spans="3:5">
      <c r="C304" s="1193"/>
      <c r="D304" s="1194"/>
      <c r="E304" s="1195"/>
    </row>
    <row r="306" spans="2:5">
      <c r="E306" s="1163" t="s">
        <v>981</v>
      </c>
    </row>
    <row r="307" spans="2:5">
      <c r="E307" s="1163" t="s">
        <v>982</v>
      </c>
    </row>
    <row r="308" spans="2:5">
      <c r="E308" s="1163" t="s">
        <v>983</v>
      </c>
    </row>
    <row r="309" spans="2:5">
      <c r="E309" s="1163" t="s">
        <v>984</v>
      </c>
    </row>
    <row r="310" spans="2:5">
      <c r="E310" s="1163" t="s">
        <v>985</v>
      </c>
    </row>
    <row r="312" spans="2:5">
      <c r="E312" s="1163" t="s">
        <v>986</v>
      </c>
    </row>
    <row r="313" spans="2:5">
      <c r="E313" s="1163" t="s">
        <v>987</v>
      </c>
    </row>
    <row r="314" spans="2:5">
      <c r="E314" s="1163" t="s">
        <v>988</v>
      </c>
    </row>
    <row r="316" spans="2:5">
      <c r="B316" s="1182" t="s">
        <v>1018</v>
      </c>
      <c r="C316" s="1183"/>
      <c r="D316" s="1183"/>
      <c r="E316" s="1184"/>
    </row>
    <row r="317" spans="2:5">
      <c r="B317" s="1185"/>
      <c r="C317" s="1186"/>
      <c r="D317" s="1186"/>
      <c r="E317" s="1187"/>
    </row>
    <row r="319" spans="2:5">
      <c r="E319" s="1163" t="s">
        <v>989</v>
      </c>
    </row>
    <row r="320" spans="2:5">
      <c r="E320" s="1163" t="s">
        <v>990</v>
      </c>
    </row>
    <row r="321" spans="2:5">
      <c r="E321" s="1163" t="s">
        <v>991</v>
      </c>
    </row>
    <row r="323" spans="2:5">
      <c r="E323" s="1163" t="s">
        <v>992</v>
      </c>
    </row>
    <row r="325" spans="2:5">
      <c r="B325" s="1182" t="s">
        <v>1019</v>
      </c>
      <c r="C325" s="1183"/>
      <c r="D325" s="1183"/>
      <c r="E325" s="1184"/>
    </row>
    <row r="326" spans="2:5">
      <c r="B326" s="1185"/>
      <c r="C326" s="1186"/>
      <c r="D326" s="1186"/>
      <c r="E326" s="1187"/>
    </row>
    <row r="328" spans="2:5">
      <c r="E328" s="1163" t="s">
        <v>993</v>
      </c>
    </row>
    <row r="329" spans="2:5">
      <c r="E329" s="1163" t="s">
        <v>994</v>
      </c>
    </row>
    <row r="331" spans="2:5">
      <c r="E331" s="1163" t="s">
        <v>995</v>
      </c>
    </row>
    <row r="332" spans="2:5">
      <c r="E332" s="1163" t="s">
        <v>996</v>
      </c>
    </row>
    <row r="333" spans="2:5">
      <c r="E333" s="1163" t="s">
        <v>997</v>
      </c>
    </row>
    <row r="335" spans="2:5">
      <c r="E335" s="1163" t="s">
        <v>998</v>
      </c>
    </row>
    <row r="336" spans="2:5">
      <c r="E336" s="1163" t="s">
        <v>999</v>
      </c>
    </row>
    <row r="337" spans="5:5">
      <c r="E337" s="1163" t="s">
        <v>1000</v>
      </c>
    </row>
    <row r="339" spans="5:5">
      <c r="E339" s="1163" t="s">
        <v>1001</v>
      </c>
    </row>
    <row r="340" spans="5:5">
      <c r="E340" s="1163" t="s">
        <v>1002</v>
      </c>
    </row>
    <row r="341" spans="5:5">
      <c r="E341" s="1163" t="s">
        <v>1003</v>
      </c>
    </row>
    <row r="343" spans="5:5">
      <c r="E343" s="1163" t="s">
        <v>1004</v>
      </c>
    </row>
    <row r="344" spans="5:5">
      <c r="E344" s="1163" t="s">
        <v>1005</v>
      </c>
    </row>
    <row r="345" spans="5:5">
      <c r="E345" s="1163" t="s">
        <v>1006</v>
      </c>
    </row>
    <row r="347" spans="5:5">
      <c r="E347" s="1163" t="s">
        <v>1007</v>
      </c>
    </row>
  </sheetData>
  <mergeCells count="25">
    <mergeCell ref="B316:E317"/>
    <mergeCell ref="B325:E326"/>
    <mergeCell ref="C56:E57"/>
    <mergeCell ref="D89:E89"/>
    <mergeCell ref="D97:E97"/>
    <mergeCell ref="D109:E109"/>
    <mergeCell ref="D117:E117"/>
    <mergeCell ref="D136:E136"/>
    <mergeCell ref="C83:E84"/>
    <mergeCell ref="C141:E142"/>
    <mergeCell ref="C232:E233"/>
    <mergeCell ref="C280:E281"/>
    <mergeCell ref="C294:E295"/>
    <mergeCell ref="C303:E304"/>
    <mergeCell ref="D175:E175"/>
    <mergeCell ref="D193:E193"/>
    <mergeCell ref="D241:E241"/>
    <mergeCell ref="B21:E22"/>
    <mergeCell ref="D275:E275"/>
    <mergeCell ref="B4:E9"/>
    <mergeCell ref="B31:E32"/>
    <mergeCell ref="B42:E43"/>
    <mergeCell ref="B53:E54"/>
    <mergeCell ref="D152:E152"/>
    <mergeCell ref="B11:E12"/>
  </mergeCells>
  <phoneticPr fontId="15"/>
  <hyperlinks>
    <hyperlink ref="E14" location="はじめに" display="はじめに"/>
    <hyperlink ref="E15" location="動作環境" display="動作環境"/>
    <hyperlink ref="E16" location="その他" display="その他"/>
    <hyperlink ref="E17" location="「Myリゾート」の使い方" display="「Myリゾート」の使い方"/>
    <hyperlink ref="E18" location="「全一覧」の使い方" display="「全一覧」の使い方"/>
    <hyperlink ref="E19" location="「元データ」の使い方" display="「元データ」の使い方"/>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X197"/>
  <sheetViews>
    <sheetView zoomScale="85" zoomScaleNormal="85" workbookViewId="0">
      <pane xSplit="12" ySplit="5" topLeftCell="BD6" activePane="bottomRight" state="frozen"/>
      <selection pane="topRight" activeCell="M1" sqref="M1"/>
      <selection pane="bottomLeft" activeCell="A6" sqref="A6"/>
      <selection pane="bottomRight"/>
    </sheetView>
  </sheetViews>
  <sheetFormatPr defaultRowHeight="13.2"/>
  <cols>
    <col min="1" max="1" width="4.6640625" customWidth="1"/>
    <col min="2" max="2" width="28.77734375" bestFit="1" customWidth="1"/>
    <col min="3" max="3" width="8.88671875" style="3"/>
    <col min="4" max="4" width="3.5546875" customWidth="1"/>
    <col min="5" max="7" width="3.5546875" style="3" bestFit="1" customWidth="1"/>
    <col min="8" max="8" width="5.109375" style="3" bestFit="1" customWidth="1"/>
    <col min="9" max="9" width="8.109375" bestFit="1" customWidth="1"/>
    <col min="10" max="10" width="6.33203125" customWidth="1"/>
    <col min="11" max="12" width="7.77734375" customWidth="1"/>
    <col min="13" max="13" width="6" bestFit="1" customWidth="1"/>
    <col min="14" max="14" width="7.6640625" bestFit="1" customWidth="1"/>
    <col min="15" max="15" width="12.109375" bestFit="1" customWidth="1"/>
    <col min="16" max="16" width="6.21875" bestFit="1" customWidth="1"/>
    <col min="17" max="18" width="7.77734375" customWidth="1"/>
    <col min="19" max="19" width="8.88671875" bestFit="1" customWidth="1"/>
    <col min="20" max="20" width="12.109375" customWidth="1"/>
    <col min="21" max="21" width="31.88671875" bestFit="1" customWidth="1"/>
    <col min="22" max="23" width="7.77734375" style="1" customWidth="1"/>
    <col min="24" max="24" width="5.77734375" style="1" customWidth="1"/>
    <col min="25" max="25" width="7.77734375" style="1" customWidth="1"/>
    <col min="26" max="26" width="8.77734375" style="1" customWidth="1"/>
    <col min="27" max="27" width="7.77734375" style="1" customWidth="1"/>
    <col min="28" max="28" width="10.77734375" style="1" customWidth="1"/>
    <col min="29" max="31" width="4.33203125" style="1" bestFit="1" customWidth="1"/>
    <col min="32" max="34" width="7.77734375" style="1" customWidth="1"/>
    <col min="35" max="35" width="5.77734375" style="1" customWidth="1"/>
    <col min="36" max="36" width="7.77734375" style="1" customWidth="1"/>
    <col min="37" max="37" width="8.77734375" style="1" customWidth="1"/>
    <col min="38" max="38" width="7.77734375" style="1" customWidth="1"/>
    <col min="39" max="39" width="10.77734375" style="1" customWidth="1"/>
    <col min="40" max="42" width="4.33203125" style="1" bestFit="1" customWidth="1"/>
    <col min="43" max="45" width="7.77734375" style="1" customWidth="1"/>
    <col min="46" max="46" width="5.77734375" style="1" customWidth="1"/>
    <col min="47" max="47" width="7.77734375" style="1" customWidth="1"/>
    <col min="48" max="48" width="8.77734375" style="1" customWidth="1"/>
    <col min="49" max="49" width="7.77734375" style="1" customWidth="1"/>
    <col min="50" max="50" width="10.77734375" style="1" customWidth="1"/>
    <col min="51" max="53" width="4.33203125" style="1" bestFit="1" customWidth="1"/>
    <col min="54" max="56" width="7.77734375" style="1" customWidth="1"/>
    <col min="57" max="57" width="5.77734375" style="1" customWidth="1"/>
    <col min="58" max="58" width="7.77734375" style="1" customWidth="1"/>
    <col min="59" max="59" width="8.77734375" style="1" customWidth="1"/>
    <col min="60" max="60" width="7.77734375" style="1" customWidth="1"/>
    <col min="61" max="61" width="10.77734375" style="1" customWidth="1"/>
    <col min="62" max="64" width="4.33203125" style="1" bestFit="1" customWidth="1"/>
    <col min="65" max="67" width="7.77734375" style="1" customWidth="1"/>
    <col min="68" max="68" width="5.77734375" style="1" customWidth="1"/>
    <col min="69" max="69" width="7.77734375" style="1" customWidth="1"/>
    <col min="70" max="70" width="8.77734375" style="1" customWidth="1"/>
    <col min="71" max="71" width="7.77734375" style="1" customWidth="1"/>
    <col min="72" max="72" width="10.77734375" style="1" customWidth="1"/>
    <col min="73" max="75" width="4.33203125" style="1" bestFit="1" customWidth="1"/>
    <col min="76" max="76" width="7.77734375" style="1" customWidth="1"/>
    <col min="77" max="78" width="5.21875" bestFit="1" customWidth="1"/>
    <col min="79" max="79" width="7.77734375" bestFit="1" customWidth="1"/>
    <col min="80" max="82" width="10.33203125" bestFit="1" customWidth="1"/>
    <col min="83" max="83" width="11.44140625" bestFit="1" customWidth="1"/>
    <col min="84" max="88" width="10.33203125" bestFit="1" customWidth="1"/>
    <col min="89" max="89" width="8.88671875" bestFit="1" customWidth="1"/>
    <col min="90" max="90" width="3.33203125" bestFit="1" customWidth="1"/>
    <col min="91" max="91" width="5" bestFit="1" customWidth="1"/>
    <col min="92" max="95" width="5" style="444" customWidth="1"/>
    <col min="96" max="97" width="5.33203125" bestFit="1" customWidth="1"/>
    <col min="98" max="100" width="6.77734375" bestFit="1" customWidth="1"/>
    <col min="101" max="101" width="6.6640625" style="444" bestFit="1" customWidth="1"/>
    <col min="102" max="102" width="95.109375" bestFit="1" customWidth="1"/>
  </cols>
  <sheetData>
    <row r="1" spans="1:102" ht="13.8" thickBot="1">
      <c r="V1" s="15">
        <v>1</v>
      </c>
      <c r="AG1" s="15">
        <v>1.25</v>
      </c>
      <c r="AR1" s="15">
        <v>1.5</v>
      </c>
      <c r="BC1" s="15">
        <v>2</v>
      </c>
      <c r="BN1" s="15">
        <v>3</v>
      </c>
    </row>
    <row r="2" spans="1:102" s="4" customFormat="1" ht="11.4" thickBot="1">
      <c r="C2" s="5"/>
      <c r="D2" s="6"/>
      <c r="E2" s="5"/>
      <c r="F2" s="5"/>
      <c r="G2" s="5"/>
      <c r="H2" s="5"/>
      <c r="K2" s="118"/>
      <c r="M2" s="118"/>
      <c r="V2" s="15">
        <v>1</v>
      </c>
      <c r="W2" s="6"/>
      <c r="X2" s="6"/>
      <c r="Y2" s="6"/>
      <c r="Z2" s="6"/>
      <c r="AA2" s="6"/>
      <c r="AB2" s="6"/>
      <c r="AC2" s="6"/>
      <c r="AD2" s="6"/>
      <c r="AE2" s="6"/>
      <c r="AF2" s="6"/>
      <c r="AG2" s="15">
        <v>1.5</v>
      </c>
      <c r="AH2" s="6"/>
      <c r="AI2" s="6"/>
      <c r="AJ2" s="6"/>
      <c r="AK2" s="6"/>
      <c r="AL2" s="6"/>
      <c r="AM2" s="6"/>
      <c r="AN2" s="6"/>
      <c r="AO2" s="6"/>
      <c r="AP2" s="6"/>
      <c r="AQ2" s="6"/>
      <c r="AR2" s="15">
        <v>1.75</v>
      </c>
      <c r="AS2" s="6"/>
      <c r="AT2" s="6"/>
      <c r="AU2" s="6"/>
      <c r="AV2" s="6"/>
      <c r="AW2" s="6"/>
      <c r="AX2" s="6"/>
      <c r="AY2" s="6"/>
      <c r="AZ2" s="6"/>
      <c r="BA2" s="6"/>
      <c r="BB2" s="6"/>
      <c r="BC2" s="15">
        <v>1.9</v>
      </c>
      <c r="BD2" s="6"/>
      <c r="BE2" s="6"/>
      <c r="BF2" s="6"/>
      <c r="BG2" s="6"/>
      <c r="BH2" s="6"/>
      <c r="BI2" s="6"/>
      <c r="BJ2" s="6"/>
      <c r="BK2" s="6"/>
      <c r="BL2" s="6"/>
      <c r="BM2" s="6"/>
      <c r="BN2" s="15">
        <v>2</v>
      </c>
      <c r="BO2" s="6"/>
      <c r="BP2" s="6"/>
      <c r="BQ2" s="6"/>
      <c r="BR2" s="6"/>
      <c r="BS2" s="6"/>
      <c r="BT2" s="6"/>
      <c r="BU2" s="6"/>
      <c r="BV2" s="6"/>
      <c r="BW2" s="6"/>
      <c r="BX2" s="6"/>
      <c r="CN2" s="445"/>
      <c r="CO2" s="445"/>
      <c r="CP2" s="445"/>
      <c r="CQ2" s="445"/>
      <c r="CW2" s="445"/>
    </row>
    <row r="3" spans="1:102" ht="13.8" thickBot="1">
      <c r="B3" s="1202" t="s">
        <v>293</v>
      </c>
      <c r="C3" s="1255"/>
      <c r="D3" s="1255"/>
      <c r="E3" s="1255"/>
      <c r="F3" s="1255"/>
      <c r="G3" s="1255"/>
      <c r="H3" s="1255"/>
      <c r="I3" s="1255"/>
      <c r="J3" s="1255"/>
      <c r="K3" s="1255"/>
      <c r="L3" s="1256"/>
      <c r="M3" s="1202" t="s">
        <v>292</v>
      </c>
      <c r="N3" s="1257"/>
      <c r="O3" s="1257"/>
      <c r="P3" s="1259"/>
      <c r="Q3" s="1202" t="s">
        <v>289</v>
      </c>
      <c r="R3" s="1257"/>
      <c r="S3" s="1258"/>
      <c r="T3" s="1267" t="s">
        <v>288</v>
      </c>
      <c r="U3" s="1268"/>
      <c r="V3" s="1214" t="s">
        <v>23</v>
      </c>
      <c r="W3" s="1215"/>
      <c r="X3" s="1215"/>
      <c r="Y3" s="1215"/>
      <c r="Z3" s="1215"/>
      <c r="AA3" s="1215"/>
      <c r="AB3" s="1215"/>
      <c r="AC3" s="1215"/>
      <c r="AD3" s="1215"/>
      <c r="AE3" s="1215"/>
      <c r="AF3" s="1216"/>
      <c r="AG3" s="1214" t="s">
        <v>297</v>
      </c>
      <c r="AH3" s="1215"/>
      <c r="AI3" s="1215"/>
      <c r="AJ3" s="1215"/>
      <c r="AK3" s="1215"/>
      <c r="AL3" s="1215"/>
      <c r="AM3" s="1215"/>
      <c r="AN3" s="1215"/>
      <c r="AO3" s="1215"/>
      <c r="AP3" s="1215"/>
      <c r="AQ3" s="1216"/>
      <c r="AR3" s="1214" t="s">
        <v>298</v>
      </c>
      <c r="AS3" s="1215"/>
      <c r="AT3" s="1215"/>
      <c r="AU3" s="1215"/>
      <c r="AV3" s="1215"/>
      <c r="AW3" s="1215"/>
      <c r="AX3" s="1215"/>
      <c r="AY3" s="1215"/>
      <c r="AZ3" s="1215"/>
      <c r="BA3" s="1215"/>
      <c r="BB3" s="1216"/>
      <c r="BC3" s="1214" t="s">
        <v>299</v>
      </c>
      <c r="BD3" s="1215"/>
      <c r="BE3" s="1215"/>
      <c r="BF3" s="1215"/>
      <c r="BG3" s="1215"/>
      <c r="BH3" s="1215"/>
      <c r="BI3" s="1215"/>
      <c r="BJ3" s="1215"/>
      <c r="BK3" s="1215"/>
      <c r="BL3" s="1215"/>
      <c r="BM3" s="1216"/>
      <c r="BN3" s="1214" t="s">
        <v>300</v>
      </c>
      <c r="BO3" s="1215"/>
      <c r="BP3" s="1215"/>
      <c r="BQ3" s="1215"/>
      <c r="BR3" s="1215"/>
      <c r="BS3" s="1215"/>
      <c r="BT3" s="1215"/>
      <c r="BU3" s="1215"/>
      <c r="BV3" s="1215"/>
      <c r="BW3" s="1215"/>
      <c r="BX3" s="1216"/>
      <c r="BY3" s="1208" t="s">
        <v>304</v>
      </c>
      <c r="BZ3" s="1211" t="s">
        <v>294</v>
      </c>
      <c r="CA3" s="1202" t="s">
        <v>301</v>
      </c>
      <c r="CB3" s="1203"/>
      <c r="CC3" s="1203"/>
      <c r="CD3" s="1203"/>
      <c r="CE3" s="1203"/>
      <c r="CF3" s="1203"/>
      <c r="CG3" s="1203"/>
      <c r="CH3" s="1203"/>
      <c r="CI3" s="1203"/>
      <c r="CJ3" s="1203"/>
      <c r="CK3" s="1203"/>
      <c r="CL3" s="1203"/>
      <c r="CM3" s="1203"/>
      <c r="CN3" s="1196" t="s">
        <v>310</v>
      </c>
      <c r="CO3" s="1197"/>
      <c r="CP3" s="1197"/>
      <c r="CQ3" s="1198"/>
      <c r="CR3" s="1196" t="s">
        <v>589</v>
      </c>
      <c r="CS3" s="1248"/>
      <c r="CT3" s="1248"/>
      <c r="CU3" s="1248"/>
      <c r="CV3" s="1248"/>
      <c r="CW3" s="1248"/>
      <c r="CX3" s="1249"/>
    </row>
    <row r="4" spans="1:102" ht="14.4" thickTop="1" thickBot="1">
      <c r="B4" s="1231" t="s">
        <v>26</v>
      </c>
      <c r="C4" s="1229" t="s">
        <v>273</v>
      </c>
      <c r="D4" s="1239" t="s">
        <v>25</v>
      </c>
      <c r="E4" s="1240"/>
      <c r="F4" s="1240"/>
      <c r="G4" s="1241"/>
      <c r="H4" s="1233" t="s">
        <v>291</v>
      </c>
      <c r="I4" s="1235" t="s">
        <v>27</v>
      </c>
      <c r="J4" s="1242" t="s">
        <v>284</v>
      </c>
      <c r="K4" s="1244" t="s">
        <v>285</v>
      </c>
      <c r="L4" s="1246" t="s">
        <v>286</v>
      </c>
      <c r="M4" s="1265" t="s">
        <v>290</v>
      </c>
      <c r="N4" s="1262" t="s">
        <v>287</v>
      </c>
      <c r="O4" s="1264" t="s">
        <v>266</v>
      </c>
      <c r="P4" s="1260" t="s">
        <v>274</v>
      </c>
      <c r="Q4" s="1237" t="s">
        <v>2</v>
      </c>
      <c r="R4" s="1225" t="s">
        <v>18</v>
      </c>
      <c r="S4" s="1227" t="s">
        <v>624</v>
      </c>
      <c r="T4" s="1269" t="s">
        <v>267</v>
      </c>
      <c r="U4" s="1223" t="s">
        <v>276</v>
      </c>
      <c r="V4" s="1217" t="s">
        <v>28</v>
      </c>
      <c r="W4" s="1218"/>
      <c r="X4" s="1219" t="s">
        <v>17</v>
      </c>
      <c r="Y4" s="1220"/>
      <c r="Z4" s="1218"/>
      <c r="AA4" s="1221" t="s">
        <v>275</v>
      </c>
      <c r="AB4" s="1220"/>
      <c r="AC4" s="1220"/>
      <c r="AD4" s="1220"/>
      <c r="AE4" s="1220"/>
      <c r="AF4" s="1222"/>
      <c r="AG4" s="1217" t="s">
        <v>28</v>
      </c>
      <c r="AH4" s="1218"/>
      <c r="AI4" s="1219" t="s">
        <v>17</v>
      </c>
      <c r="AJ4" s="1220"/>
      <c r="AK4" s="1218"/>
      <c r="AL4" s="1221" t="s">
        <v>275</v>
      </c>
      <c r="AM4" s="1220"/>
      <c r="AN4" s="1220"/>
      <c r="AO4" s="1220"/>
      <c r="AP4" s="1220"/>
      <c r="AQ4" s="1222"/>
      <c r="AR4" s="1217" t="s">
        <v>28</v>
      </c>
      <c r="AS4" s="1218"/>
      <c r="AT4" s="1219" t="s">
        <v>17</v>
      </c>
      <c r="AU4" s="1220"/>
      <c r="AV4" s="1218"/>
      <c r="AW4" s="1221" t="s">
        <v>275</v>
      </c>
      <c r="AX4" s="1220"/>
      <c r="AY4" s="1220"/>
      <c r="AZ4" s="1220"/>
      <c r="BA4" s="1220"/>
      <c r="BB4" s="1222"/>
      <c r="BC4" s="1217" t="s">
        <v>28</v>
      </c>
      <c r="BD4" s="1218"/>
      <c r="BE4" s="1219" t="s">
        <v>17</v>
      </c>
      <c r="BF4" s="1220"/>
      <c r="BG4" s="1218"/>
      <c r="BH4" s="1221" t="s">
        <v>275</v>
      </c>
      <c r="BI4" s="1220"/>
      <c r="BJ4" s="1220"/>
      <c r="BK4" s="1220"/>
      <c r="BL4" s="1220"/>
      <c r="BM4" s="1222"/>
      <c r="BN4" s="1217" t="s">
        <v>28</v>
      </c>
      <c r="BO4" s="1218"/>
      <c r="BP4" s="1219" t="s">
        <v>17</v>
      </c>
      <c r="BQ4" s="1220"/>
      <c r="BR4" s="1218"/>
      <c r="BS4" s="1221" t="s">
        <v>275</v>
      </c>
      <c r="BT4" s="1220"/>
      <c r="BU4" s="1220"/>
      <c r="BV4" s="1220"/>
      <c r="BW4" s="1220"/>
      <c r="BX4" s="1222"/>
      <c r="BY4" s="1209"/>
      <c r="BZ4" s="1212"/>
      <c r="CA4" s="1204" t="s">
        <v>312</v>
      </c>
      <c r="CB4" s="1206" t="s">
        <v>302</v>
      </c>
      <c r="CC4" s="1207"/>
      <c r="CD4" s="1207"/>
      <c r="CE4" s="1207"/>
      <c r="CF4" s="1207"/>
      <c r="CG4" s="1207"/>
      <c r="CH4" s="1207"/>
      <c r="CI4" s="1207"/>
      <c r="CJ4" s="1207"/>
      <c r="CK4" s="1207"/>
      <c r="CL4" s="1207"/>
      <c r="CM4" s="1207"/>
      <c r="CN4" s="1199" t="s">
        <v>311</v>
      </c>
      <c r="CO4" s="1200"/>
      <c r="CP4" s="1200"/>
      <c r="CQ4" s="1201"/>
      <c r="CR4" s="1250" t="s">
        <v>55</v>
      </c>
      <c r="CS4" s="1251"/>
      <c r="CT4" s="1251"/>
      <c r="CU4" s="1251"/>
      <c r="CV4" s="1251"/>
      <c r="CW4" s="1252"/>
      <c r="CX4" s="1253" t="s">
        <v>281</v>
      </c>
    </row>
    <row r="5" spans="1:102" ht="26.4" thickTop="1" thickBot="1">
      <c r="B5" s="1232"/>
      <c r="C5" s="1230"/>
      <c r="D5" s="119" t="s">
        <v>45</v>
      </c>
      <c r="E5" s="122" t="s">
        <v>3</v>
      </c>
      <c r="F5" s="120" t="s">
        <v>8</v>
      </c>
      <c r="G5" s="121" t="s">
        <v>13</v>
      </c>
      <c r="H5" s="1234"/>
      <c r="I5" s="1236"/>
      <c r="J5" s="1243"/>
      <c r="K5" s="1245"/>
      <c r="L5" s="1247"/>
      <c r="M5" s="1266"/>
      <c r="N5" s="1263"/>
      <c r="O5" s="1263"/>
      <c r="P5" s="1261"/>
      <c r="Q5" s="1238"/>
      <c r="R5" s="1226"/>
      <c r="S5" s="1228"/>
      <c r="T5" s="1270"/>
      <c r="U5" s="1224"/>
      <c r="V5" s="227" t="s">
        <v>2</v>
      </c>
      <c r="W5" s="228" t="s">
        <v>18</v>
      </c>
      <c r="X5" s="229" t="s">
        <v>24</v>
      </c>
      <c r="Y5" s="224" t="s">
        <v>19</v>
      </c>
      <c r="Z5" s="230" t="s">
        <v>20</v>
      </c>
      <c r="AA5" s="224" t="s">
        <v>21</v>
      </c>
      <c r="AB5" s="228" t="s">
        <v>22</v>
      </c>
      <c r="AC5" s="228" t="s">
        <v>162</v>
      </c>
      <c r="AD5" s="228" t="s">
        <v>163</v>
      </c>
      <c r="AE5" s="228" t="s">
        <v>164</v>
      </c>
      <c r="AF5" s="231" t="s">
        <v>34</v>
      </c>
      <c r="AG5" s="227" t="s">
        <v>2</v>
      </c>
      <c r="AH5" s="228" t="s">
        <v>18</v>
      </c>
      <c r="AI5" s="229" t="s">
        <v>24</v>
      </c>
      <c r="AJ5" s="224" t="s">
        <v>19</v>
      </c>
      <c r="AK5" s="232" t="s">
        <v>20</v>
      </c>
      <c r="AL5" s="224" t="s">
        <v>21</v>
      </c>
      <c r="AM5" s="228" t="s">
        <v>22</v>
      </c>
      <c r="AN5" s="228" t="s">
        <v>162</v>
      </c>
      <c r="AO5" s="228" t="s">
        <v>163</v>
      </c>
      <c r="AP5" s="228" t="s">
        <v>164</v>
      </c>
      <c r="AQ5" s="231" t="s">
        <v>34</v>
      </c>
      <c r="AR5" s="227" t="s">
        <v>2</v>
      </c>
      <c r="AS5" s="228" t="s">
        <v>18</v>
      </c>
      <c r="AT5" s="229" t="s">
        <v>24</v>
      </c>
      <c r="AU5" s="224" t="s">
        <v>19</v>
      </c>
      <c r="AV5" s="230" t="s">
        <v>20</v>
      </c>
      <c r="AW5" s="224" t="s">
        <v>21</v>
      </c>
      <c r="AX5" s="228" t="s">
        <v>22</v>
      </c>
      <c r="AY5" s="228" t="s">
        <v>162</v>
      </c>
      <c r="AZ5" s="228" t="s">
        <v>163</v>
      </c>
      <c r="BA5" s="228" t="s">
        <v>164</v>
      </c>
      <c r="BB5" s="231" t="s">
        <v>34</v>
      </c>
      <c r="BC5" s="227" t="s">
        <v>2</v>
      </c>
      <c r="BD5" s="228" t="s">
        <v>18</v>
      </c>
      <c r="BE5" s="229" t="s">
        <v>24</v>
      </c>
      <c r="BF5" s="224" t="s">
        <v>19</v>
      </c>
      <c r="BG5" s="230" t="s">
        <v>20</v>
      </c>
      <c r="BH5" s="224" t="s">
        <v>21</v>
      </c>
      <c r="BI5" s="228" t="s">
        <v>22</v>
      </c>
      <c r="BJ5" s="228" t="s">
        <v>162</v>
      </c>
      <c r="BK5" s="228" t="s">
        <v>163</v>
      </c>
      <c r="BL5" s="228" t="s">
        <v>164</v>
      </c>
      <c r="BM5" s="231" t="s">
        <v>34</v>
      </c>
      <c r="BN5" s="227" t="s">
        <v>2</v>
      </c>
      <c r="BO5" s="228" t="s">
        <v>18</v>
      </c>
      <c r="BP5" s="229" t="s">
        <v>24</v>
      </c>
      <c r="BQ5" s="224" t="s">
        <v>19</v>
      </c>
      <c r="BR5" s="230" t="s">
        <v>20</v>
      </c>
      <c r="BS5" s="224" t="s">
        <v>21</v>
      </c>
      <c r="BT5" s="228" t="s">
        <v>22</v>
      </c>
      <c r="BU5" s="228" t="s">
        <v>162</v>
      </c>
      <c r="BV5" s="228" t="s">
        <v>163</v>
      </c>
      <c r="BW5" s="228" t="s">
        <v>164</v>
      </c>
      <c r="BX5" s="231" t="s">
        <v>34</v>
      </c>
      <c r="BY5" s="1210"/>
      <c r="BZ5" s="1213"/>
      <c r="CA5" s="1205"/>
      <c r="CB5" s="224">
        <v>1</v>
      </c>
      <c r="CC5" s="225">
        <v>2</v>
      </c>
      <c r="CD5" s="225">
        <v>3</v>
      </c>
      <c r="CE5" s="225">
        <v>4</v>
      </c>
      <c r="CF5" s="225">
        <v>5</v>
      </c>
      <c r="CG5" s="225">
        <v>6</v>
      </c>
      <c r="CH5" s="225">
        <v>7</v>
      </c>
      <c r="CI5" s="225">
        <v>8</v>
      </c>
      <c r="CJ5" s="225">
        <v>9</v>
      </c>
      <c r="CK5" s="225">
        <v>10</v>
      </c>
      <c r="CL5" s="226">
        <v>11</v>
      </c>
      <c r="CM5" s="357" t="s">
        <v>303</v>
      </c>
      <c r="CN5" s="229">
        <v>1</v>
      </c>
      <c r="CO5" s="225">
        <v>2</v>
      </c>
      <c r="CP5" s="225">
        <v>3</v>
      </c>
      <c r="CQ5" s="371">
        <v>4</v>
      </c>
      <c r="CR5" s="600" t="s">
        <v>91</v>
      </c>
      <c r="CS5" s="225" t="s">
        <v>277</v>
      </c>
      <c r="CT5" s="225" t="s">
        <v>278</v>
      </c>
      <c r="CU5" s="225" t="s">
        <v>279</v>
      </c>
      <c r="CV5" s="226" t="s">
        <v>280</v>
      </c>
      <c r="CW5" s="601" t="s">
        <v>588</v>
      </c>
      <c r="CX5" s="1254"/>
    </row>
    <row r="6" spans="1:102">
      <c r="A6" s="79"/>
      <c r="B6" s="23" t="s">
        <v>49</v>
      </c>
      <c r="C6" s="180" t="s">
        <v>6</v>
      </c>
      <c r="D6" s="128"/>
      <c r="E6" s="65" t="s">
        <v>0</v>
      </c>
      <c r="F6" s="24"/>
      <c r="G6" s="25"/>
      <c r="H6" s="182">
        <v>2</v>
      </c>
      <c r="I6" s="193" t="s">
        <v>268</v>
      </c>
      <c r="J6" s="137">
        <v>3</v>
      </c>
      <c r="K6" s="216">
        <v>7.4999999999999997E-2</v>
      </c>
      <c r="L6" s="150">
        <f t="shared" ref="L6:L25" si="0">IF(ISBLANK(Q6),"",Q6/R6)</f>
        <v>2.3255813953488373</v>
      </c>
      <c r="M6" s="194">
        <v>30</v>
      </c>
      <c r="N6" s="195">
        <v>6</v>
      </c>
      <c r="O6" s="213" t="s">
        <v>305</v>
      </c>
      <c r="P6" s="197" t="s">
        <v>200</v>
      </c>
      <c r="Q6" s="166">
        <v>200</v>
      </c>
      <c r="R6" s="26">
        <v>86</v>
      </c>
      <c r="S6" s="27">
        <v>2400</v>
      </c>
      <c r="T6" s="177" t="s">
        <v>313</v>
      </c>
      <c r="U6" s="178" t="s">
        <v>305</v>
      </c>
      <c r="V6" s="124">
        <v>200</v>
      </c>
      <c r="W6" s="123">
        <v>86</v>
      </c>
      <c r="X6" s="125">
        <v>4</v>
      </c>
      <c r="Y6" s="151">
        <f t="shared" ref="Y6:Y25" si="1">IF(ISBLANK(X6), "",INT(V6*X6))</f>
        <v>800</v>
      </c>
      <c r="Z6" s="221">
        <f t="shared" ref="Z6:Z25" si="2">IF(ISBLANK(X6),"",INT(Y6*$J6))</f>
        <v>2400</v>
      </c>
      <c r="AA6" s="28">
        <f>3/60/60</f>
        <v>8.3333333333333339E-4</v>
      </c>
      <c r="AB6" s="26">
        <v>1500</v>
      </c>
      <c r="AC6" s="26">
        <v>0</v>
      </c>
      <c r="AD6" s="26">
        <v>0</v>
      </c>
      <c r="AE6" s="26">
        <v>0</v>
      </c>
      <c r="AF6" s="126">
        <v>5</v>
      </c>
      <c r="AG6" s="124">
        <v>300</v>
      </c>
      <c r="AH6" s="123">
        <v>129</v>
      </c>
      <c r="AI6" s="125">
        <v>4</v>
      </c>
      <c r="AJ6" s="151">
        <f t="shared" ref="AJ6:AJ25" si="3">IF(ISBLANK(AI6), "",INT(AG6*AI6))</f>
        <v>1200</v>
      </c>
      <c r="AK6" s="221">
        <f t="shared" ref="AK6:AK25" si="4">IF(ISBLANK(AI6),"",INT(AJ6*$J6))</f>
        <v>3600</v>
      </c>
      <c r="AL6" s="28">
        <f>5/60</f>
        <v>8.3333333333333329E-2</v>
      </c>
      <c r="AM6" s="49">
        <v>5000</v>
      </c>
      <c r="AN6" s="26">
        <v>0</v>
      </c>
      <c r="AO6" s="26">
        <v>0</v>
      </c>
      <c r="AP6" s="26">
        <v>0</v>
      </c>
      <c r="AQ6" s="198">
        <v>7</v>
      </c>
      <c r="AR6" s="124">
        <v>350</v>
      </c>
      <c r="AS6" s="123">
        <v>150</v>
      </c>
      <c r="AT6" s="125">
        <v>4</v>
      </c>
      <c r="AU6" s="151">
        <f t="shared" ref="AU6:AU25" si="5">IF(ISBLANK(AT6), "",INT(AR6*AT6))</f>
        <v>1400</v>
      </c>
      <c r="AV6" s="223">
        <f t="shared" ref="AV6:AV25" si="6">IF(ISBLANK(AT6),"",INT(AU6*$J6))</f>
        <v>4200</v>
      </c>
      <c r="AW6" s="28">
        <v>0.5</v>
      </c>
      <c r="AX6" s="49">
        <v>10000</v>
      </c>
      <c r="AY6" s="26">
        <v>1</v>
      </c>
      <c r="AZ6" s="26">
        <v>0</v>
      </c>
      <c r="BA6" s="26">
        <v>0</v>
      </c>
      <c r="BB6" s="198">
        <v>52</v>
      </c>
      <c r="BC6" s="124">
        <v>380</v>
      </c>
      <c r="BD6" s="123">
        <v>163</v>
      </c>
      <c r="BE6" s="125">
        <v>4</v>
      </c>
      <c r="BF6" s="151">
        <f t="shared" ref="BF6:BF25" si="7">IF(ISBLANK(BE6), "",INT(BC6*BE6))</f>
        <v>1520</v>
      </c>
      <c r="BG6" s="223">
        <f t="shared" ref="BG6:BG25" si="8">IF(ISBLANK(BE6),"",INT(BF6*$J6))</f>
        <v>4560</v>
      </c>
      <c r="BH6" s="28">
        <v>1</v>
      </c>
      <c r="BI6" s="49">
        <v>15000</v>
      </c>
      <c r="BJ6" s="26">
        <v>0</v>
      </c>
      <c r="BK6" s="26">
        <v>0</v>
      </c>
      <c r="BL6" s="26">
        <v>0</v>
      </c>
      <c r="BM6" s="198">
        <v>114</v>
      </c>
      <c r="BN6" s="124">
        <v>400</v>
      </c>
      <c r="BO6" s="123">
        <v>172</v>
      </c>
      <c r="BP6" s="125">
        <v>4</v>
      </c>
      <c r="BQ6" s="151">
        <f t="shared" ref="BQ6:BQ38" si="9">IF(ISBLANK(BP6), "",INT(BN6*BP6))</f>
        <v>1600</v>
      </c>
      <c r="BR6" s="223">
        <f t="shared" ref="BR6:BR38" si="10">IF(ISBLANK(BP6),"",INT(BQ6*$J6))</f>
        <v>4800</v>
      </c>
      <c r="BS6" s="28">
        <v>2</v>
      </c>
      <c r="BT6" s="49">
        <v>30000</v>
      </c>
      <c r="BU6" s="26">
        <v>0</v>
      </c>
      <c r="BV6" s="26">
        <v>1</v>
      </c>
      <c r="BW6" s="26">
        <v>0</v>
      </c>
      <c r="BX6" s="198">
        <v>160</v>
      </c>
      <c r="BY6" s="80">
        <v>1</v>
      </c>
      <c r="BZ6" s="418" t="s">
        <v>35</v>
      </c>
      <c r="CA6" s="379"/>
      <c r="CB6" s="417"/>
      <c r="CC6" s="300"/>
      <c r="CD6" s="300"/>
      <c r="CE6" s="300"/>
      <c r="CF6" s="300"/>
      <c r="CG6" s="300"/>
      <c r="CH6" s="300"/>
      <c r="CI6" s="300"/>
      <c r="CJ6" s="300"/>
      <c r="CK6" s="300"/>
      <c r="CL6" s="308"/>
      <c r="CM6" s="392" t="s">
        <v>307</v>
      </c>
      <c r="CN6" s="235">
        <v>1</v>
      </c>
      <c r="CO6" s="213"/>
      <c r="CP6" s="213"/>
      <c r="CQ6" s="420"/>
      <c r="CR6" s="1"/>
      <c r="CS6" s="1"/>
      <c r="CT6" s="1"/>
      <c r="CU6" s="1"/>
      <c r="CV6" s="1"/>
      <c r="CW6" s="2"/>
      <c r="CX6" s="603"/>
    </row>
    <row r="7" spans="1:102">
      <c r="A7" s="79"/>
      <c r="B7" s="23" t="s">
        <v>122</v>
      </c>
      <c r="C7" s="180" t="s">
        <v>54</v>
      </c>
      <c r="D7" s="128"/>
      <c r="E7" s="65" t="s">
        <v>43</v>
      </c>
      <c r="F7" s="24"/>
      <c r="G7" s="25"/>
      <c r="H7" s="182">
        <v>4</v>
      </c>
      <c r="I7" s="183" t="s">
        <v>268</v>
      </c>
      <c r="J7" s="137">
        <v>3</v>
      </c>
      <c r="K7" s="216">
        <v>7.4999999999999997E-2</v>
      </c>
      <c r="L7" s="150">
        <f>IF(ISBLANK(Q7),"",Q7/R7)</f>
        <v>2.9007633587786259</v>
      </c>
      <c r="M7" s="196">
        <v>30</v>
      </c>
      <c r="N7" s="181">
        <v>66</v>
      </c>
      <c r="O7" s="214" t="s">
        <v>306</v>
      </c>
      <c r="P7" s="164" t="s">
        <v>201</v>
      </c>
      <c r="Q7" s="166">
        <v>380</v>
      </c>
      <c r="R7" s="26">
        <v>131</v>
      </c>
      <c r="S7" s="27">
        <v>6840</v>
      </c>
      <c r="T7" s="153" t="s">
        <v>314</v>
      </c>
      <c r="U7" s="152" t="s">
        <v>306</v>
      </c>
      <c r="V7" s="124">
        <v>380</v>
      </c>
      <c r="W7" s="123">
        <v>131</v>
      </c>
      <c r="X7" s="125">
        <v>6</v>
      </c>
      <c r="Y7" s="151">
        <f>IF(ISBLANK(X7), "",INT(V7*X7))</f>
        <v>2280</v>
      </c>
      <c r="Z7" s="221">
        <f>IF(ISBLANK(X7),"",INT(Y7*$J7))</f>
        <v>6840</v>
      </c>
      <c r="AA7" s="28">
        <f>14*24</f>
        <v>336</v>
      </c>
      <c r="AB7" s="26">
        <v>20000000</v>
      </c>
      <c r="AC7" s="81">
        <v>0</v>
      </c>
      <c r="AD7" s="81">
        <v>0</v>
      </c>
      <c r="AE7" s="81">
        <v>0</v>
      </c>
      <c r="AF7" s="126">
        <v>10000</v>
      </c>
      <c r="AG7" s="124">
        <v>570</v>
      </c>
      <c r="AH7" s="123">
        <v>196</v>
      </c>
      <c r="AI7" s="125">
        <v>6</v>
      </c>
      <c r="AJ7" s="151">
        <f>IF(ISBLANK(AI7), "",INT(AG7*AI7))</f>
        <v>3420</v>
      </c>
      <c r="AK7" s="221">
        <f>IF(ISBLANK(AI7),"",INT(AJ7*$J7))</f>
        <v>10260</v>
      </c>
      <c r="AL7" s="28">
        <f>3*24+12</f>
        <v>84</v>
      </c>
      <c r="AM7" s="49">
        <v>20000000</v>
      </c>
      <c r="AN7" s="26">
        <v>0</v>
      </c>
      <c r="AO7" s="26">
        <v>0</v>
      </c>
      <c r="AP7" s="26">
        <v>0</v>
      </c>
      <c r="AQ7" s="198">
        <v>10000</v>
      </c>
      <c r="AR7" s="124">
        <v>665</v>
      </c>
      <c r="AS7" s="123">
        <v>229</v>
      </c>
      <c r="AT7" s="125">
        <v>6</v>
      </c>
      <c r="AU7" s="151">
        <f>IF(ISBLANK(AT7), "",INT(AR7*AT7))</f>
        <v>3990</v>
      </c>
      <c r="AV7" s="221">
        <f>IF(ISBLANK(AT7),"",INT(AU7*$J7))</f>
        <v>11970</v>
      </c>
      <c r="AW7" s="28">
        <f>7*24</f>
        <v>168</v>
      </c>
      <c r="AX7" s="49">
        <v>30000000</v>
      </c>
      <c r="AY7" s="81">
        <v>1</v>
      </c>
      <c r="AZ7" s="81">
        <v>0</v>
      </c>
      <c r="BA7" s="81">
        <v>0</v>
      </c>
      <c r="BB7" s="198">
        <v>10000</v>
      </c>
      <c r="BC7" s="124">
        <v>722</v>
      </c>
      <c r="BD7" s="123">
        <v>248</v>
      </c>
      <c r="BE7" s="125">
        <v>7</v>
      </c>
      <c r="BF7" s="151">
        <f>IF(ISBLANK(BE7), "",INT(BC7*BE7))</f>
        <v>5054</v>
      </c>
      <c r="BG7" s="221">
        <f>IF(ISBLANK(BE7),"",INT(BF7*$J7))</f>
        <v>15162</v>
      </c>
      <c r="BH7" s="28">
        <f>10*24+12</f>
        <v>252</v>
      </c>
      <c r="BI7" s="49">
        <v>40000000</v>
      </c>
      <c r="BJ7" s="26">
        <v>0</v>
      </c>
      <c r="BK7" s="26">
        <v>0</v>
      </c>
      <c r="BL7" s="26">
        <v>0</v>
      </c>
      <c r="BM7" s="198">
        <v>10000</v>
      </c>
      <c r="BN7" s="124">
        <v>760</v>
      </c>
      <c r="BO7" s="123">
        <v>262</v>
      </c>
      <c r="BP7" s="125">
        <v>7</v>
      </c>
      <c r="BQ7" s="151">
        <f t="shared" si="9"/>
        <v>5320</v>
      </c>
      <c r="BR7" s="221">
        <f t="shared" si="10"/>
        <v>15960</v>
      </c>
      <c r="BS7" s="28">
        <f>14*24</f>
        <v>336</v>
      </c>
      <c r="BT7" s="49">
        <v>50000000</v>
      </c>
      <c r="BU7" s="26">
        <v>0</v>
      </c>
      <c r="BV7" s="26">
        <v>1</v>
      </c>
      <c r="BW7" s="26">
        <v>0</v>
      </c>
      <c r="BX7" s="199">
        <v>10000</v>
      </c>
      <c r="BY7" s="76"/>
      <c r="BZ7" s="275"/>
      <c r="CA7" s="419"/>
      <c r="CB7" s="407"/>
      <c r="CC7" s="260"/>
      <c r="CD7" s="260"/>
      <c r="CE7" s="260"/>
      <c r="CF7" s="260"/>
      <c r="CG7" s="260"/>
      <c r="CH7" s="260"/>
      <c r="CI7" s="260"/>
      <c r="CJ7" s="260"/>
      <c r="CK7" s="260"/>
      <c r="CL7" s="294"/>
      <c r="CM7" s="393" t="s">
        <v>308</v>
      </c>
      <c r="CN7" s="402">
        <v>96</v>
      </c>
      <c r="CO7" s="214"/>
      <c r="CP7" s="214"/>
      <c r="CQ7" s="274"/>
      <c r="CR7" s="1"/>
      <c r="CS7" s="1"/>
      <c r="CT7" s="1"/>
      <c r="CU7" s="1"/>
      <c r="CV7" s="1"/>
      <c r="CW7" s="2"/>
      <c r="CX7" s="603"/>
    </row>
    <row r="8" spans="1:102">
      <c r="A8" s="79"/>
      <c r="B8" s="23" t="s">
        <v>79</v>
      </c>
      <c r="C8" s="180" t="s">
        <v>54</v>
      </c>
      <c r="D8" s="128"/>
      <c r="E8" s="65" t="s">
        <v>43</v>
      </c>
      <c r="F8" s="24"/>
      <c r="G8" s="25"/>
      <c r="H8" s="182">
        <v>5</v>
      </c>
      <c r="I8" s="183" t="s">
        <v>283</v>
      </c>
      <c r="J8" s="137">
        <v>3</v>
      </c>
      <c r="K8" s="216">
        <v>7.4999999999999997E-2</v>
      </c>
      <c r="L8" s="150">
        <f t="shared" si="0"/>
        <v>2.5</v>
      </c>
      <c r="M8" s="196">
        <v>30</v>
      </c>
      <c r="N8" s="181">
        <v>31</v>
      </c>
      <c r="O8" s="214" t="s">
        <v>306</v>
      </c>
      <c r="P8" s="164" t="s">
        <v>201</v>
      </c>
      <c r="Q8" s="166">
        <v>300</v>
      </c>
      <c r="R8" s="26">
        <v>120</v>
      </c>
      <c r="S8" s="27">
        <v>3600</v>
      </c>
      <c r="T8" s="153" t="s">
        <v>315</v>
      </c>
      <c r="U8" s="152" t="s">
        <v>306</v>
      </c>
      <c r="V8" s="124">
        <v>300</v>
      </c>
      <c r="W8" s="123">
        <v>120</v>
      </c>
      <c r="X8" s="125">
        <v>4</v>
      </c>
      <c r="Y8" s="151">
        <f t="shared" si="1"/>
        <v>1200</v>
      </c>
      <c r="Z8" s="221">
        <f t="shared" si="2"/>
        <v>3600</v>
      </c>
      <c r="AA8" s="28">
        <v>10</v>
      </c>
      <c r="AB8" s="26">
        <v>0</v>
      </c>
      <c r="AC8" s="81">
        <v>0</v>
      </c>
      <c r="AD8" s="81">
        <v>0</v>
      </c>
      <c r="AE8" s="81">
        <v>0</v>
      </c>
      <c r="AF8" s="126">
        <v>900</v>
      </c>
      <c r="AG8" s="124">
        <v>450</v>
      </c>
      <c r="AH8" s="123">
        <v>180</v>
      </c>
      <c r="AI8" s="125">
        <v>4</v>
      </c>
      <c r="AJ8" s="151">
        <f t="shared" si="3"/>
        <v>1800</v>
      </c>
      <c r="AK8" s="221">
        <f t="shared" si="4"/>
        <v>5400</v>
      </c>
      <c r="AL8" s="28">
        <v>3</v>
      </c>
      <c r="AM8" s="49">
        <v>120000</v>
      </c>
      <c r="AN8" s="26">
        <v>0</v>
      </c>
      <c r="AO8" s="26">
        <v>0</v>
      </c>
      <c r="AP8" s="26">
        <v>0</v>
      </c>
      <c r="AQ8" s="198">
        <v>337</v>
      </c>
      <c r="AR8" s="124">
        <v>525</v>
      </c>
      <c r="AS8" s="123">
        <v>210</v>
      </c>
      <c r="AT8" s="125">
        <v>4</v>
      </c>
      <c r="AU8" s="151">
        <f t="shared" si="5"/>
        <v>2100</v>
      </c>
      <c r="AV8" s="221">
        <f t="shared" si="6"/>
        <v>6300</v>
      </c>
      <c r="AW8" s="28">
        <v>5</v>
      </c>
      <c r="AX8" s="49">
        <v>180000</v>
      </c>
      <c r="AY8" s="81">
        <v>0</v>
      </c>
      <c r="AZ8" s="81">
        <v>1</v>
      </c>
      <c r="BA8" s="81">
        <v>0</v>
      </c>
      <c r="BB8" s="198">
        <v>787</v>
      </c>
      <c r="BC8" s="124">
        <v>570</v>
      </c>
      <c r="BD8" s="123">
        <v>228</v>
      </c>
      <c r="BE8" s="125">
        <v>4</v>
      </c>
      <c r="BF8" s="151">
        <f t="shared" si="7"/>
        <v>2280</v>
      </c>
      <c r="BG8" s="221">
        <f t="shared" si="8"/>
        <v>6840</v>
      </c>
      <c r="BH8" s="28">
        <v>8</v>
      </c>
      <c r="BI8" s="49">
        <v>240000</v>
      </c>
      <c r="BJ8" s="26">
        <v>0</v>
      </c>
      <c r="BK8" s="26">
        <v>0</v>
      </c>
      <c r="BL8" s="26">
        <v>0</v>
      </c>
      <c r="BM8" s="198">
        <v>1282</v>
      </c>
      <c r="BN8" s="124">
        <v>600</v>
      </c>
      <c r="BO8" s="123">
        <v>240</v>
      </c>
      <c r="BP8" s="125">
        <v>4</v>
      </c>
      <c r="BQ8" s="151">
        <f t="shared" si="9"/>
        <v>2400</v>
      </c>
      <c r="BR8" s="221">
        <f t="shared" si="10"/>
        <v>7200</v>
      </c>
      <c r="BS8" s="28">
        <v>10</v>
      </c>
      <c r="BT8" s="49">
        <v>300000</v>
      </c>
      <c r="BU8" s="26">
        <v>0</v>
      </c>
      <c r="BV8" s="26">
        <v>0</v>
      </c>
      <c r="BW8" s="26">
        <v>1</v>
      </c>
      <c r="BX8" s="198">
        <v>1800</v>
      </c>
      <c r="BY8" s="76">
        <v>10</v>
      </c>
      <c r="BZ8" s="275" t="s">
        <v>43</v>
      </c>
      <c r="CA8" s="419">
        <v>3330</v>
      </c>
      <c r="CB8" s="407">
        <v>10000</v>
      </c>
      <c r="CC8" s="260">
        <v>20000</v>
      </c>
      <c r="CD8" s="260">
        <v>40000</v>
      </c>
      <c r="CE8" s="260">
        <v>80000</v>
      </c>
      <c r="CF8" s="260">
        <v>160000</v>
      </c>
      <c r="CG8" s="260">
        <v>320000</v>
      </c>
      <c r="CH8" s="260">
        <v>640000</v>
      </c>
      <c r="CI8" s="260"/>
      <c r="CJ8" s="260"/>
      <c r="CK8" s="260"/>
      <c r="CL8" s="294"/>
      <c r="CM8" s="393" t="s">
        <v>43</v>
      </c>
      <c r="CN8" s="402"/>
      <c r="CO8" s="214"/>
      <c r="CP8" s="214"/>
      <c r="CQ8" s="274"/>
      <c r="CR8" s="1"/>
      <c r="CS8" s="1"/>
      <c r="CT8" s="1"/>
      <c r="CU8" s="1"/>
      <c r="CV8" s="1"/>
      <c r="CW8" s="2"/>
      <c r="CX8" s="603"/>
    </row>
    <row r="9" spans="1:102">
      <c r="A9" s="207"/>
      <c r="B9" s="23" t="s">
        <v>36</v>
      </c>
      <c r="C9" s="180" t="s">
        <v>6</v>
      </c>
      <c r="D9" s="128"/>
      <c r="E9" s="65" t="s">
        <v>0</v>
      </c>
      <c r="F9" s="24" t="s">
        <v>35</v>
      </c>
      <c r="G9" s="25"/>
      <c r="H9" s="182">
        <v>5</v>
      </c>
      <c r="I9" s="183" t="s">
        <v>283</v>
      </c>
      <c r="J9" s="137">
        <v>3</v>
      </c>
      <c r="K9" s="216">
        <v>7.4999999999999997E-2</v>
      </c>
      <c r="L9" s="150">
        <f t="shared" si="0"/>
        <v>2.88</v>
      </c>
      <c r="M9" s="196">
        <v>30</v>
      </c>
      <c r="N9" s="181">
        <v>45</v>
      </c>
      <c r="O9" s="214" t="s">
        <v>306</v>
      </c>
      <c r="P9" s="164" t="s">
        <v>201</v>
      </c>
      <c r="Q9" s="166">
        <v>360</v>
      </c>
      <c r="R9" s="26">
        <v>125</v>
      </c>
      <c r="S9" s="27">
        <v>5400</v>
      </c>
      <c r="T9" s="153" t="s">
        <v>316</v>
      </c>
      <c r="U9" s="152" t="s">
        <v>306</v>
      </c>
      <c r="V9" s="124">
        <v>360</v>
      </c>
      <c r="W9" s="123">
        <v>125</v>
      </c>
      <c r="X9" s="125">
        <v>5</v>
      </c>
      <c r="Y9" s="151">
        <f t="shared" si="1"/>
        <v>1800</v>
      </c>
      <c r="Z9" s="221">
        <f t="shared" si="2"/>
        <v>5400</v>
      </c>
      <c r="AA9" s="28">
        <v>15</v>
      </c>
      <c r="AB9" s="26">
        <v>0</v>
      </c>
      <c r="AC9" s="81">
        <v>0</v>
      </c>
      <c r="AD9" s="81">
        <v>0</v>
      </c>
      <c r="AE9" s="81">
        <v>0</v>
      </c>
      <c r="AF9" s="126">
        <v>2025</v>
      </c>
      <c r="AG9" s="124">
        <v>540</v>
      </c>
      <c r="AH9" s="123">
        <v>187</v>
      </c>
      <c r="AI9" s="125">
        <v>5</v>
      </c>
      <c r="AJ9" s="151">
        <f t="shared" si="3"/>
        <v>2700</v>
      </c>
      <c r="AK9" s="221">
        <f t="shared" si="4"/>
        <v>8100</v>
      </c>
      <c r="AL9" s="28">
        <v>4</v>
      </c>
      <c r="AM9" s="49">
        <v>500000</v>
      </c>
      <c r="AN9" s="26">
        <v>0</v>
      </c>
      <c r="AO9" s="26">
        <v>0</v>
      </c>
      <c r="AP9" s="26">
        <v>0</v>
      </c>
      <c r="AQ9" s="198">
        <v>759</v>
      </c>
      <c r="AR9" s="124">
        <v>630</v>
      </c>
      <c r="AS9" s="123">
        <v>218</v>
      </c>
      <c r="AT9" s="125">
        <v>5</v>
      </c>
      <c r="AU9" s="151">
        <f t="shared" si="5"/>
        <v>3150</v>
      </c>
      <c r="AV9" s="221">
        <f t="shared" si="6"/>
        <v>9450</v>
      </c>
      <c r="AW9" s="28">
        <v>8</v>
      </c>
      <c r="AX9" s="49">
        <v>750000</v>
      </c>
      <c r="AY9" s="81">
        <v>0</v>
      </c>
      <c r="AZ9" s="81">
        <v>1</v>
      </c>
      <c r="BA9" s="81">
        <v>0</v>
      </c>
      <c r="BB9" s="198">
        <v>1771</v>
      </c>
      <c r="BC9" s="124">
        <v>684</v>
      </c>
      <c r="BD9" s="123">
        <v>237</v>
      </c>
      <c r="BE9" s="125">
        <v>5</v>
      </c>
      <c r="BF9" s="151">
        <f t="shared" si="7"/>
        <v>3420</v>
      </c>
      <c r="BG9" s="221">
        <f t="shared" si="8"/>
        <v>10260</v>
      </c>
      <c r="BH9" s="28">
        <v>12</v>
      </c>
      <c r="BI9" s="49">
        <v>1000000</v>
      </c>
      <c r="BJ9" s="26">
        <v>0</v>
      </c>
      <c r="BK9" s="26">
        <v>0</v>
      </c>
      <c r="BL9" s="26">
        <v>0</v>
      </c>
      <c r="BM9" s="198">
        <v>2885</v>
      </c>
      <c r="BN9" s="124">
        <v>720</v>
      </c>
      <c r="BO9" s="123">
        <v>250</v>
      </c>
      <c r="BP9" s="125">
        <v>6</v>
      </c>
      <c r="BQ9" s="151">
        <f t="shared" si="9"/>
        <v>4320</v>
      </c>
      <c r="BR9" s="221">
        <f t="shared" si="10"/>
        <v>12960</v>
      </c>
      <c r="BS9" s="28">
        <v>15</v>
      </c>
      <c r="BT9" s="49">
        <v>1250000</v>
      </c>
      <c r="BU9" s="26">
        <v>0</v>
      </c>
      <c r="BV9" s="26">
        <v>0</v>
      </c>
      <c r="BW9" s="26">
        <v>1</v>
      </c>
      <c r="BX9" s="198">
        <v>4860</v>
      </c>
      <c r="BY9" s="76">
        <v>15</v>
      </c>
      <c r="BZ9" s="275" t="s">
        <v>43</v>
      </c>
      <c r="CA9" s="419">
        <v>10000</v>
      </c>
      <c r="CB9" s="407">
        <v>70000</v>
      </c>
      <c r="CC9" s="260">
        <v>140000</v>
      </c>
      <c r="CD9" s="260">
        <v>280000</v>
      </c>
      <c r="CE9" s="260">
        <v>560000</v>
      </c>
      <c r="CF9" s="260">
        <v>1120000</v>
      </c>
      <c r="CG9" s="260"/>
      <c r="CH9" s="260"/>
      <c r="CI9" s="260"/>
      <c r="CJ9" s="260"/>
      <c r="CK9" s="260"/>
      <c r="CL9" s="294"/>
      <c r="CM9" s="393" t="s">
        <v>43</v>
      </c>
      <c r="CN9" s="402"/>
      <c r="CO9" s="214"/>
      <c r="CP9" s="214"/>
      <c r="CQ9" s="274"/>
      <c r="CR9" s="1"/>
      <c r="CS9" s="1"/>
      <c r="CT9" s="1"/>
      <c r="CU9" s="1"/>
      <c r="CV9" s="1"/>
      <c r="CW9" s="2"/>
      <c r="CX9" s="603"/>
    </row>
    <row r="10" spans="1:102">
      <c r="A10" s="207"/>
      <c r="B10" s="23" t="s">
        <v>67</v>
      </c>
      <c r="C10" s="180" t="s">
        <v>54</v>
      </c>
      <c r="D10" s="128"/>
      <c r="E10" s="65" t="s">
        <v>43</v>
      </c>
      <c r="F10" s="24"/>
      <c r="G10" s="25"/>
      <c r="H10" s="182">
        <v>6</v>
      </c>
      <c r="I10" s="183" t="s">
        <v>283</v>
      </c>
      <c r="J10" s="137">
        <v>3</v>
      </c>
      <c r="K10" s="216">
        <v>7.4999999999999997E-2</v>
      </c>
      <c r="L10" s="150">
        <f t="shared" si="0"/>
        <v>2.9230769230769229</v>
      </c>
      <c r="M10" s="196">
        <v>30</v>
      </c>
      <c r="N10" s="181">
        <v>50</v>
      </c>
      <c r="O10" s="214" t="s">
        <v>306</v>
      </c>
      <c r="P10" s="164" t="s">
        <v>201</v>
      </c>
      <c r="Q10" s="166">
        <v>380</v>
      </c>
      <c r="R10" s="26">
        <v>130</v>
      </c>
      <c r="S10" s="27">
        <v>6840</v>
      </c>
      <c r="T10" s="153" t="s">
        <v>317</v>
      </c>
      <c r="U10" s="152" t="s">
        <v>306</v>
      </c>
      <c r="V10" s="124">
        <v>380</v>
      </c>
      <c r="W10" s="123">
        <v>130</v>
      </c>
      <c r="X10" s="125">
        <v>6</v>
      </c>
      <c r="Y10" s="151">
        <f t="shared" si="1"/>
        <v>2280</v>
      </c>
      <c r="Z10" s="221">
        <f t="shared" si="2"/>
        <v>6840</v>
      </c>
      <c r="AA10" s="28">
        <v>24</v>
      </c>
      <c r="AB10" s="26">
        <v>0</v>
      </c>
      <c r="AC10" s="81">
        <v>0</v>
      </c>
      <c r="AD10" s="81">
        <v>0</v>
      </c>
      <c r="AE10" s="81">
        <v>0</v>
      </c>
      <c r="AF10" s="126">
        <v>4104</v>
      </c>
      <c r="AG10" s="124">
        <v>570</v>
      </c>
      <c r="AH10" s="123">
        <v>195</v>
      </c>
      <c r="AI10" s="125">
        <v>6</v>
      </c>
      <c r="AJ10" s="151">
        <f t="shared" si="3"/>
        <v>3420</v>
      </c>
      <c r="AK10" s="221">
        <f t="shared" si="4"/>
        <v>10260</v>
      </c>
      <c r="AL10" s="28">
        <v>6</v>
      </c>
      <c r="AM10" s="49">
        <v>3000000</v>
      </c>
      <c r="AN10" s="26">
        <v>0</v>
      </c>
      <c r="AO10" s="26">
        <v>0</v>
      </c>
      <c r="AP10" s="26">
        <v>0</v>
      </c>
      <c r="AQ10" s="198">
        <v>1539</v>
      </c>
      <c r="AR10" s="124">
        <v>665</v>
      </c>
      <c r="AS10" s="123">
        <v>227</v>
      </c>
      <c r="AT10" s="125">
        <v>6</v>
      </c>
      <c r="AU10" s="151">
        <f t="shared" si="5"/>
        <v>3990</v>
      </c>
      <c r="AV10" s="221">
        <f t="shared" si="6"/>
        <v>11970</v>
      </c>
      <c r="AW10" s="28">
        <v>12</v>
      </c>
      <c r="AX10" s="49">
        <v>4500000</v>
      </c>
      <c r="AY10" s="81">
        <v>0</v>
      </c>
      <c r="AZ10" s="81">
        <v>1</v>
      </c>
      <c r="BA10" s="81">
        <v>0</v>
      </c>
      <c r="BB10" s="198">
        <v>3591</v>
      </c>
      <c r="BC10" s="124">
        <v>722</v>
      </c>
      <c r="BD10" s="123">
        <v>247</v>
      </c>
      <c r="BE10" s="125">
        <v>7</v>
      </c>
      <c r="BF10" s="151">
        <f t="shared" si="7"/>
        <v>5054</v>
      </c>
      <c r="BG10" s="221">
        <f t="shared" si="8"/>
        <v>15162</v>
      </c>
      <c r="BH10" s="28">
        <v>18</v>
      </c>
      <c r="BI10" s="49">
        <v>6000000</v>
      </c>
      <c r="BJ10" s="26">
        <v>0</v>
      </c>
      <c r="BK10" s="26">
        <v>0</v>
      </c>
      <c r="BL10" s="26">
        <v>0</v>
      </c>
      <c r="BM10" s="198">
        <v>6822</v>
      </c>
      <c r="BN10" s="124">
        <v>760</v>
      </c>
      <c r="BO10" s="123">
        <v>260</v>
      </c>
      <c r="BP10" s="125">
        <v>7</v>
      </c>
      <c r="BQ10" s="151">
        <f t="shared" si="9"/>
        <v>5320</v>
      </c>
      <c r="BR10" s="221">
        <f t="shared" si="10"/>
        <v>15960</v>
      </c>
      <c r="BS10" s="28">
        <v>24</v>
      </c>
      <c r="BT10" s="49">
        <v>7500000</v>
      </c>
      <c r="BU10" s="26">
        <v>0</v>
      </c>
      <c r="BV10" s="26">
        <v>0</v>
      </c>
      <c r="BW10" s="26">
        <v>1</v>
      </c>
      <c r="BX10" s="198">
        <v>9576</v>
      </c>
      <c r="BY10" s="76">
        <v>23</v>
      </c>
      <c r="BZ10" s="275" t="s">
        <v>43</v>
      </c>
      <c r="CA10" s="419">
        <v>10000</v>
      </c>
      <c r="CB10" s="407">
        <v>200000</v>
      </c>
      <c r="CC10" s="260">
        <v>400000</v>
      </c>
      <c r="CD10" s="260">
        <v>800000</v>
      </c>
      <c r="CE10" s="260">
        <v>1600000</v>
      </c>
      <c r="CF10" s="260"/>
      <c r="CG10" s="260"/>
      <c r="CH10" s="260"/>
      <c r="CI10" s="260"/>
      <c r="CJ10" s="260"/>
      <c r="CK10" s="260"/>
      <c r="CL10" s="294"/>
      <c r="CM10" s="393" t="s">
        <v>43</v>
      </c>
      <c r="CN10" s="402"/>
      <c r="CO10" s="214"/>
      <c r="CP10" s="214"/>
      <c r="CQ10" s="274"/>
      <c r="CR10" s="1"/>
      <c r="CS10" s="1"/>
      <c r="CT10" s="1"/>
      <c r="CU10" s="1"/>
      <c r="CV10" s="1"/>
      <c r="CW10" s="2"/>
      <c r="CX10" s="603"/>
    </row>
    <row r="11" spans="1:102">
      <c r="A11" s="207"/>
      <c r="B11" s="23" t="s">
        <v>81</v>
      </c>
      <c r="C11" s="180" t="s">
        <v>54</v>
      </c>
      <c r="D11" s="128"/>
      <c r="E11" s="65" t="s">
        <v>43</v>
      </c>
      <c r="F11" s="24"/>
      <c r="G11" s="25"/>
      <c r="H11" s="182">
        <v>6</v>
      </c>
      <c r="I11" s="183" t="s">
        <v>283</v>
      </c>
      <c r="J11" s="137">
        <v>3</v>
      </c>
      <c r="K11" s="216">
        <v>7.4999999999999997E-2</v>
      </c>
      <c r="L11" s="150">
        <f>IF(ISBLANK(Q11),"",Q11/R11)</f>
        <v>2.9629629629629628</v>
      </c>
      <c r="M11" s="196">
        <v>30</v>
      </c>
      <c r="N11" s="181">
        <v>57</v>
      </c>
      <c r="O11" s="214" t="s">
        <v>306</v>
      </c>
      <c r="P11" s="164" t="s">
        <v>201</v>
      </c>
      <c r="Q11" s="166">
        <v>400</v>
      </c>
      <c r="R11" s="26">
        <v>135</v>
      </c>
      <c r="S11" s="27">
        <v>7200</v>
      </c>
      <c r="T11" s="153" t="s">
        <v>333</v>
      </c>
      <c r="U11" s="152" t="s">
        <v>306</v>
      </c>
      <c r="V11" s="124">
        <v>400</v>
      </c>
      <c r="W11" s="123">
        <v>135</v>
      </c>
      <c r="X11" s="125">
        <v>6</v>
      </c>
      <c r="Y11" s="151">
        <f>IF(ISBLANK(X11), "",INT(V11*X11))</f>
        <v>2400</v>
      </c>
      <c r="Z11" s="221">
        <f>IF(ISBLANK(X11),"",INT(Y11*$J11))</f>
        <v>7200</v>
      </c>
      <c r="AA11" s="28">
        <f>24*4</f>
        <v>96</v>
      </c>
      <c r="AB11" s="26">
        <v>0</v>
      </c>
      <c r="AC11" s="81">
        <v>0</v>
      </c>
      <c r="AD11" s="81">
        <v>0</v>
      </c>
      <c r="AE11" s="81">
        <v>0</v>
      </c>
      <c r="AF11" s="126">
        <v>10000</v>
      </c>
      <c r="AG11" s="124">
        <v>600</v>
      </c>
      <c r="AH11" s="123">
        <v>202</v>
      </c>
      <c r="AI11" s="125">
        <v>6</v>
      </c>
      <c r="AJ11" s="151">
        <f>IF(ISBLANK(AI11), "",INT(AG11*AI11))</f>
        <v>3600</v>
      </c>
      <c r="AK11" s="221">
        <f>IF(ISBLANK(AI11),"",INT(AJ11*$J11))</f>
        <v>10800</v>
      </c>
      <c r="AL11" s="28">
        <v>24</v>
      </c>
      <c r="AM11" s="49">
        <v>3000000</v>
      </c>
      <c r="AN11" s="26">
        <v>0</v>
      </c>
      <c r="AO11" s="26">
        <v>0</v>
      </c>
      <c r="AP11" s="26">
        <v>0</v>
      </c>
      <c r="AQ11" s="198">
        <v>6480</v>
      </c>
      <c r="AR11" s="124">
        <v>700</v>
      </c>
      <c r="AS11" s="123">
        <v>236</v>
      </c>
      <c r="AT11" s="125">
        <v>6</v>
      </c>
      <c r="AU11" s="151">
        <f>IF(ISBLANK(AT11), "",INT(AR11*AT11))</f>
        <v>4200</v>
      </c>
      <c r="AV11" s="221">
        <f>IF(ISBLANK(AT11),"",INT(AU11*$J11))</f>
        <v>12600</v>
      </c>
      <c r="AW11" s="28">
        <f>24*2</f>
        <v>48</v>
      </c>
      <c r="AX11" s="49">
        <v>4500000</v>
      </c>
      <c r="AY11" s="81">
        <v>0</v>
      </c>
      <c r="AZ11" s="81">
        <v>1</v>
      </c>
      <c r="BA11" s="81">
        <v>0</v>
      </c>
      <c r="BB11" s="198">
        <v>10000</v>
      </c>
      <c r="BC11" s="124">
        <v>760</v>
      </c>
      <c r="BD11" s="123">
        <v>256</v>
      </c>
      <c r="BE11" s="125">
        <v>7</v>
      </c>
      <c r="BF11" s="151">
        <f>IF(ISBLANK(BE11), "",INT(BC11*BE11))</f>
        <v>5320</v>
      </c>
      <c r="BG11" s="221">
        <f>IF(ISBLANK(BE11),"",INT(BF11*$J11))</f>
        <v>15960</v>
      </c>
      <c r="BH11" s="28">
        <f>24*3</f>
        <v>72</v>
      </c>
      <c r="BI11" s="49">
        <v>6000000</v>
      </c>
      <c r="BJ11" s="26">
        <v>0</v>
      </c>
      <c r="BK11" s="26">
        <v>0</v>
      </c>
      <c r="BL11" s="26">
        <v>0</v>
      </c>
      <c r="BM11" s="198">
        <v>10000</v>
      </c>
      <c r="BN11" s="124">
        <v>800</v>
      </c>
      <c r="BO11" s="123">
        <v>270</v>
      </c>
      <c r="BP11" s="125">
        <v>7</v>
      </c>
      <c r="BQ11" s="151">
        <f t="shared" si="9"/>
        <v>5600</v>
      </c>
      <c r="BR11" s="221">
        <f t="shared" si="10"/>
        <v>16800</v>
      </c>
      <c r="BS11" s="28">
        <f>4*24</f>
        <v>96</v>
      </c>
      <c r="BT11" s="49">
        <v>7500000</v>
      </c>
      <c r="BU11" s="26">
        <v>0</v>
      </c>
      <c r="BV11" s="26">
        <v>0</v>
      </c>
      <c r="BW11" s="26">
        <v>1</v>
      </c>
      <c r="BX11" s="198">
        <v>10000</v>
      </c>
      <c r="BY11" s="76">
        <v>92</v>
      </c>
      <c r="BZ11" s="275" t="s">
        <v>43</v>
      </c>
      <c r="CA11" s="419">
        <v>10000</v>
      </c>
      <c r="CB11" s="407">
        <v>700000</v>
      </c>
      <c r="CC11" s="260">
        <v>1400000</v>
      </c>
      <c r="CD11" s="260"/>
      <c r="CE11" s="260"/>
      <c r="CF11" s="260"/>
      <c r="CG11" s="260"/>
      <c r="CH11" s="260"/>
      <c r="CI11" s="260"/>
      <c r="CJ11" s="260"/>
      <c r="CK11" s="260"/>
      <c r="CL11" s="294"/>
      <c r="CM11" s="393" t="s">
        <v>43</v>
      </c>
      <c r="CN11" s="402"/>
      <c r="CO11" s="214"/>
      <c r="CP11" s="214"/>
      <c r="CQ11" s="274"/>
      <c r="CR11" s="1"/>
      <c r="CS11" s="1"/>
      <c r="CT11" s="1"/>
      <c r="CU11" s="1"/>
      <c r="CV11" s="1"/>
      <c r="CW11" s="2"/>
      <c r="CX11" s="603"/>
    </row>
    <row r="12" spans="1:102">
      <c r="A12" s="207"/>
      <c r="B12" s="23" t="s">
        <v>123</v>
      </c>
      <c r="C12" s="180" t="s">
        <v>54</v>
      </c>
      <c r="D12" s="128"/>
      <c r="E12" s="65" t="s">
        <v>43</v>
      </c>
      <c r="F12" s="24"/>
      <c r="G12" s="25"/>
      <c r="H12" s="182">
        <v>6</v>
      </c>
      <c r="I12" s="183" t="s">
        <v>283</v>
      </c>
      <c r="J12" s="137">
        <v>3</v>
      </c>
      <c r="K12" s="216">
        <v>7.4999999999999997E-2</v>
      </c>
      <c r="L12" s="150">
        <f>IF(ISBLANK(Q12),"",Q12/R12)</f>
        <v>2.9027777777777777</v>
      </c>
      <c r="M12" s="196">
        <v>30</v>
      </c>
      <c r="N12" s="181">
        <v>63</v>
      </c>
      <c r="O12" s="214" t="s">
        <v>306</v>
      </c>
      <c r="P12" s="164" t="s">
        <v>201</v>
      </c>
      <c r="Q12" s="166">
        <v>418</v>
      </c>
      <c r="R12" s="26">
        <v>144</v>
      </c>
      <c r="S12" s="27">
        <v>7524</v>
      </c>
      <c r="T12" s="153" t="s">
        <v>318</v>
      </c>
      <c r="U12" s="152" t="s">
        <v>306</v>
      </c>
      <c r="V12" s="124">
        <v>418</v>
      </c>
      <c r="W12" s="123">
        <v>144</v>
      </c>
      <c r="X12" s="125">
        <v>6</v>
      </c>
      <c r="Y12" s="151">
        <f>IF(ISBLANK(X12), "",INT(V12*X12))</f>
        <v>2508</v>
      </c>
      <c r="Z12" s="221">
        <f>IF(ISBLANK(X12),"",INT(Y12*$J12))</f>
        <v>7524</v>
      </c>
      <c r="AA12" s="28">
        <f>6*24</f>
        <v>144</v>
      </c>
      <c r="AB12" s="26">
        <v>0</v>
      </c>
      <c r="AC12" s="81">
        <v>0</v>
      </c>
      <c r="AD12" s="81">
        <v>0</v>
      </c>
      <c r="AE12" s="81">
        <v>0</v>
      </c>
      <c r="AF12" s="126">
        <v>10000</v>
      </c>
      <c r="AG12" s="124">
        <v>627</v>
      </c>
      <c r="AH12" s="123">
        <v>216</v>
      </c>
      <c r="AI12" s="125">
        <v>6</v>
      </c>
      <c r="AJ12" s="151">
        <f>IF(ISBLANK(AI12), "",INT(AG12*AI12))</f>
        <v>3762</v>
      </c>
      <c r="AK12" s="221">
        <f>IF(ISBLANK(AI12),"",INT(AJ12*$J12))</f>
        <v>11286</v>
      </c>
      <c r="AL12" s="28">
        <f>1*24+12</f>
        <v>36</v>
      </c>
      <c r="AM12" s="49">
        <v>10000000</v>
      </c>
      <c r="AN12" s="81">
        <v>0</v>
      </c>
      <c r="AO12" s="81">
        <v>0</v>
      </c>
      <c r="AP12" s="81">
        <v>0</v>
      </c>
      <c r="AQ12" s="198">
        <v>10000</v>
      </c>
      <c r="AR12" s="124">
        <v>731</v>
      </c>
      <c r="AS12" s="123">
        <v>252</v>
      </c>
      <c r="AT12" s="125">
        <v>6</v>
      </c>
      <c r="AU12" s="151">
        <f>IF(ISBLANK(AT12), "",INT(AR12*AT12))</f>
        <v>4386</v>
      </c>
      <c r="AV12" s="221">
        <f>IF(ISBLANK(AT12),"",INT(AU12*$J12))</f>
        <v>13158</v>
      </c>
      <c r="AW12" s="28">
        <f>3*24</f>
        <v>72</v>
      </c>
      <c r="AX12" s="49">
        <v>15000000</v>
      </c>
      <c r="AY12" s="81">
        <v>0</v>
      </c>
      <c r="AZ12" s="81">
        <v>1</v>
      </c>
      <c r="BA12" s="81">
        <v>0</v>
      </c>
      <c r="BB12" s="198">
        <v>10000</v>
      </c>
      <c r="BC12" s="124">
        <v>794</v>
      </c>
      <c r="BD12" s="123">
        <v>273</v>
      </c>
      <c r="BE12" s="125">
        <v>7</v>
      </c>
      <c r="BF12" s="151">
        <f>IF(ISBLANK(BE12), "",INT(BC12*BE12))</f>
        <v>5558</v>
      </c>
      <c r="BG12" s="221">
        <f>IF(ISBLANK(BE12),"",INT(BF12*$J12))</f>
        <v>16674</v>
      </c>
      <c r="BH12" s="28">
        <f>4*24+12</f>
        <v>108</v>
      </c>
      <c r="BI12" s="49">
        <v>20000000</v>
      </c>
      <c r="BJ12" s="81">
        <v>0</v>
      </c>
      <c r="BK12" s="81">
        <v>0</v>
      </c>
      <c r="BL12" s="81">
        <v>0</v>
      </c>
      <c r="BM12" s="341">
        <v>10000</v>
      </c>
      <c r="BN12" s="124">
        <v>836</v>
      </c>
      <c r="BO12" s="123">
        <v>288</v>
      </c>
      <c r="BP12" s="125">
        <v>7</v>
      </c>
      <c r="BQ12" s="151">
        <f t="shared" si="9"/>
        <v>5852</v>
      </c>
      <c r="BR12" s="221">
        <f t="shared" si="10"/>
        <v>17556</v>
      </c>
      <c r="BS12" s="1016">
        <f>6*24</f>
        <v>144</v>
      </c>
      <c r="BT12" s="1015">
        <v>25000000</v>
      </c>
      <c r="BU12" s="1014">
        <v>0</v>
      </c>
      <c r="BV12" s="1014">
        <v>0</v>
      </c>
      <c r="BW12" s="1014">
        <v>1</v>
      </c>
      <c r="BX12" s="1045">
        <v>10000</v>
      </c>
      <c r="BY12" s="76">
        <v>137</v>
      </c>
      <c r="BZ12" s="275" t="s">
        <v>43</v>
      </c>
      <c r="CA12" s="419">
        <v>10000</v>
      </c>
      <c r="CB12" s="407">
        <v>1500000</v>
      </c>
      <c r="CC12" s="260">
        <v>3000000</v>
      </c>
      <c r="CD12" s="260">
        <v>6000000</v>
      </c>
      <c r="CE12" s="260">
        <v>12000000</v>
      </c>
      <c r="CF12" s="260"/>
      <c r="CG12" s="260"/>
      <c r="CH12" s="260"/>
      <c r="CI12" s="260"/>
      <c r="CJ12" s="260"/>
      <c r="CK12" s="260"/>
      <c r="CL12" s="294"/>
      <c r="CM12" s="393" t="s">
        <v>43</v>
      </c>
      <c r="CN12" s="402"/>
      <c r="CO12" s="214"/>
      <c r="CP12" s="214"/>
      <c r="CQ12" s="274"/>
      <c r="CR12" s="1"/>
      <c r="CS12" s="1"/>
      <c r="CT12" s="1"/>
      <c r="CU12" s="1"/>
      <c r="CV12" s="1"/>
      <c r="CW12" s="2"/>
      <c r="CX12" s="603"/>
    </row>
    <row r="13" spans="1:102">
      <c r="A13" s="207"/>
      <c r="B13" s="23" t="s">
        <v>118</v>
      </c>
      <c r="C13" s="180" t="s">
        <v>54</v>
      </c>
      <c r="D13" s="128"/>
      <c r="E13" s="65" t="s">
        <v>43</v>
      </c>
      <c r="F13" s="24"/>
      <c r="G13" s="25"/>
      <c r="H13" s="182">
        <v>7</v>
      </c>
      <c r="I13" s="183" t="s">
        <v>269</v>
      </c>
      <c r="J13" s="137">
        <v>1</v>
      </c>
      <c r="K13" s="216">
        <v>7.4999999999999997E-2</v>
      </c>
      <c r="L13" s="150">
        <f>IF(ISBLANK(Q13),"",Q13/R13)</f>
        <v>2.8</v>
      </c>
      <c r="M13" s="196">
        <v>30</v>
      </c>
      <c r="N13" s="181">
        <v>7005</v>
      </c>
      <c r="O13" s="215">
        <v>42184</v>
      </c>
      <c r="P13" s="164" t="s">
        <v>201</v>
      </c>
      <c r="Q13" s="166">
        <v>420</v>
      </c>
      <c r="R13" s="26">
        <v>150</v>
      </c>
      <c r="S13" s="27">
        <v>2940</v>
      </c>
      <c r="T13" s="153" t="s">
        <v>319</v>
      </c>
      <c r="U13" s="152" t="s">
        <v>306</v>
      </c>
      <c r="V13" s="411">
        <v>420</v>
      </c>
      <c r="W13" s="269">
        <v>150</v>
      </c>
      <c r="X13" s="338">
        <v>7</v>
      </c>
      <c r="Y13" s="387">
        <f>IF(ISBLANK(X13), "",INT(V13*X13))</f>
        <v>2940</v>
      </c>
      <c r="Z13" s="344">
        <f>IF(ISBLANK(X13),"",INT(Y13*$J13))</f>
        <v>2940</v>
      </c>
      <c r="AA13" s="423">
        <f>6*24</f>
        <v>144</v>
      </c>
      <c r="AB13" s="321">
        <v>0</v>
      </c>
      <c r="AC13" s="345">
        <v>0</v>
      </c>
      <c r="AD13" s="345">
        <v>0</v>
      </c>
      <c r="AE13" s="345">
        <v>0</v>
      </c>
      <c r="AF13" s="253">
        <v>10000</v>
      </c>
      <c r="AG13" s="411">
        <v>630</v>
      </c>
      <c r="AH13" s="269">
        <v>225</v>
      </c>
      <c r="AI13" s="338">
        <v>7</v>
      </c>
      <c r="AJ13" s="387">
        <f>IF(ISBLANK(AI13), "",INT(AG13*AI13))</f>
        <v>4410</v>
      </c>
      <c r="AK13" s="344">
        <f>IF(ISBLANK(AI13),"",INT(AJ13*$J13))</f>
        <v>4410</v>
      </c>
      <c r="AL13" s="423">
        <f>1*24+12</f>
        <v>36</v>
      </c>
      <c r="AM13" s="431">
        <v>1300000</v>
      </c>
      <c r="AN13" s="345">
        <v>0</v>
      </c>
      <c r="AO13" s="345">
        <v>0</v>
      </c>
      <c r="AP13" s="345">
        <v>1</v>
      </c>
      <c r="AQ13" s="341">
        <v>10000</v>
      </c>
      <c r="AR13" s="411">
        <v>735</v>
      </c>
      <c r="AS13" s="269">
        <v>263</v>
      </c>
      <c r="AT13" s="338">
        <v>7</v>
      </c>
      <c r="AU13" s="387">
        <f>IF(ISBLANK(AT13), "",INT(AR13*AT13))</f>
        <v>5145</v>
      </c>
      <c r="AV13" s="344">
        <f>IF(ISBLANK(AT13),"",INT(AU13*$J13))</f>
        <v>5145</v>
      </c>
      <c r="AW13" s="423">
        <f>3*24</f>
        <v>72</v>
      </c>
      <c r="AX13" s="431">
        <v>2000000</v>
      </c>
      <c r="AY13" s="345">
        <v>0</v>
      </c>
      <c r="AZ13" s="345">
        <v>0</v>
      </c>
      <c r="BA13" s="345">
        <v>2</v>
      </c>
      <c r="BB13" s="341">
        <v>10000</v>
      </c>
      <c r="BC13" s="411">
        <v>797</v>
      </c>
      <c r="BD13" s="269">
        <v>285</v>
      </c>
      <c r="BE13" s="338">
        <v>7</v>
      </c>
      <c r="BF13" s="387">
        <f>IF(ISBLANK(BE13), "",INT(BC13*BE13))</f>
        <v>5579</v>
      </c>
      <c r="BG13" s="344">
        <f>IF(ISBLANK(BE13),"",INT(BF13*$J13))</f>
        <v>5579</v>
      </c>
      <c r="BH13" s="423">
        <f>4*24+12</f>
        <v>108</v>
      </c>
      <c r="BI13" s="431">
        <v>2700000</v>
      </c>
      <c r="BJ13" s="345">
        <v>0</v>
      </c>
      <c r="BK13" s="345">
        <v>0</v>
      </c>
      <c r="BL13" s="345">
        <v>3</v>
      </c>
      <c r="BM13" s="1045">
        <v>10000</v>
      </c>
      <c r="BN13" s="411">
        <v>840</v>
      </c>
      <c r="BO13" s="269">
        <v>300</v>
      </c>
      <c r="BP13" s="338">
        <v>7</v>
      </c>
      <c r="BQ13" s="387">
        <f t="shared" si="9"/>
        <v>5880</v>
      </c>
      <c r="BR13" s="344">
        <f t="shared" si="10"/>
        <v>5880</v>
      </c>
      <c r="BS13" s="1016">
        <f>6*24</f>
        <v>144</v>
      </c>
      <c r="BT13" s="1015">
        <v>3300000</v>
      </c>
      <c r="BU13" s="1014">
        <v>0</v>
      </c>
      <c r="BV13" s="1014">
        <v>0</v>
      </c>
      <c r="BW13" s="1014">
        <v>5</v>
      </c>
      <c r="BX13" s="1045">
        <v>10000</v>
      </c>
      <c r="BY13" s="384">
        <v>137</v>
      </c>
      <c r="BZ13" s="200" t="s">
        <v>43</v>
      </c>
      <c r="CA13" s="278">
        <v>10000</v>
      </c>
      <c r="CB13" s="407">
        <v>200000</v>
      </c>
      <c r="CC13" s="260">
        <v>400000</v>
      </c>
      <c r="CD13" s="260">
        <v>800000</v>
      </c>
      <c r="CE13" s="260"/>
      <c r="CF13" s="260"/>
      <c r="CG13" s="260"/>
      <c r="CH13" s="260"/>
      <c r="CI13" s="260"/>
      <c r="CJ13" s="260"/>
      <c r="CK13" s="260"/>
      <c r="CL13" s="294"/>
      <c r="CM13" s="393" t="s">
        <v>43</v>
      </c>
      <c r="CN13" s="402"/>
      <c r="CO13" s="214"/>
      <c r="CP13" s="214"/>
      <c r="CQ13" s="274"/>
      <c r="CR13" s="1"/>
      <c r="CS13" s="1"/>
      <c r="CT13" s="1"/>
      <c r="CU13" s="1"/>
      <c r="CV13" s="1"/>
      <c r="CW13" s="2"/>
      <c r="CX13" s="603"/>
    </row>
    <row r="14" spans="1:102">
      <c r="A14" s="207"/>
      <c r="B14" s="23" t="s">
        <v>219</v>
      </c>
      <c r="C14" s="180" t="s">
        <v>54</v>
      </c>
      <c r="D14" s="128"/>
      <c r="E14" s="65" t="s">
        <v>43</v>
      </c>
      <c r="F14" s="24"/>
      <c r="G14" s="25"/>
      <c r="H14" s="182">
        <v>7</v>
      </c>
      <c r="I14" s="183" t="s">
        <v>269</v>
      </c>
      <c r="J14" s="137">
        <v>5</v>
      </c>
      <c r="K14" s="216">
        <v>7.4999999999999997E-2</v>
      </c>
      <c r="L14" s="150">
        <f>IF(ISBLANK(Q14),"",Q14/R14)</f>
        <v>4.2857142857142856</v>
      </c>
      <c r="M14" s="196">
        <v>30</v>
      </c>
      <c r="N14" s="181">
        <v>7014</v>
      </c>
      <c r="O14" s="215">
        <v>42348</v>
      </c>
      <c r="P14" s="164" t="s">
        <v>206</v>
      </c>
      <c r="Q14" s="166">
        <v>1500</v>
      </c>
      <c r="R14" s="26">
        <v>350</v>
      </c>
      <c r="S14" s="27">
        <v>60000</v>
      </c>
      <c r="T14" s="153" t="s">
        <v>320</v>
      </c>
      <c r="U14" s="152" t="s">
        <v>306</v>
      </c>
      <c r="V14" s="411">
        <v>500</v>
      </c>
      <c r="W14" s="269">
        <v>117</v>
      </c>
      <c r="X14" s="338">
        <v>8</v>
      </c>
      <c r="Y14" s="387">
        <f>IF(ISBLANK(X14), "",INT(V14*X14))</f>
        <v>4000</v>
      </c>
      <c r="Z14" s="344">
        <f>IF(ISBLANK(X14),"",INT(Y14*$J14))</f>
        <v>20000</v>
      </c>
      <c r="AA14" s="423">
        <v>6</v>
      </c>
      <c r="AB14" s="321">
        <v>0</v>
      </c>
      <c r="AC14" s="345">
        <v>0</v>
      </c>
      <c r="AD14" s="345">
        <v>0</v>
      </c>
      <c r="AE14" s="345">
        <v>0</v>
      </c>
      <c r="AF14" s="253">
        <v>10000</v>
      </c>
      <c r="AG14" s="411">
        <v>625</v>
      </c>
      <c r="AH14" s="269">
        <v>146</v>
      </c>
      <c r="AI14" s="338">
        <v>8</v>
      </c>
      <c r="AJ14" s="387">
        <f>IF(ISBLANK(AI14), "",INT(AG14*AI14))</f>
        <v>5000</v>
      </c>
      <c r="AK14" s="344">
        <f>IF(ISBLANK(AI14),"",INT(AJ14*$J14))</f>
        <v>25000</v>
      </c>
      <c r="AL14" s="423">
        <f>2*24</f>
        <v>48</v>
      </c>
      <c r="AM14" s="431">
        <v>3000000</v>
      </c>
      <c r="AN14" s="345">
        <v>0</v>
      </c>
      <c r="AO14" s="345">
        <v>0</v>
      </c>
      <c r="AP14" s="345">
        <v>3</v>
      </c>
      <c r="AQ14" s="199">
        <v>10000</v>
      </c>
      <c r="AR14" s="411">
        <v>750</v>
      </c>
      <c r="AS14" s="269">
        <v>175</v>
      </c>
      <c r="AT14" s="338">
        <v>8</v>
      </c>
      <c r="AU14" s="387">
        <f>IF(ISBLANK(AT14), "",INT(AR14*AT14))</f>
        <v>6000</v>
      </c>
      <c r="AV14" s="344">
        <f>IF(ISBLANK(AT14),"",INT(AU14*$J14))</f>
        <v>30000</v>
      </c>
      <c r="AW14" s="423">
        <f>4*24</f>
        <v>96</v>
      </c>
      <c r="AX14" s="431">
        <v>4500000</v>
      </c>
      <c r="AY14" s="345">
        <v>0</v>
      </c>
      <c r="AZ14" s="345">
        <v>0</v>
      </c>
      <c r="BA14" s="345">
        <v>5</v>
      </c>
      <c r="BB14" s="199">
        <v>10000</v>
      </c>
      <c r="BC14" s="184">
        <v>1000</v>
      </c>
      <c r="BD14" s="185">
        <v>234</v>
      </c>
      <c r="BE14" s="338">
        <v>8</v>
      </c>
      <c r="BF14" s="186">
        <f>IF(ISBLANK(BE14), "",INT(BC14*BE14))</f>
        <v>8000</v>
      </c>
      <c r="BG14" s="222">
        <f>IF(ISBLANK(BE14),"",INT(BF14*$J14))</f>
        <v>40000</v>
      </c>
      <c r="BH14" s="423"/>
      <c r="BI14" s="431"/>
      <c r="BJ14" s="345"/>
      <c r="BK14" s="345"/>
      <c r="BL14" s="345"/>
      <c r="BM14" s="199">
        <v>10000</v>
      </c>
      <c r="BN14" s="411">
        <v>1500</v>
      </c>
      <c r="BO14" s="269">
        <v>350</v>
      </c>
      <c r="BP14" s="338">
        <v>8</v>
      </c>
      <c r="BQ14" s="387">
        <f t="shared" si="9"/>
        <v>12000</v>
      </c>
      <c r="BR14" s="344">
        <f t="shared" si="10"/>
        <v>60000</v>
      </c>
      <c r="BS14" s="423"/>
      <c r="BT14" s="431"/>
      <c r="BU14" s="345"/>
      <c r="BV14" s="345"/>
      <c r="BW14" s="345"/>
      <c r="BX14" s="199">
        <v>10000</v>
      </c>
      <c r="BY14" s="283"/>
      <c r="BZ14" s="200"/>
      <c r="CA14" s="278">
        <v>10000</v>
      </c>
      <c r="CB14" s="407">
        <v>1500000</v>
      </c>
      <c r="CC14" s="260"/>
      <c r="CD14" s="260"/>
      <c r="CE14" s="260"/>
      <c r="CF14" s="260"/>
      <c r="CG14" s="260"/>
      <c r="CH14" s="260"/>
      <c r="CI14" s="260"/>
      <c r="CJ14" s="260"/>
      <c r="CK14" s="260"/>
      <c r="CL14" s="294"/>
      <c r="CM14" s="393" t="s">
        <v>43</v>
      </c>
      <c r="CN14" s="402"/>
      <c r="CO14" s="214"/>
      <c r="CP14" s="214"/>
      <c r="CQ14" s="274"/>
      <c r="CR14" s="1"/>
      <c r="CS14" s="1"/>
      <c r="CT14" s="1"/>
      <c r="CU14" s="1"/>
      <c r="CV14" s="1"/>
      <c r="CW14" s="2"/>
      <c r="CX14" s="603"/>
    </row>
    <row r="15" spans="1:102">
      <c r="A15" s="207"/>
      <c r="B15" s="23" t="s">
        <v>263</v>
      </c>
      <c r="C15" s="180" t="s">
        <v>54</v>
      </c>
      <c r="D15" s="128"/>
      <c r="E15" s="65" t="s">
        <v>43</v>
      </c>
      <c r="F15" s="24" t="s">
        <v>262</v>
      </c>
      <c r="G15" s="25"/>
      <c r="H15" s="182">
        <v>7</v>
      </c>
      <c r="I15" s="183" t="s">
        <v>269</v>
      </c>
      <c r="J15" s="137">
        <v>5</v>
      </c>
      <c r="K15" s="217">
        <v>7.4999999999999997E-2</v>
      </c>
      <c r="L15" s="150">
        <f>IF(ISBLANK(Q15),"",Q15/R15)</f>
        <v>4.333333333333333</v>
      </c>
      <c r="M15" s="196">
        <v>30</v>
      </c>
      <c r="N15" s="233">
        <v>7019</v>
      </c>
      <c r="O15" s="215">
        <v>42384</v>
      </c>
      <c r="P15" s="164" t="s">
        <v>206</v>
      </c>
      <c r="Q15" s="166">
        <v>1560</v>
      </c>
      <c r="R15" s="26">
        <v>360</v>
      </c>
      <c r="S15" s="27">
        <v>62400</v>
      </c>
      <c r="T15" s="153" t="s">
        <v>321</v>
      </c>
      <c r="U15" s="152" t="s">
        <v>306</v>
      </c>
      <c r="V15" s="411">
        <v>520</v>
      </c>
      <c r="W15" s="269">
        <v>120</v>
      </c>
      <c r="X15" s="338">
        <v>8</v>
      </c>
      <c r="Y15" s="387">
        <f>IF(ISBLANK(X15), "",INT(V15*X15))</f>
        <v>4160</v>
      </c>
      <c r="Z15" s="344">
        <f>IF(ISBLANK(X15),"",INT(Y15*$J15))</f>
        <v>20800</v>
      </c>
      <c r="AA15" s="423">
        <v>6</v>
      </c>
      <c r="AB15" s="321">
        <v>0</v>
      </c>
      <c r="AC15" s="345">
        <v>0</v>
      </c>
      <c r="AD15" s="345">
        <v>0</v>
      </c>
      <c r="AE15" s="345">
        <v>0</v>
      </c>
      <c r="AF15" s="187">
        <v>10000</v>
      </c>
      <c r="AG15" s="184">
        <v>650</v>
      </c>
      <c r="AH15" s="185">
        <v>150</v>
      </c>
      <c r="AI15" s="338">
        <v>8</v>
      </c>
      <c r="AJ15" s="186">
        <f>IF(ISBLANK(AI15), "",INT(AG15*AI15))</f>
        <v>5200</v>
      </c>
      <c r="AK15" s="222">
        <f>IF(ISBLANK(AI15),"",INT(AJ15*$J15))</f>
        <v>26000</v>
      </c>
      <c r="AL15" s="423"/>
      <c r="AM15" s="431"/>
      <c r="AN15" s="345"/>
      <c r="AO15" s="345"/>
      <c r="AP15" s="345"/>
      <c r="AQ15" s="199">
        <v>10000</v>
      </c>
      <c r="AR15" s="184">
        <v>780</v>
      </c>
      <c r="AS15" s="185">
        <v>180</v>
      </c>
      <c r="AT15" s="338">
        <v>8</v>
      </c>
      <c r="AU15" s="186">
        <f>IF(ISBLANK(AT15), "",INT(AR15*AT15))</f>
        <v>6240</v>
      </c>
      <c r="AV15" s="222">
        <f>IF(ISBLANK(AT15),"",INT(AU15*$J15))</f>
        <v>31200</v>
      </c>
      <c r="AW15" s="423"/>
      <c r="AX15" s="431"/>
      <c r="AY15" s="345"/>
      <c r="AZ15" s="345"/>
      <c r="BA15" s="345"/>
      <c r="BB15" s="199">
        <v>10000</v>
      </c>
      <c r="BC15" s="184">
        <v>1040</v>
      </c>
      <c r="BD15" s="185">
        <v>240</v>
      </c>
      <c r="BE15" s="338">
        <v>8</v>
      </c>
      <c r="BF15" s="186">
        <f>IF(ISBLANK(BE15), "",INT(BC15*BE15))</f>
        <v>8320</v>
      </c>
      <c r="BG15" s="222">
        <f>IF(ISBLANK(BE15),"",INT(BF15*$J15))</f>
        <v>41600</v>
      </c>
      <c r="BH15" s="423"/>
      <c r="BI15" s="431"/>
      <c r="BJ15" s="345"/>
      <c r="BK15" s="345"/>
      <c r="BL15" s="345"/>
      <c r="BM15" s="199">
        <v>10000</v>
      </c>
      <c r="BN15" s="411">
        <v>1560</v>
      </c>
      <c r="BO15" s="269">
        <v>360</v>
      </c>
      <c r="BP15" s="338">
        <v>8</v>
      </c>
      <c r="BQ15" s="387">
        <f t="shared" si="9"/>
        <v>12480</v>
      </c>
      <c r="BR15" s="344">
        <f t="shared" si="10"/>
        <v>62400</v>
      </c>
      <c r="BS15" s="423"/>
      <c r="BT15" s="431"/>
      <c r="BU15" s="345"/>
      <c r="BV15" s="345"/>
      <c r="BW15" s="345"/>
      <c r="BX15" s="199">
        <v>10000</v>
      </c>
      <c r="BY15" s="283"/>
      <c r="BZ15" s="200"/>
      <c r="CA15" s="278">
        <v>10000</v>
      </c>
      <c r="CB15" s="407">
        <v>2000000</v>
      </c>
      <c r="CC15" s="260"/>
      <c r="CD15" s="260"/>
      <c r="CE15" s="260"/>
      <c r="CF15" s="260"/>
      <c r="CG15" s="260"/>
      <c r="CH15" s="260"/>
      <c r="CI15" s="260"/>
      <c r="CJ15" s="260"/>
      <c r="CK15" s="260"/>
      <c r="CL15" s="294"/>
      <c r="CM15" s="393" t="s">
        <v>43</v>
      </c>
      <c r="CN15" s="402"/>
      <c r="CO15" s="214"/>
      <c r="CP15" s="214"/>
      <c r="CQ15" s="274"/>
      <c r="CR15" s="1"/>
      <c r="CS15" s="1"/>
      <c r="CT15" s="1"/>
      <c r="CU15" s="1"/>
      <c r="CV15" s="1"/>
      <c r="CW15" s="2"/>
      <c r="CX15" s="603"/>
    </row>
    <row r="16" spans="1:102">
      <c r="A16" s="207"/>
      <c r="B16" s="23" t="s">
        <v>142</v>
      </c>
      <c r="C16" s="180" t="s">
        <v>54</v>
      </c>
      <c r="D16" s="128"/>
      <c r="E16" s="65" t="s">
        <v>43</v>
      </c>
      <c r="F16" s="24"/>
      <c r="G16" s="25"/>
      <c r="H16" s="182">
        <v>6</v>
      </c>
      <c r="I16" s="183" t="s">
        <v>282</v>
      </c>
      <c r="J16" s="137">
        <v>3</v>
      </c>
      <c r="K16" s="216">
        <v>7.4999999999999997E-2</v>
      </c>
      <c r="L16" s="150">
        <f t="shared" si="0"/>
        <v>3.2</v>
      </c>
      <c r="M16" s="196">
        <v>100</v>
      </c>
      <c r="N16" s="181">
        <v>75</v>
      </c>
      <c r="O16" s="215">
        <v>42156</v>
      </c>
      <c r="P16" s="164" t="s">
        <v>201</v>
      </c>
      <c r="Q16" s="166">
        <v>400</v>
      </c>
      <c r="R16" s="26">
        <v>125</v>
      </c>
      <c r="S16" s="27">
        <v>6000</v>
      </c>
      <c r="T16" s="153" t="s">
        <v>322</v>
      </c>
      <c r="U16" s="152" t="s">
        <v>334</v>
      </c>
      <c r="V16" s="411">
        <v>400</v>
      </c>
      <c r="W16" s="269">
        <v>125</v>
      </c>
      <c r="X16" s="338">
        <v>5</v>
      </c>
      <c r="Y16" s="387">
        <f t="shared" si="1"/>
        <v>2000</v>
      </c>
      <c r="Z16" s="344">
        <f t="shared" si="2"/>
        <v>6000</v>
      </c>
      <c r="AA16" s="423">
        <v>15</v>
      </c>
      <c r="AB16" s="321">
        <v>0</v>
      </c>
      <c r="AC16" s="345">
        <v>0</v>
      </c>
      <c r="AD16" s="345">
        <v>0</v>
      </c>
      <c r="AE16" s="345">
        <v>0</v>
      </c>
      <c r="AF16" s="253">
        <v>2025</v>
      </c>
      <c r="AG16" s="411">
        <v>600</v>
      </c>
      <c r="AH16" s="269">
        <v>187</v>
      </c>
      <c r="AI16" s="338">
        <v>5</v>
      </c>
      <c r="AJ16" s="387">
        <f t="shared" si="3"/>
        <v>3000</v>
      </c>
      <c r="AK16" s="344">
        <f t="shared" si="4"/>
        <v>9000</v>
      </c>
      <c r="AL16" s="423">
        <v>4</v>
      </c>
      <c r="AM16" s="431">
        <v>500000</v>
      </c>
      <c r="AN16" s="345">
        <v>0</v>
      </c>
      <c r="AO16" s="345">
        <v>0</v>
      </c>
      <c r="AP16" s="345">
        <v>0</v>
      </c>
      <c r="AQ16" s="341">
        <v>759</v>
      </c>
      <c r="AR16" s="411">
        <v>700</v>
      </c>
      <c r="AS16" s="269">
        <v>218</v>
      </c>
      <c r="AT16" s="338">
        <v>5</v>
      </c>
      <c r="AU16" s="387">
        <f t="shared" si="5"/>
        <v>3500</v>
      </c>
      <c r="AV16" s="344">
        <f t="shared" si="6"/>
        <v>10500</v>
      </c>
      <c r="AW16" s="423">
        <v>8</v>
      </c>
      <c r="AX16" s="431">
        <v>750000</v>
      </c>
      <c r="AY16" s="345">
        <v>0</v>
      </c>
      <c r="AZ16" s="345">
        <v>1</v>
      </c>
      <c r="BA16" s="345">
        <v>0</v>
      </c>
      <c r="BB16" s="341">
        <v>1771</v>
      </c>
      <c r="BC16" s="411">
        <v>760</v>
      </c>
      <c r="BD16" s="269">
        <v>237</v>
      </c>
      <c r="BE16" s="338">
        <v>5</v>
      </c>
      <c r="BF16" s="387">
        <f t="shared" si="7"/>
        <v>3800</v>
      </c>
      <c r="BG16" s="344">
        <f t="shared" si="8"/>
        <v>11400</v>
      </c>
      <c r="BH16" s="423">
        <v>12</v>
      </c>
      <c r="BI16" s="431">
        <v>1000000</v>
      </c>
      <c r="BJ16" s="345">
        <v>0</v>
      </c>
      <c r="BK16" s="345">
        <v>0</v>
      </c>
      <c r="BL16" s="345">
        <v>0</v>
      </c>
      <c r="BM16" s="341">
        <v>2885</v>
      </c>
      <c r="BN16" s="411">
        <v>800</v>
      </c>
      <c r="BO16" s="269">
        <v>250</v>
      </c>
      <c r="BP16" s="338">
        <v>6</v>
      </c>
      <c r="BQ16" s="387">
        <f t="shared" si="9"/>
        <v>4800</v>
      </c>
      <c r="BR16" s="344">
        <f t="shared" si="10"/>
        <v>14400</v>
      </c>
      <c r="BS16" s="423">
        <v>15</v>
      </c>
      <c r="BT16" s="431">
        <v>1250000</v>
      </c>
      <c r="BU16" s="345">
        <v>0</v>
      </c>
      <c r="BV16" s="345">
        <v>0</v>
      </c>
      <c r="BW16" s="345">
        <v>1</v>
      </c>
      <c r="BX16" s="341">
        <v>4860</v>
      </c>
      <c r="BY16" s="283">
        <v>30</v>
      </c>
      <c r="BZ16" s="200" t="s">
        <v>43</v>
      </c>
      <c r="CA16" s="278">
        <v>3330</v>
      </c>
      <c r="CB16" s="407">
        <v>10000</v>
      </c>
      <c r="CC16" s="260">
        <v>20000</v>
      </c>
      <c r="CD16" s="260">
        <v>40000</v>
      </c>
      <c r="CE16" s="260">
        <v>80000</v>
      </c>
      <c r="CF16" s="260">
        <v>160000</v>
      </c>
      <c r="CG16" s="260">
        <v>320000</v>
      </c>
      <c r="CH16" s="260">
        <v>640000</v>
      </c>
      <c r="CI16" s="260"/>
      <c r="CJ16" s="260"/>
      <c r="CK16" s="260"/>
      <c r="CL16" s="294"/>
      <c r="CM16" s="393" t="s">
        <v>43</v>
      </c>
      <c r="CN16" s="402"/>
      <c r="CO16" s="214"/>
      <c r="CP16" s="214"/>
      <c r="CQ16" s="274"/>
      <c r="CR16" s="1"/>
      <c r="CS16" s="1"/>
      <c r="CT16" s="1"/>
      <c r="CU16" s="1"/>
      <c r="CV16" s="1"/>
      <c r="CW16" s="2"/>
      <c r="CX16" s="603"/>
    </row>
    <row r="17" spans="1:102">
      <c r="A17" s="207"/>
      <c r="B17" s="23" t="s">
        <v>143</v>
      </c>
      <c r="C17" s="180" t="s">
        <v>54</v>
      </c>
      <c r="D17" s="128"/>
      <c r="E17" s="65" t="s">
        <v>43</v>
      </c>
      <c r="F17" s="24"/>
      <c r="G17" s="25"/>
      <c r="H17" s="182">
        <v>5</v>
      </c>
      <c r="I17" s="183" t="s">
        <v>282</v>
      </c>
      <c r="J17" s="137">
        <v>6</v>
      </c>
      <c r="K17" s="216">
        <v>7.4999999999999997E-2</v>
      </c>
      <c r="L17" s="150">
        <f t="shared" si="0"/>
        <v>3.4615384615384617</v>
      </c>
      <c r="M17" s="196">
        <v>100</v>
      </c>
      <c r="N17" s="181">
        <v>83</v>
      </c>
      <c r="O17" s="215">
        <v>42248</v>
      </c>
      <c r="P17" s="164" t="s">
        <v>201</v>
      </c>
      <c r="Q17" s="166">
        <v>450</v>
      </c>
      <c r="R17" s="26">
        <v>130</v>
      </c>
      <c r="S17" s="27">
        <v>16200</v>
      </c>
      <c r="T17" s="153" t="s">
        <v>323</v>
      </c>
      <c r="U17" s="152" t="s">
        <v>335</v>
      </c>
      <c r="V17" s="411">
        <v>450</v>
      </c>
      <c r="W17" s="269">
        <v>130</v>
      </c>
      <c r="X17" s="338">
        <v>6</v>
      </c>
      <c r="Y17" s="387">
        <f t="shared" si="1"/>
        <v>2700</v>
      </c>
      <c r="Z17" s="344">
        <f t="shared" si="2"/>
        <v>16200</v>
      </c>
      <c r="AA17" s="423">
        <v>20</v>
      </c>
      <c r="AB17" s="321">
        <v>0</v>
      </c>
      <c r="AC17" s="345">
        <v>0</v>
      </c>
      <c r="AD17" s="345">
        <v>0</v>
      </c>
      <c r="AE17" s="345">
        <v>0</v>
      </c>
      <c r="AF17" s="253">
        <v>4050</v>
      </c>
      <c r="AG17" s="411">
        <v>675</v>
      </c>
      <c r="AH17" s="269">
        <v>195</v>
      </c>
      <c r="AI17" s="338">
        <v>6</v>
      </c>
      <c r="AJ17" s="387">
        <f t="shared" si="3"/>
        <v>4050</v>
      </c>
      <c r="AK17" s="344">
        <f t="shared" si="4"/>
        <v>24300</v>
      </c>
      <c r="AL17" s="423">
        <v>6</v>
      </c>
      <c r="AM17" s="431">
        <v>1200000</v>
      </c>
      <c r="AN17" s="345">
        <v>0</v>
      </c>
      <c r="AO17" s="345">
        <v>2</v>
      </c>
      <c r="AP17" s="345">
        <v>0</v>
      </c>
      <c r="AQ17" s="341">
        <v>1822</v>
      </c>
      <c r="AR17" s="411">
        <v>786</v>
      </c>
      <c r="AS17" s="269">
        <v>227</v>
      </c>
      <c r="AT17" s="338">
        <v>6</v>
      </c>
      <c r="AU17" s="387">
        <f t="shared" si="5"/>
        <v>4716</v>
      </c>
      <c r="AV17" s="344">
        <f t="shared" si="6"/>
        <v>28296</v>
      </c>
      <c r="AW17" s="423">
        <v>11</v>
      </c>
      <c r="AX17" s="431">
        <v>1800000</v>
      </c>
      <c r="AY17" s="345">
        <v>0</v>
      </c>
      <c r="AZ17" s="345">
        <v>3</v>
      </c>
      <c r="BA17" s="345">
        <v>0</v>
      </c>
      <c r="BB17" s="341">
        <v>3890</v>
      </c>
      <c r="BC17" s="411">
        <v>855</v>
      </c>
      <c r="BD17" s="269">
        <v>247</v>
      </c>
      <c r="BE17" s="338">
        <v>6</v>
      </c>
      <c r="BF17" s="387">
        <f t="shared" si="7"/>
        <v>5130</v>
      </c>
      <c r="BG17" s="344">
        <f t="shared" si="8"/>
        <v>30780</v>
      </c>
      <c r="BH17" s="423">
        <v>16</v>
      </c>
      <c r="BI17" s="431">
        <v>2400000</v>
      </c>
      <c r="BJ17" s="345">
        <v>0</v>
      </c>
      <c r="BK17" s="345">
        <v>0</v>
      </c>
      <c r="BL17" s="345">
        <v>2</v>
      </c>
      <c r="BM17" s="341">
        <v>6156</v>
      </c>
      <c r="BN17" s="411">
        <v>900</v>
      </c>
      <c r="BO17" s="269">
        <v>260</v>
      </c>
      <c r="BP17" s="338">
        <v>6</v>
      </c>
      <c r="BQ17" s="387">
        <f t="shared" si="9"/>
        <v>5400</v>
      </c>
      <c r="BR17" s="344">
        <f t="shared" si="10"/>
        <v>32400</v>
      </c>
      <c r="BS17" s="423">
        <v>20</v>
      </c>
      <c r="BT17" s="431">
        <v>3000000</v>
      </c>
      <c r="BU17" s="345">
        <v>0</v>
      </c>
      <c r="BV17" s="345">
        <v>0</v>
      </c>
      <c r="BW17" s="345">
        <v>3</v>
      </c>
      <c r="BX17" s="341">
        <v>8100</v>
      </c>
      <c r="BY17" s="283">
        <v>19</v>
      </c>
      <c r="BZ17" s="200" t="s">
        <v>43</v>
      </c>
      <c r="CA17" s="278">
        <v>10000</v>
      </c>
      <c r="CB17" s="407">
        <v>60000</v>
      </c>
      <c r="CC17" s="260">
        <v>120000</v>
      </c>
      <c r="CD17" s="260">
        <v>240000</v>
      </c>
      <c r="CE17" s="260">
        <v>480000</v>
      </c>
      <c r="CF17" s="260">
        <v>960000</v>
      </c>
      <c r="CG17" s="260"/>
      <c r="CH17" s="260"/>
      <c r="CI17" s="260"/>
      <c r="CJ17" s="260"/>
      <c r="CK17" s="260"/>
      <c r="CL17" s="294"/>
      <c r="CM17" s="393" t="s">
        <v>43</v>
      </c>
      <c r="CN17" s="402"/>
      <c r="CO17" s="214"/>
      <c r="CP17" s="214"/>
      <c r="CQ17" s="274"/>
      <c r="CR17" s="1"/>
      <c r="CS17" s="1"/>
      <c r="CT17" s="1"/>
      <c r="CU17" s="1"/>
      <c r="CV17" s="1"/>
      <c r="CW17" s="2"/>
      <c r="CX17" s="603"/>
    </row>
    <row r="18" spans="1:102">
      <c r="A18" s="207"/>
      <c r="B18" s="23" t="s">
        <v>184</v>
      </c>
      <c r="C18" s="180" t="s">
        <v>54</v>
      </c>
      <c r="D18" s="128" t="s">
        <v>180</v>
      </c>
      <c r="E18" s="65" t="s">
        <v>43</v>
      </c>
      <c r="F18" s="24"/>
      <c r="G18" s="25"/>
      <c r="H18" s="182">
        <v>6</v>
      </c>
      <c r="I18" s="183" t="s">
        <v>282</v>
      </c>
      <c r="J18" s="137">
        <v>6</v>
      </c>
      <c r="K18" s="216">
        <v>7.4999999999999997E-2</v>
      </c>
      <c r="L18" s="150">
        <f t="shared" si="0"/>
        <v>3.8888888888888888</v>
      </c>
      <c r="M18" s="196">
        <v>100</v>
      </c>
      <c r="N18" s="181">
        <v>92</v>
      </c>
      <c r="O18" s="215">
        <v>42309</v>
      </c>
      <c r="P18" s="164" t="s">
        <v>202</v>
      </c>
      <c r="Q18" s="166">
        <v>1400</v>
      </c>
      <c r="R18" s="26">
        <v>360</v>
      </c>
      <c r="S18" s="27">
        <v>117600</v>
      </c>
      <c r="T18" s="153" t="s">
        <v>324</v>
      </c>
      <c r="U18" s="152" t="s">
        <v>336</v>
      </c>
      <c r="V18" s="411">
        <v>467</v>
      </c>
      <c r="W18" s="269">
        <v>120</v>
      </c>
      <c r="X18" s="338">
        <v>12</v>
      </c>
      <c r="Y18" s="387">
        <f t="shared" si="1"/>
        <v>5604</v>
      </c>
      <c r="Z18" s="344">
        <f t="shared" si="2"/>
        <v>33624</v>
      </c>
      <c r="AA18" s="423">
        <v>6</v>
      </c>
      <c r="AB18" s="321">
        <v>0</v>
      </c>
      <c r="AC18" s="345">
        <v>0</v>
      </c>
      <c r="AD18" s="345">
        <v>0</v>
      </c>
      <c r="AE18" s="345">
        <v>0</v>
      </c>
      <c r="AF18" s="253">
        <v>2522</v>
      </c>
      <c r="AG18" s="411">
        <v>584</v>
      </c>
      <c r="AH18" s="269">
        <v>150</v>
      </c>
      <c r="AI18" s="338">
        <v>12</v>
      </c>
      <c r="AJ18" s="387">
        <f t="shared" si="3"/>
        <v>7008</v>
      </c>
      <c r="AK18" s="344">
        <f t="shared" si="4"/>
        <v>42048</v>
      </c>
      <c r="AL18" s="423">
        <f>1*24+12</f>
        <v>36</v>
      </c>
      <c r="AM18" s="431">
        <v>2600000</v>
      </c>
      <c r="AN18" s="321">
        <v>0</v>
      </c>
      <c r="AO18" s="321">
        <v>4</v>
      </c>
      <c r="AP18" s="321">
        <v>0</v>
      </c>
      <c r="AQ18" s="341">
        <v>10000</v>
      </c>
      <c r="AR18" s="411">
        <v>700</v>
      </c>
      <c r="AS18" s="269">
        <v>180</v>
      </c>
      <c r="AT18" s="338">
        <v>13</v>
      </c>
      <c r="AU18" s="387">
        <f t="shared" si="5"/>
        <v>9100</v>
      </c>
      <c r="AV18" s="344">
        <f t="shared" si="6"/>
        <v>54600</v>
      </c>
      <c r="AW18" s="423">
        <f>3*24</f>
        <v>72</v>
      </c>
      <c r="AX18" s="431">
        <v>3900000</v>
      </c>
      <c r="AY18" s="345">
        <v>0</v>
      </c>
      <c r="AZ18" s="345">
        <v>6</v>
      </c>
      <c r="BA18" s="345">
        <v>0</v>
      </c>
      <c r="BB18" s="341">
        <v>10000</v>
      </c>
      <c r="BC18" s="411">
        <v>934</v>
      </c>
      <c r="BD18" s="269">
        <v>240</v>
      </c>
      <c r="BE18" s="338">
        <v>13</v>
      </c>
      <c r="BF18" s="387">
        <f t="shared" si="7"/>
        <v>12142</v>
      </c>
      <c r="BG18" s="344">
        <f t="shared" si="8"/>
        <v>72852</v>
      </c>
      <c r="BH18" s="423">
        <f>6*24</f>
        <v>144</v>
      </c>
      <c r="BI18" s="431">
        <v>5200000</v>
      </c>
      <c r="BJ18" s="321">
        <v>0</v>
      </c>
      <c r="BK18" s="321">
        <v>0</v>
      </c>
      <c r="BL18" s="321">
        <v>4</v>
      </c>
      <c r="BM18" s="341">
        <v>10000</v>
      </c>
      <c r="BN18" s="411">
        <v>1400</v>
      </c>
      <c r="BO18" s="269">
        <v>360</v>
      </c>
      <c r="BP18" s="338">
        <v>14</v>
      </c>
      <c r="BQ18" s="387">
        <f t="shared" si="9"/>
        <v>19600</v>
      </c>
      <c r="BR18" s="344">
        <f t="shared" si="10"/>
        <v>117600</v>
      </c>
      <c r="BS18" s="423">
        <f>12*24</f>
        <v>288</v>
      </c>
      <c r="BT18" s="431">
        <v>6500000</v>
      </c>
      <c r="BU18" s="321">
        <v>0</v>
      </c>
      <c r="BV18" s="321">
        <v>0</v>
      </c>
      <c r="BW18" s="321">
        <v>6</v>
      </c>
      <c r="BX18" s="341">
        <v>10000</v>
      </c>
      <c r="BY18" s="283">
        <v>149</v>
      </c>
      <c r="BZ18" s="200" t="s">
        <v>43</v>
      </c>
      <c r="CA18" s="278">
        <v>10000</v>
      </c>
      <c r="CB18" s="407">
        <v>128000</v>
      </c>
      <c r="CC18" s="260">
        <v>256000</v>
      </c>
      <c r="CD18" s="260">
        <v>512000</v>
      </c>
      <c r="CE18" s="260"/>
      <c r="CF18" s="260"/>
      <c r="CG18" s="260"/>
      <c r="CH18" s="260"/>
      <c r="CI18" s="260"/>
      <c r="CJ18" s="260"/>
      <c r="CK18" s="260"/>
      <c r="CL18" s="294"/>
      <c r="CM18" s="393" t="s">
        <v>43</v>
      </c>
      <c r="CN18" s="402"/>
      <c r="CO18" s="214"/>
      <c r="CP18" s="214"/>
      <c r="CQ18" s="274"/>
      <c r="CR18" s="1"/>
      <c r="CS18" s="1"/>
      <c r="CT18" s="1"/>
      <c r="CU18" s="1"/>
      <c r="CV18" s="1"/>
      <c r="CW18" s="2"/>
      <c r="CX18" s="603"/>
    </row>
    <row r="19" spans="1:102">
      <c r="A19" s="207"/>
      <c r="B19" s="23" t="s">
        <v>197</v>
      </c>
      <c r="C19" s="180" t="s">
        <v>54</v>
      </c>
      <c r="D19" s="128"/>
      <c r="E19" s="65" t="s">
        <v>43</v>
      </c>
      <c r="F19" s="24"/>
      <c r="G19" s="25"/>
      <c r="H19" s="182">
        <v>5</v>
      </c>
      <c r="I19" s="183" t="s">
        <v>967</v>
      </c>
      <c r="J19" s="137">
        <v>6</v>
      </c>
      <c r="K19" s="216">
        <v>7.4999999999999997E-2</v>
      </c>
      <c r="L19" s="150">
        <f t="shared" si="0"/>
        <v>3.7037037037037037</v>
      </c>
      <c r="M19" s="196">
        <v>100</v>
      </c>
      <c r="N19" s="181">
        <v>94</v>
      </c>
      <c r="O19" s="215">
        <v>42330</v>
      </c>
      <c r="P19" s="164" t="s">
        <v>202</v>
      </c>
      <c r="Q19" s="442">
        <v>1000</v>
      </c>
      <c r="R19" s="441">
        <v>270</v>
      </c>
      <c r="S19" s="443">
        <v>36000</v>
      </c>
      <c r="T19" s="153" t="s">
        <v>325</v>
      </c>
      <c r="U19" s="152" t="s">
        <v>337</v>
      </c>
      <c r="V19" s="411">
        <v>334</v>
      </c>
      <c r="W19" s="269">
        <v>90</v>
      </c>
      <c r="X19" s="338">
        <v>6</v>
      </c>
      <c r="Y19" s="387">
        <f t="shared" si="1"/>
        <v>2004</v>
      </c>
      <c r="Z19" s="344">
        <f t="shared" si="2"/>
        <v>12024</v>
      </c>
      <c r="AA19" s="423">
        <v>4</v>
      </c>
      <c r="AB19" s="321">
        <v>0</v>
      </c>
      <c r="AC19" s="345">
        <v>0</v>
      </c>
      <c r="AD19" s="345">
        <v>0</v>
      </c>
      <c r="AE19" s="345">
        <v>0</v>
      </c>
      <c r="AF19" s="253">
        <v>602</v>
      </c>
      <c r="AG19" s="411">
        <v>417</v>
      </c>
      <c r="AH19" s="269">
        <v>113</v>
      </c>
      <c r="AI19" s="338">
        <v>6</v>
      </c>
      <c r="AJ19" s="387">
        <f t="shared" si="3"/>
        <v>2502</v>
      </c>
      <c r="AK19" s="344">
        <f t="shared" si="4"/>
        <v>15012</v>
      </c>
      <c r="AL19" s="423">
        <f>24</f>
        <v>24</v>
      </c>
      <c r="AM19" s="431">
        <v>1600000</v>
      </c>
      <c r="AN19" s="321">
        <v>0</v>
      </c>
      <c r="AO19" s="321">
        <v>3</v>
      </c>
      <c r="AP19" s="321">
        <v>0</v>
      </c>
      <c r="AQ19" s="341">
        <v>4504</v>
      </c>
      <c r="AR19" s="411">
        <v>500</v>
      </c>
      <c r="AS19" s="269">
        <v>135</v>
      </c>
      <c r="AT19" s="338">
        <v>6</v>
      </c>
      <c r="AU19" s="387">
        <f t="shared" si="5"/>
        <v>3000</v>
      </c>
      <c r="AV19" s="344">
        <f t="shared" si="6"/>
        <v>18000</v>
      </c>
      <c r="AW19" s="423">
        <f>2*24</f>
        <v>48</v>
      </c>
      <c r="AX19" s="431">
        <v>2400000</v>
      </c>
      <c r="AY19" s="345">
        <v>0</v>
      </c>
      <c r="AZ19" s="345">
        <v>5</v>
      </c>
      <c r="BA19" s="345">
        <v>0</v>
      </c>
      <c r="BB19" s="341">
        <v>10000</v>
      </c>
      <c r="BC19" s="411">
        <v>667</v>
      </c>
      <c r="BD19" s="269">
        <v>180</v>
      </c>
      <c r="BE19" s="338">
        <v>6</v>
      </c>
      <c r="BF19" s="387">
        <f t="shared" si="7"/>
        <v>4002</v>
      </c>
      <c r="BG19" s="344">
        <f t="shared" si="8"/>
        <v>24012</v>
      </c>
      <c r="BH19" s="423">
        <f>4*24</f>
        <v>96</v>
      </c>
      <c r="BI19" s="431">
        <v>3200000</v>
      </c>
      <c r="BJ19" s="321">
        <v>0</v>
      </c>
      <c r="BK19" s="321">
        <v>0</v>
      </c>
      <c r="BL19" s="321">
        <v>3</v>
      </c>
      <c r="BM19" s="341">
        <v>10000</v>
      </c>
      <c r="BN19" s="411">
        <v>1000</v>
      </c>
      <c r="BO19" s="269">
        <v>270</v>
      </c>
      <c r="BP19" s="338">
        <v>6</v>
      </c>
      <c r="BQ19" s="387">
        <f t="shared" si="9"/>
        <v>6000</v>
      </c>
      <c r="BR19" s="344">
        <f t="shared" si="10"/>
        <v>36000</v>
      </c>
      <c r="BS19" s="423">
        <f>8*24</f>
        <v>192</v>
      </c>
      <c r="BT19" s="431">
        <v>4000000</v>
      </c>
      <c r="BU19" s="321">
        <v>0</v>
      </c>
      <c r="BV19" s="321">
        <v>0</v>
      </c>
      <c r="BW19" s="321">
        <v>5</v>
      </c>
      <c r="BX19" s="341">
        <v>10000</v>
      </c>
      <c r="BY19" s="283">
        <v>100</v>
      </c>
      <c r="BZ19" s="200" t="s">
        <v>43</v>
      </c>
      <c r="CA19" s="278">
        <v>10000</v>
      </c>
      <c r="CB19" s="407">
        <v>77777</v>
      </c>
      <c r="CC19" s="260">
        <v>155554</v>
      </c>
      <c r="CD19" s="260">
        <v>311108</v>
      </c>
      <c r="CE19" s="260">
        <v>622216</v>
      </c>
      <c r="CF19" s="260"/>
      <c r="CG19" s="260"/>
      <c r="CH19" s="260"/>
      <c r="CI19" s="260"/>
      <c r="CJ19" s="260"/>
      <c r="CK19" s="260"/>
      <c r="CL19" s="294"/>
      <c r="CM19" s="393" t="s">
        <v>43</v>
      </c>
      <c r="CN19" s="402"/>
      <c r="CO19" s="214"/>
      <c r="CP19" s="214"/>
      <c r="CQ19" s="274"/>
      <c r="CR19" s="1"/>
      <c r="CS19" s="1"/>
      <c r="CT19" s="1"/>
      <c r="CU19" s="1"/>
      <c r="CV19" s="1"/>
      <c r="CW19" s="2"/>
      <c r="CX19" s="603"/>
    </row>
    <row r="20" spans="1:102">
      <c r="A20" s="79"/>
      <c r="B20" s="203" t="s">
        <v>296</v>
      </c>
      <c r="C20" s="180" t="s">
        <v>54</v>
      </c>
      <c r="D20" s="128"/>
      <c r="E20" s="206" t="s">
        <v>43</v>
      </c>
      <c r="F20" s="24"/>
      <c r="G20" s="25"/>
      <c r="H20" s="182">
        <v>5</v>
      </c>
      <c r="I20" s="183" t="s">
        <v>282</v>
      </c>
      <c r="J20" s="137">
        <v>6</v>
      </c>
      <c r="K20" s="218">
        <v>7.4999999999999997E-2</v>
      </c>
      <c r="L20" s="150">
        <f t="shared" si="0"/>
        <v>4.2857142857142856</v>
      </c>
      <c r="M20" s="196">
        <v>100</v>
      </c>
      <c r="N20" s="181">
        <v>101</v>
      </c>
      <c r="O20" s="215">
        <v>42401</v>
      </c>
      <c r="P20" s="164" t="s">
        <v>206</v>
      </c>
      <c r="Q20" s="166">
        <v>1200</v>
      </c>
      <c r="R20" s="26">
        <v>280</v>
      </c>
      <c r="S20" s="27">
        <v>43200</v>
      </c>
      <c r="T20" s="153" t="s">
        <v>326</v>
      </c>
      <c r="U20" s="152" t="s">
        <v>344</v>
      </c>
      <c r="V20" s="411">
        <v>400</v>
      </c>
      <c r="W20" s="269">
        <v>94</v>
      </c>
      <c r="X20" s="338">
        <v>6</v>
      </c>
      <c r="Y20" s="387">
        <f t="shared" si="1"/>
        <v>2400</v>
      </c>
      <c r="Z20" s="344">
        <f t="shared" si="2"/>
        <v>14400</v>
      </c>
      <c r="AA20" s="423">
        <v>4</v>
      </c>
      <c r="AB20" s="321">
        <v>0</v>
      </c>
      <c r="AC20" s="345">
        <v>0</v>
      </c>
      <c r="AD20" s="345">
        <v>0</v>
      </c>
      <c r="AE20" s="345">
        <v>0</v>
      </c>
      <c r="AF20" s="253">
        <v>720</v>
      </c>
      <c r="AG20" s="411">
        <v>500</v>
      </c>
      <c r="AH20" s="269">
        <v>117</v>
      </c>
      <c r="AI20" s="338">
        <v>6</v>
      </c>
      <c r="AJ20" s="387">
        <f t="shared" si="3"/>
        <v>3000</v>
      </c>
      <c r="AK20" s="344">
        <f t="shared" si="4"/>
        <v>18000</v>
      </c>
      <c r="AL20" s="423">
        <v>8</v>
      </c>
      <c r="AM20" s="431">
        <v>1800000</v>
      </c>
      <c r="AN20" s="321">
        <v>0</v>
      </c>
      <c r="AO20" s="321">
        <v>3</v>
      </c>
      <c r="AP20" s="321">
        <v>0</v>
      </c>
      <c r="AQ20" s="341">
        <v>1800</v>
      </c>
      <c r="AR20" s="411">
        <v>600</v>
      </c>
      <c r="AS20" s="269">
        <v>140</v>
      </c>
      <c r="AT20" s="338">
        <v>6</v>
      </c>
      <c r="AU20" s="387">
        <f t="shared" si="5"/>
        <v>3600</v>
      </c>
      <c r="AV20" s="344">
        <f t="shared" si="6"/>
        <v>21600</v>
      </c>
      <c r="AW20" s="423">
        <v>16</v>
      </c>
      <c r="AX20" s="431">
        <v>2700000</v>
      </c>
      <c r="AY20" s="345">
        <v>0</v>
      </c>
      <c r="AZ20" s="345">
        <v>5</v>
      </c>
      <c r="BA20" s="345">
        <v>0</v>
      </c>
      <c r="BB20" s="341">
        <v>4320</v>
      </c>
      <c r="BC20" s="411">
        <v>800</v>
      </c>
      <c r="BD20" s="269">
        <v>187</v>
      </c>
      <c r="BE20" s="338">
        <v>6</v>
      </c>
      <c r="BF20" s="387">
        <f t="shared" si="7"/>
        <v>4800</v>
      </c>
      <c r="BG20" s="344">
        <f t="shared" si="8"/>
        <v>28800</v>
      </c>
      <c r="BH20" s="423">
        <f>1*24+8</f>
        <v>32</v>
      </c>
      <c r="BI20" s="431">
        <v>3600000</v>
      </c>
      <c r="BJ20" s="321">
        <v>0</v>
      </c>
      <c r="BK20" s="321">
        <v>0</v>
      </c>
      <c r="BL20" s="321">
        <v>3</v>
      </c>
      <c r="BM20" s="341">
        <v>10000</v>
      </c>
      <c r="BN20" s="411">
        <v>1200</v>
      </c>
      <c r="BO20" s="269">
        <v>280</v>
      </c>
      <c r="BP20" s="338">
        <v>6</v>
      </c>
      <c r="BQ20" s="387">
        <f t="shared" si="9"/>
        <v>7200</v>
      </c>
      <c r="BR20" s="344">
        <f t="shared" si="10"/>
        <v>43200</v>
      </c>
      <c r="BS20" s="423">
        <f>2*24+16</f>
        <v>64</v>
      </c>
      <c r="BT20" s="431">
        <v>4500000</v>
      </c>
      <c r="BU20" s="321">
        <v>0</v>
      </c>
      <c r="BV20" s="321">
        <v>0</v>
      </c>
      <c r="BW20" s="321">
        <v>5</v>
      </c>
      <c r="BX20" s="341">
        <v>10000</v>
      </c>
      <c r="BY20" s="283"/>
      <c r="BZ20" s="200"/>
      <c r="CA20" s="278">
        <v>10000</v>
      </c>
      <c r="CB20" s="407">
        <v>98000</v>
      </c>
      <c r="CC20" s="260">
        <v>196000</v>
      </c>
      <c r="CD20" s="260">
        <v>392000</v>
      </c>
      <c r="CE20" s="260">
        <v>784000</v>
      </c>
      <c r="CF20" s="260"/>
      <c r="CG20" s="260"/>
      <c r="CH20" s="260"/>
      <c r="CI20" s="260"/>
      <c r="CJ20" s="260"/>
      <c r="CK20" s="260"/>
      <c r="CL20" s="294"/>
      <c r="CM20" s="393" t="s">
        <v>43</v>
      </c>
      <c r="CN20" s="402"/>
      <c r="CO20" s="214"/>
      <c r="CP20" s="214"/>
      <c r="CQ20" s="274"/>
      <c r="CR20" s="1"/>
      <c r="CS20" s="1"/>
      <c r="CT20" s="1"/>
      <c r="CU20" s="1"/>
      <c r="CV20" s="1"/>
      <c r="CW20" s="2"/>
      <c r="CX20" s="603"/>
    </row>
    <row r="21" spans="1:102" s="444" customFormat="1">
      <c r="A21" s="472"/>
      <c r="B21" s="203" t="s">
        <v>720</v>
      </c>
      <c r="C21" s="180" t="s">
        <v>54</v>
      </c>
      <c r="D21" s="128"/>
      <c r="E21" s="206" t="s">
        <v>721</v>
      </c>
      <c r="F21" s="24"/>
      <c r="G21" s="25"/>
      <c r="H21" s="182">
        <v>6</v>
      </c>
      <c r="I21" s="183" t="s">
        <v>282</v>
      </c>
      <c r="J21" s="137">
        <v>6</v>
      </c>
      <c r="K21" s="1041">
        <v>7.4999999999999997E-2</v>
      </c>
      <c r="L21" s="150">
        <f t="shared" si="0"/>
        <v>4.2666666666666666</v>
      </c>
      <c r="M21" s="196">
        <v>100</v>
      </c>
      <c r="N21" s="181">
        <v>102</v>
      </c>
      <c r="O21" s="215">
        <v>42413</v>
      </c>
      <c r="P21" s="164" t="s">
        <v>206</v>
      </c>
      <c r="Q21" s="166">
        <v>1280</v>
      </c>
      <c r="R21" s="441">
        <v>300</v>
      </c>
      <c r="S21" s="443">
        <v>53760</v>
      </c>
      <c r="T21" s="153" t="s">
        <v>723</v>
      </c>
      <c r="U21" s="152" t="s">
        <v>725</v>
      </c>
      <c r="V21" s="1029">
        <v>427</v>
      </c>
      <c r="W21" s="1030">
        <v>100</v>
      </c>
      <c r="X21" s="1031">
        <v>7</v>
      </c>
      <c r="Y21" s="1032">
        <f t="shared" si="1"/>
        <v>2989</v>
      </c>
      <c r="Z21" s="1033">
        <f t="shared" si="2"/>
        <v>17934</v>
      </c>
      <c r="AA21" s="423">
        <v>6</v>
      </c>
      <c r="AB21" s="321">
        <v>0</v>
      </c>
      <c r="AC21" s="345">
        <v>0</v>
      </c>
      <c r="AD21" s="345">
        <v>0</v>
      </c>
      <c r="AE21" s="345">
        <v>0</v>
      </c>
      <c r="AF21" s="1042">
        <v>1346</v>
      </c>
      <c r="AG21" s="1029">
        <v>534</v>
      </c>
      <c r="AH21" s="1030">
        <v>125</v>
      </c>
      <c r="AI21" s="1031">
        <v>7</v>
      </c>
      <c r="AJ21" s="1032">
        <f t="shared" si="3"/>
        <v>3738</v>
      </c>
      <c r="AK21" s="1033">
        <f t="shared" si="4"/>
        <v>22428</v>
      </c>
      <c r="AL21" s="423">
        <v>12</v>
      </c>
      <c r="AM21" s="431">
        <v>2000000</v>
      </c>
      <c r="AN21" s="321">
        <v>0</v>
      </c>
      <c r="AO21" s="321">
        <v>5</v>
      </c>
      <c r="AP21" s="321">
        <v>0</v>
      </c>
      <c r="AQ21" s="1045">
        <v>3365</v>
      </c>
      <c r="AR21" s="1029">
        <v>640</v>
      </c>
      <c r="AS21" s="1030">
        <v>150</v>
      </c>
      <c r="AT21" s="1031">
        <v>7</v>
      </c>
      <c r="AU21" s="1032">
        <f t="shared" si="5"/>
        <v>4480</v>
      </c>
      <c r="AV21" s="1033">
        <f t="shared" si="6"/>
        <v>26880</v>
      </c>
      <c r="AW21" s="1016">
        <f>12*2</f>
        <v>24</v>
      </c>
      <c r="AX21" s="1015">
        <f>2000000*27/18</f>
        <v>3000000</v>
      </c>
      <c r="AY21" s="1014">
        <v>0</v>
      </c>
      <c r="AZ21" s="1014">
        <v>10</v>
      </c>
      <c r="BA21" s="1014">
        <v>0</v>
      </c>
      <c r="BB21" s="1045">
        <v>8064</v>
      </c>
      <c r="BC21" s="1029">
        <v>854</v>
      </c>
      <c r="BD21" s="1030">
        <v>200</v>
      </c>
      <c r="BE21" s="1031">
        <v>7</v>
      </c>
      <c r="BF21" s="1032">
        <f t="shared" si="7"/>
        <v>5978</v>
      </c>
      <c r="BG21" s="1033">
        <f t="shared" si="8"/>
        <v>35868</v>
      </c>
      <c r="BH21" s="1016">
        <f>24*2</f>
        <v>48</v>
      </c>
      <c r="BI21" s="1015">
        <f>3000000*36/27</f>
        <v>4000000</v>
      </c>
      <c r="BJ21" s="1148">
        <v>0</v>
      </c>
      <c r="BK21" s="1148">
        <v>0</v>
      </c>
      <c r="BL21" s="1148">
        <v>5</v>
      </c>
      <c r="BM21" s="1045">
        <v>10000</v>
      </c>
      <c r="BN21" s="1029">
        <v>1280</v>
      </c>
      <c r="BO21" s="1030">
        <v>300</v>
      </c>
      <c r="BP21" s="1031">
        <v>7</v>
      </c>
      <c r="BQ21" s="1032">
        <f t="shared" si="9"/>
        <v>8960</v>
      </c>
      <c r="BR21" s="1033">
        <f t="shared" si="10"/>
        <v>53760</v>
      </c>
      <c r="BS21" s="1016">
        <f>48*2</f>
        <v>96</v>
      </c>
      <c r="BT21" s="1015">
        <f>4000000*45/36</f>
        <v>5000000</v>
      </c>
      <c r="BU21" s="1148">
        <v>0</v>
      </c>
      <c r="BV21" s="1148">
        <v>0</v>
      </c>
      <c r="BW21" s="1148">
        <v>10</v>
      </c>
      <c r="BX21" s="199">
        <v>10000</v>
      </c>
      <c r="BY21" s="283"/>
      <c r="BZ21" s="200"/>
      <c r="CA21" s="278">
        <v>10000</v>
      </c>
      <c r="CB21" s="407">
        <v>200000</v>
      </c>
      <c r="CC21" s="260">
        <v>400000</v>
      </c>
      <c r="CD21" s="260">
        <v>800000</v>
      </c>
      <c r="CE21" s="260"/>
      <c r="CF21" s="260"/>
      <c r="CG21" s="260"/>
      <c r="CH21" s="260"/>
      <c r="CI21" s="260"/>
      <c r="CJ21" s="260"/>
      <c r="CK21" s="260"/>
      <c r="CL21" s="294"/>
      <c r="CM21" s="393" t="s">
        <v>43</v>
      </c>
      <c r="CN21" s="402"/>
      <c r="CO21" s="214"/>
      <c r="CP21" s="214"/>
      <c r="CQ21" s="274"/>
      <c r="CR21" s="1"/>
      <c r="CS21" s="1"/>
      <c r="CT21" s="1"/>
      <c r="CU21" s="1"/>
      <c r="CV21" s="1"/>
      <c r="CW21" s="2"/>
      <c r="CX21" s="603"/>
    </row>
    <row r="22" spans="1:102">
      <c r="A22" s="207"/>
      <c r="B22" s="23" t="s">
        <v>137</v>
      </c>
      <c r="C22" s="180" t="s">
        <v>54</v>
      </c>
      <c r="D22" s="128"/>
      <c r="E22" s="65" t="s">
        <v>43</v>
      </c>
      <c r="F22" s="24" t="s">
        <v>136</v>
      </c>
      <c r="G22" s="25"/>
      <c r="H22" s="182">
        <v>6</v>
      </c>
      <c r="I22" s="183" t="s">
        <v>270</v>
      </c>
      <c r="J22" s="137">
        <v>5</v>
      </c>
      <c r="K22" s="216">
        <v>7.4999999999999997E-2</v>
      </c>
      <c r="L22" s="150">
        <f t="shared" si="0"/>
        <v>3.6809815950920246</v>
      </c>
      <c r="M22" s="196">
        <v>30</v>
      </c>
      <c r="N22" s="181">
        <v>6002</v>
      </c>
      <c r="O22" s="215">
        <v>42238</v>
      </c>
      <c r="P22" s="164" t="s">
        <v>201</v>
      </c>
      <c r="Q22" s="166">
        <v>600</v>
      </c>
      <c r="R22" s="26">
        <v>163</v>
      </c>
      <c r="S22" s="27">
        <v>18000</v>
      </c>
      <c r="T22" s="153" t="s">
        <v>327</v>
      </c>
      <c r="U22" s="152" t="s">
        <v>343</v>
      </c>
      <c r="V22" s="411">
        <v>600</v>
      </c>
      <c r="W22" s="269">
        <v>163</v>
      </c>
      <c r="X22" s="338">
        <v>6</v>
      </c>
      <c r="Y22" s="387">
        <f t="shared" si="1"/>
        <v>3600</v>
      </c>
      <c r="Z22" s="344">
        <f t="shared" si="2"/>
        <v>18000</v>
      </c>
      <c r="AA22" s="423">
        <v>6</v>
      </c>
      <c r="AB22" s="321">
        <v>0</v>
      </c>
      <c r="AC22" s="345">
        <v>0</v>
      </c>
      <c r="AD22" s="345">
        <v>0</v>
      </c>
      <c r="AE22" s="345">
        <v>0</v>
      </c>
      <c r="AF22" s="253">
        <v>10000</v>
      </c>
      <c r="AG22" s="411">
        <v>900</v>
      </c>
      <c r="AH22" s="269">
        <v>244</v>
      </c>
      <c r="AI22" s="338">
        <v>6</v>
      </c>
      <c r="AJ22" s="387">
        <f t="shared" si="3"/>
        <v>5400</v>
      </c>
      <c r="AK22" s="344">
        <f t="shared" si="4"/>
        <v>27000</v>
      </c>
      <c r="AL22" s="423">
        <v>18</v>
      </c>
      <c r="AM22" s="431">
        <v>2000000</v>
      </c>
      <c r="AN22" s="345">
        <v>0</v>
      </c>
      <c r="AO22" s="345">
        <v>1</v>
      </c>
      <c r="AP22" s="345">
        <v>0</v>
      </c>
      <c r="AQ22" s="341">
        <v>10000</v>
      </c>
      <c r="AR22" s="411">
        <v>1048</v>
      </c>
      <c r="AS22" s="269">
        <v>284</v>
      </c>
      <c r="AT22" s="338">
        <v>7</v>
      </c>
      <c r="AU22" s="387">
        <f t="shared" si="5"/>
        <v>7336</v>
      </c>
      <c r="AV22" s="344">
        <f t="shared" si="6"/>
        <v>36680</v>
      </c>
      <c r="AW22" s="423">
        <f>2*24</f>
        <v>48</v>
      </c>
      <c r="AX22" s="431">
        <v>3000000</v>
      </c>
      <c r="AY22" s="345">
        <v>0</v>
      </c>
      <c r="AZ22" s="345">
        <v>3</v>
      </c>
      <c r="BA22" s="345">
        <v>0</v>
      </c>
      <c r="BB22" s="341">
        <v>10000</v>
      </c>
      <c r="BC22" s="411">
        <v>1140</v>
      </c>
      <c r="BD22" s="269">
        <v>309</v>
      </c>
      <c r="BE22" s="338">
        <v>7</v>
      </c>
      <c r="BF22" s="387">
        <f t="shared" si="7"/>
        <v>7980</v>
      </c>
      <c r="BG22" s="344">
        <f t="shared" si="8"/>
        <v>39900</v>
      </c>
      <c r="BH22" s="423">
        <f>4*24</f>
        <v>96</v>
      </c>
      <c r="BI22" s="431">
        <v>4000000</v>
      </c>
      <c r="BJ22" s="345">
        <v>0</v>
      </c>
      <c r="BK22" s="345">
        <v>5</v>
      </c>
      <c r="BL22" s="345">
        <v>0</v>
      </c>
      <c r="BM22" s="341">
        <v>10000</v>
      </c>
      <c r="BN22" s="411">
        <v>1200</v>
      </c>
      <c r="BO22" s="269">
        <v>326</v>
      </c>
      <c r="BP22" s="338">
        <v>7</v>
      </c>
      <c r="BQ22" s="387">
        <f t="shared" si="9"/>
        <v>8400</v>
      </c>
      <c r="BR22" s="344">
        <f t="shared" si="10"/>
        <v>42000</v>
      </c>
      <c r="BS22" s="423">
        <f>7*24</f>
        <v>168</v>
      </c>
      <c r="BT22" s="431">
        <v>5000000</v>
      </c>
      <c r="BU22" s="345">
        <v>0</v>
      </c>
      <c r="BV22" s="345">
        <v>10</v>
      </c>
      <c r="BW22" s="345">
        <v>0</v>
      </c>
      <c r="BX22" s="341">
        <v>10000</v>
      </c>
      <c r="BY22" s="283">
        <v>91</v>
      </c>
      <c r="BZ22" s="200" t="s">
        <v>43</v>
      </c>
      <c r="CA22" s="278">
        <v>10000</v>
      </c>
      <c r="CB22" s="407">
        <v>130000</v>
      </c>
      <c r="CC22" s="260">
        <v>260000</v>
      </c>
      <c r="CD22" s="260">
        <v>520000</v>
      </c>
      <c r="CE22" s="260"/>
      <c r="CF22" s="260"/>
      <c r="CG22" s="260"/>
      <c r="CH22" s="260"/>
      <c r="CI22" s="260"/>
      <c r="CJ22" s="260"/>
      <c r="CK22" s="260"/>
      <c r="CL22" s="294"/>
      <c r="CM22" s="393" t="s">
        <v>43</v>
      </c>
      <c r="CN22" s="402"/>
      <c r="CO22" s="214"/>
      <c r="CP22" s="214"/>
      <c r="CQ22" s="274"/>
      <c r="CR22" s="1"/>
      <c r="CS22" s="1"/>
      <c r="CT22" s="1"/>
      <c r="CU22" s="1"/>
      <c r="CV22" s="1"/>
      <c r="CW22" s="2"/>
      <c r="CX22" s="603"/>
    </row>
    <row r="23" spans="1:102">
      <c r="A23" s="207"/>
      <c r="B23" s="23" t="s">
        <v>160</v>
      </c>
      <c r="C23" s="180" t="s">
        <v>54</v>
      </c>
      <c r="D23" s="128"/>
      <c r="E23" s="65" t="s">
        <v>43</v>
      </c>
      <c r="F23" s="24"/>
      <c r="G23" s="25"/>
      <c r="H23" s="182">
        <v>6</v>
      </c>
      <c r="I23" s="183" t="s">
        <v>270</v>
      </c>
      <c r="J23" s="137">
        <v>5</v>
      </c>
      <c r="K23" s="216">
        <v>7.4999999999999997E-2</v>
      </c>
      <c r="L23" s="150">
        <f t="shared" si="0"/>
        <v>3.6904761904761907</v>
      </c>
      <c r="M23" s="196">
        <v>30</v>
      </c>
      <c r="N23" s="181">
        <v>6009</v>
      </c>
      <c r="O23" s="215">
        <v>42269</v>
      </c>
      <c r="P23" s="164" t="s">
        <v>201</v>
      </c>
      <c r="Q23" s="166">
        <v>620</v>
      </c>
      <c r="R23" s="26">
        <v>168</v>
      </c>
      <c r="S23" s="27">
        <v>21700</v>
      </c>
      <c r="T23" s="153" t="s">
        <v>328</v>
      </c>
      <c r="U23" s="152" t="s">
        <v>342</v>
      </c>
      <c r="V23" s="411">
        <v>620</v>
      </c>
      <c r="W23" s="269">
        <v>168</v>
      </c>
      <c r="X23" s="338">
        <v>7</v>
      </c>
      <c r="Y23" s="387">
        <f t="shared" si="1"/>
        <v>4340</v>
      </c>
      <c r="Z23" s="344">
        <f t="shared" si="2"/>
        <v>21700</v>
      </c>
      <c r="AA23" s="423">
        <v>4</v>
      </c>
      <c r="AB23" s="321">
        <v>0</v>
      </c>
      <c r="AC23" s="345">
        <v>0</v>
      </c>
      <c r="AD23" s="345">
        <v>0</v>
      </c>
      <c r="AE23" s="345">
        <v>0</v>
      </c>
      <c r="AF23" s="253">
        <v>10000</v>
      </c>
      <c r="AG23" s="411">
        <v>930</v>
      </c>
      <c r="AH23" s="269">
        <v>252</v>
      </c>
      <c r="AI23" s="338">
        <v>7</v>
      </c>
      <c r="AJ23" s="387">
        <f t="shared" si="3"/>
        <v>6510</v>
      </c>
      <c r="AK23" s="344">
        <f t="shared" si="4"/>
        <v>32550</v>
      </c>
      <c r="AL23" s="423">
        <v>24</v>
      </c>
      <c r="AM23" s="431">
        <v>2240000</v>
      </c>
      <c r="AN23" s="345">
        <v>0</v>
      </c>
      <c r="AO23" s="345">
        <v>2</v>
      </c>
      <c r="AP23" s="345">
        <v>0</v>
      </c>
      <c r="AQ23" s="341">
        <v>10000</v>
      </c>
      <c r="AR23" s="411">
        <v>1081</v>
      </c>
      <c r="AS23" s="269">
        <v>293</v>
      </c>
      <c r="AT23" s="338">
        <v>7</v>
      </c>
      <c r="AU23" s="387">
        <f t="shared" si="5"/>
        <v>7567</v>
      </c>
      <c r="AV23" s="344">
        <f t="shared" si="6"/>
        <v>37835</v>
      </c>
      <c r="AW23" s="423">
        <f>2*24+6</f>
        <v>54</v>
      </c>
      <c r="AX23" s="431">
        <v>3360000</v>
      </c>
      <c r="AY23" s="345">
        <v>0</v>
      </c>
      <c r="AZ23" s="345">
        <v>4</v>
      </c>
      <c r="BA23" s="345">
        <v>0</v>
      </c>
      <c r="BB23" s="199">
        <v>10000</v>
      </c>
      <c r="BC23" s="184">
        <v>1178</v>
      </c>
      <c r="BD23" s="185">
        <v>319</v>
      </c>
      <c r="BE23" s="338">
        <v>7</v>
      </c>
      <c r="BF23" s="186">
        <f t="shared" si="7"/>
        <v>8246</v>
      </c>
      <c r="BG23" s="222">
        <f t="shared" si="8"/>
        <v>41230</v>
      </c>
      <c r="BH23" s="348">
        <f>4*24+6</f>
        <v>102</v>
      </c>
      <c r="BI23" s="188">
        <v>4480000</v>
      </c>
      <c r="BJ23" s="433">
        <v>0</v>
      </c>
      <c r="BK23" s="433">
        <v>6</v>
      </c>
      <c r="BL23" s="433">
        <v>0</v>
      </c>
      <c r="BM23" s="199">
        <v>10000</v>
      </c>
      <c r="BN23" s="411">
        <v>1240</v>
      </c>
      <c r="BO23" s="269">
        <v>336</v>
      </c>
      <c r="BP23" s="338">
        <v>7</v>
      </c>
      <c r="BQ23" s="387">
        <f t="shared" si="9"/>
        <v>8680</v>
      </c>
      <c r="BR23" s="344">
        <f t="shared" si="10"/>
        <v>43400</v>
      </c>
      <c r="BS23" s="348">
        <f>8*24</f>
        <v>192</v>
      </c>
      <c r="BT23" s="188">
        <v>5600000</v>
      </c>
      <c r="BU23" s="433">
        <v>0</v>
      </c>
      <c r="BV23" s="433">
        <v>12</v>
      </c>
      <c r="BW23" s="433">
        <v>0</v>
      </c>
      <c r="BX23" s="199">
        <v>10000</v>
      </c>
      <c r="BY23" s="384">
        <v>103</v>
      </c>
      <c r="BZ23" s="200" t="s">
        <v>43</v>
      </c>
      <c r="CA23" s="278">
        <v>10000</v>
      </c>
      <c r="CB23" s="407">
        <v>160000</v>
      </c>
      <c r="CC23" s="260">
        <v>320000</v>
      </c>
      <c r="CD23" s="260">
        <v>640000</v>
      </c>
      <c r="CE23" s="260"/>
      <c r="CF23" s="260"/>
      <c r="CG23" s="260"/>
      <c r="CH23" s="260"/>
      <c r="CI23" s="260"/>
      <c r="CJ23" s="260"/>
      <c r="CK23" s="260"/>
      <c r="CL23" s="294"/>
      <c r="CM23" s="393" t="s">
        <v>43</v>
      </c>
      <c r="CN23" s="402"/>
      <c r="CO23" s="214"/>
      <c r="CP23" s="214"/>
      <c r="CQ23" s="274"/>
      <c r="CR23" s="1"/>
      <c r="CS23" s="1"/>
      <c r="CT23" s="1"/>
      <c r="CU23" s="1"/>
      <c r="CV23" s="1"/>
      <c r="CW23" s="2"/>
      <c r="CX23" s="603"/>
    </row>
    <row r="24" spans="1:102">
      <c r="A24" s="207"/>
      <c r="B24" s="23" t="s">
        <v>173</v>
      </c>
      <c r="C24" s="180" t="s">
        <v>54</v>
      </c>
      <c r="D24" s="128"/>
      <c r="E24" s="65" t="s">
        <v>43</v>
      </c>
      <c r="F24" s="24"/>
      <c r="G24" s="25"/>
      <c r="H24" s="182">
        <v>6</v>
      </c>
      <c r="I24" s="183" t="s">
        <v>270</v>
      </c>
      <c r="J24" s="137">
        <v>6</v>
      </c>
      <c r="K24" s="216">
        <v>7.4999999999999997E-2</v>
      </c>
      <c r="L24" s="150">
        <f t="shared" si="0"/>
        <v>3.7058823529411766</v>
      </c>
      <c r="M24" s="196">
        <v>30</v>
      </c>
      <c r="N24" s="181">
        <v>6012</v>
      </c>
      <c r="O24" s="215">
        <v>42287</v>
      </c>
      <c r="P24" s="164" t="s">
        <v>201</v>
      </c>
      <c r="Q24" s="166">
        <v>630</v>
      </c>
      <c r="R24" s="26">
        <v>170</v>
      </c>
      <c r="S24" s="27">
        <v>26460</v>
      </c>
      <c r="T24" s="153" t="s">
        <v>329</v>
      </c>
      <c r="U24" s="152" t="s">
        <v>338</v>
      </c>
      <c r="V24" s="411">
        <v>630</v>
      </c>
      <c r="W24" s="269">
        <v>170</v>
      </c>
      <c r="X24" s="338">
        <v>7</v>
      </c>
      <c r="Y24" s="387">
        <f t="shared" si="1"/>
        <v>4410</v>
      </c>
      <c r="Z24" s="344">
        <f t="shared" si="2"/>
        <v>26460</v>
      </c>
      <c r="AA24" s="423">
        <v>2</v>
      </c>
      <c r="AB24" s="321">
        <v>0</v>
      </c>
      <c r="AC24" s="345">
        <v>0</v>
      </c>
      <c r="AD24" s="345">
        <v>0</v>
      </c>
      <c r="AE24" s="345">
        <v>0</v>
      </c>
      <c r="AF24" s="253">
        <v>10000</v>
      </c>
      <c r="AG24" s="411">
        <v>945</v>
      </c>
      <c r="AH24" s="269">
        <v>255</v>
      </c>
      <c r="AI24" s="338">
        <v>7</v>
      </c>
      <c r="AJ24" s="387">
        <f t="shared" si="3"/>
        <v>6615</v>
      </c>
      <c r="AK24" s="344">
        <f t="shared" si="4"/>
        <v>39690</v>
      </c>
      <c r="AL24" s="423">
        <v>24</v>
      </c>
      <c r="AM24" s="431">
        <v>2280000</v>
      </c>
      <c r="AN24" s="345">
        <v>0</v>
      </c>
      <c r="AO24" s="345">
        <v>2</v>
      </c>
      <c r="AP24" s="345">
        <v>0</v>
      </c>
      <c r="AQ24" s="199">
        <v>10000</v>
      </c>
      <c r="AR24" s="184">
        <v>1102</v>
      </c>
      <c r="AS24" s="185">
        <v>297</v>
      </c>
      <c r="AT24" s="338">
        <v>7</v>
      </c>
      <c r="AU24" s="186">
        <f t="shared" si="5"/>
        <v>7714</v>
      </c>
      <c r="AV24" s="222">
        <f t="shared" si="6"/>
        <v>46284</v>
      </c>
      <c r="AW24" s="608">
        <v>56</v>
      </c>
      <c r="AX24" s="609">
        <f>2280000*3/2</f>
        <v>3420000</v>
      </c>
      <c r="AY24" s="433">
        <v>0</v>
      </c>
      <c r="AZ24" s="433">
        <v>4</v>
      </c>
      <c r="BA24" s="433">
        <v>0</v>
      </c>
      <c r="BB24" s="199">
        <v>10000</v>
      </c>
      <c r="BC24" s="411">
        <v>1197</v>
      </c>
      <c r="BD24" s="269">
        <v>323</v>
      </c>
      <c r="BE24" s="338">
        <v>7</v>
      </c>
      <c r="BF24" s="387">
        <f t="shared" si="7"/>
        <v>8379</v>
      </c>
      <c r="BG24" s="344">
        <f t="shared" si="8"/>
        <v>50274</v>
      </c>
      <c r="BH24" s="608">
        <v>102</v>
      </c>
      <c r="BI24" s="609">
        <f>3420000*4/3</f>
        <v>4560000</v>
      </c>
      <c r="BJ24" s="433">
        <v>0</v>
      </c>
      <c r="BK24" s="433">
        <v>6</v>
      </c>
      <c r="BL24" s="433">
        <v>0</v>
      </c>
      <c r="BM24" s="341">
        <v>10000</v>
      </c>
      <c r="BN24" s="411">
        <v>1260</v>
      </c>
      <c r="BO24" s="269">
        <v>340</v>
      </c>
      <c r="BP24" s="338">
        <v>7</v>
      </c>
      <c r="BQ24" s="387">
        <f t="shared" si="9"/>
        <v>8820</v>
      </c>
      <c r="BR24" s="344">
        <f t="shared" si="10"/>
        <v>52920</v>
      </c>
      <c r="BS24" s="423">
        <f>8*24</f>
        <v>192</v>
      </c>
      <c r="BT24" s="431">
        <v>5700000</v>
      </c>
      <c r="BU24" s="345">
        <v>0</v>
      </c>
      <c r="BV24" s="345">
        <v>12</v>
      </c>
      <c r="BW24" s="345">
        <v>0</v>
      </c>
      <c r="BX24" s="199">
        <v>10000</v>
      </c>
      <c r="BY24" s="384">
        <v>103</v>
      </c>
      <c r="BZ24" s="200" t="s">
        <v>43</v>
      </c>
      <c r="CA24" s="278">
        <v>10000</v>
      </c>
      <c r="CB24" s="407">
        <v>200000</v>
      </c>
      <c r="CC24" s="260">
        <v>400000</v>
      </c>
      <c r="CD24" s="260">
        <v>800000</v>
      </c>
      <c r="CE24" s="260"/>
      <c r="CF24" s="260"/>
      <c r="CG24" s="260"/>
      <c r="CH24" s="260"/>
      <c r="CI24" s="260"/>
      <c r="CJ24" s="260"/>
      <c r="CK24" s="260"/>
      <c r="CL24" s="294"/>
      <c r="CM24" s="393" t="s">
        <v>43</v>
      </c>
      <c r="CN24" s="402"/>
      <c r="CO24" s="214"/>
      <c r="CP24" s="214"/>
      <c r="CQ24" s="274"/>
      <c r="CR24" s="1"/>
      <c r="CS24" s="1"/>
      <c r="CT24" s="1"/>
      <c r="CU24" s="1"/>
      <c r="CV24" s="1"/>
      <c r="CW24" s="2"/>
      <c r="CX24" s="603"/>
    </row>
    <row r="25" spans="1:102">
      <c r="A25" s="207"/>
      <c r="B25" s="23" t="s">
        <v>194</v>
      </c>
      <c r="C25" s="180" t="s">
        <v>54</v>
      </c>
      <c r="D25" s="128"/>
      <c r="E25" s="65" t="s">
        <v>43</v>
      </c>
      <c r="F25" s="24"/>
      <c r="G25" s="25"/>
      <c r="H25" s="182">
        <v>6</v>
      </c>
      <c r="I25" s="183" t="s">
        <v>270</v>
      </c>
      <c r="J25" s="137">
        <v>6</v>
      </c>
      <c r="K25" s="216">
        <v>7.4999999999999997E-2</v>
      </c>
      <c r="L25" s="150">
        <f t="shared" si="0"/>
        <v>3.657142857142857</v>
      </c>
      <c r="M25" s="196">
        <v>30</v>
      </c>
      <c r="N25" s="181">
        <v>6017</v>
      </c>
      <c r="O25" s="215">
        <v>42322</v>
      </c>
      <c r="P25" s="164" t="s">
        <v>203</v>
      </c>
      <c r="Q25" s="166">
        <v>1280</v>
      </c>
      <c r="R25" s="26">
        <v>350</v>
      </c>
      <c r="S25" s="27">
        <v>61440</v>
      </c>
      <c r="T25" s="153" t="s">
        <v>330</v>
      </c>
      <c r="U25" s="152" t="s">
        <v>341</v>
      </c>
      <c r="V25" s="411">
        <v>427</v>
      </c>
      <c r="W25" s="269">
        <v>117</v>
      </c>
      <c r="X25" s="338">
        <v>7</v>
      </c>
      <c r="Y25" s="387">
        <f t="shared" si="1"/>
        <v>2989</v>
      </c>
      <c r="Z25" s="344">
        <f t="shared" si="2"/>
        <v>17934</v>
      </c>
      <c r="AA25" s="423">
        <v>2.5</v>
      </c>
      <c r="AB25" s="321">
        <v>0</v>
      </c>
      <c r="AC25" s="345">
        <v>0</v>
      </c>
      <c r="AD25" s="345">
        <v>0</v>
      </c>
      <c r="AE25" s="345">
        <v>0</v>
      </c>
      <c r="AF25" s="253">
        <v>10000</v>
      </c>
      <c r="AG25" s="411">
        <v>534</v>
      </c>
      <c r="AH25" s="269">
        <v>146</v>
      </c>
      <c r="AI25" s="338">
        <v>7</v>
      </c>
      <c r="AJ25" s="387">
        <f t="shared" si="3"/>
        <v>3738</v>
      </c>
      <c r="AK25" s="344">
        <f t="shared" si="4"/>
        <v>22428</v>
      </c>
      <c r="AL25" s="423">
        <f>1*24+8</f>
        <v>32</v>
      </c>
      <c r="AM25" s="431">
        <v>2320000</v>
      </c>
      <c r="AN25" s="345">
        <v>0</v>
      </c>
      <c r="AO25" s="345">
        <v>2</v>
      </c>
      <c r="AP25" s="345">
        <v>0</v>
      </c>
      <c r="AQ25" s="341">
        <v>10000</v>
      </c>
      <c r="AR25" s="411">
        <v>640</v>
      </c>
      <c r="AS25" s="269">
        <v>175</v>
      </c>
      <c r="AT25" s="338">
        <v>7</v>
      </c>
      <c r="AU25" s="387">
        <f t="shared" si="5"/>
        <v>4480</v>
      </c>
      <c r="AV25" s="344">
        <f t="shared" si="6"/>
        <v>26880</v>
      </c>
      <c r="AW25" s="423">
        <f>3*24</f>
        <v>72</v>
      </c>
      <c r="AX25" s="431">
        <v>3480000</v>
      </c>
      <c r="AY25" s="345">
        <v>0</v>
      </c>
      <c r="AZ25" s="345">
        <v>4</v>
      </c>
      <c r="BA25" s="345">
        <v>0</v>
      </c>
      <c r="BB25" s="341">
        <v>10000</v>
      </c>
      <c r="BC25" s="411">
        <v>854</v>
      </c>
      <c r="BD25" s="269">
        <v>234</v>
      </c>
      <c r="BE25" s="338">
        <v>7</v>
      </c>
      <c r="BF25" s="387">
        <f t="shared" si="7"/>
        <v>5978</v>
      </c>
      <c r="BG25" s="344">
        <f t="shared" si="8"/>
        <v>35868</v>
      </c>
      <c r="BH25" s="423">
        <f>5*24</f>
        <v>120</v>
      </c>
      <c r="BI25" s="431">
        <v>4640000</v>
      </c>
      <c r="BJ25" s="345">
        <v>0</v>
      </c>
      <c r="BK25" s="345">
        <v>6</v>
      </c>
      <c r="BL25" s="345">
        <v>0</v>
      </c>
      <c r="BM25" s="341">
        <v>10000</v>
      </c>
      <c r="BN25" s="411">
        <v>1280</v>
      </c>
      <c r="BO25" s="269">
        <v>350</v>
      </c>
      <c r="BP25" s="338">
        <v>8</v>
      </c>
      <c r="BQ25" s="387">
        <f t="shared" si="9"/>
        <v>10240</v>
      </c>
      <c r="BR25" s="344">
        <f t="shared" si="10"/>
        <v>61440</v>
      </c>
      <c r="BS25" s="423">
        <f>9*24</f>
        <v>216</v>
      </c>
      <c r="BT25" s="431">
        <v>5800000</v>
      </c>
      <c r="BU25" s="345">
        <v>0</v>
      </c>
      <c r="BV25" s="345">
        <v>12</v>
      </c>
      <c r="BW25" s="345">
        <v>0</v>
      </c>
      <c r="BX25" s="199">
        <v>10000</v>
      </c>
      <c r="BY25" s="283"/>
      <c r="BZ25" s="200"/>
      <c r="CA25" s="278">
        <v>10000</v>
      </c>
      <c r="CB25" s="407">
        <v>300000</v>
      </c>
      <c r="CC25" s="260">
        <v>600000</v>
      </c>
      <c r="CD25" s="260"/>
      <c r="CE25" s="260"/>
      <c r="CF25" s="260"/>
      <c r="CG25" s="260"/>
      <c r="CH25" s="260"/>
      <c r="CI25" s="260"/>
      <c r="CJ25" s="260"/>
      <c r="CK25" s="260"/>
      <c r="CL25" s="294"/>
      <c r="CM25" s="393" t="s">
        <v>43</v>
      </c>
      <c r="CN25" s="402"/>
      <c r="CO25" s="214"/>
      <c r="CP25" s="214"/>
      <c r="CQ25" s="274"/>
      <c r="CR25" s="1"/>
      <c r="CS25" s="1"/>
      <c r="CT25" s="1"/>
      <c r="CU25" s="1"/>
      <c r="CV25" s="1"/>
      <c r="CW25" s="2"/>
      <c r="CX25" s="603"/>
    </row>
    <row r="26" spans="1:102">
      <c r="A26" s="207"/>
      <c r="B26" s="23" t="s">
        <v>247</v>
      </c>
      <c r="C26" s="180" t="s">
        <v>54</v>
      </c>
      <c r="D26" s="128"/>
      <c r="E26" s="65" t="s">
        <v>43</v>
      </c>
      <c r="F26" s="24"/>
      <c r="G26" s="25"/>
      <c r="H26" s="182">
        <v>6</v>
      </c>
      <c r="I26" s="183" t="s">
        <v>270</v>
      </c>
      <c r="J26" s="137">
        <v>6</v>
      </c>
      <c r="K26" s="217">
        <v>7.4999999999999997E-2</v>
      </c>
      <c r="L26" s="150">
        <f>IF(ISBLANK(Q26),"",Q26/R26)</f>
        <v>3.6527777777777777</v>
      </c>
      <c r="M26" s="196">
        <v>30</v>
      </c>
      <c r="N26" s="181">
        <v>6032</v>
      </c>
      <c r="O26" s="215">
        <v>42371</v>
      </c>
      <c r="P26" s="164" t="s">
        <v>206</v>
      </c>
      <c r="Q26" s="166">
        <v>1315</v>
      </c>
      <c r="R26" s="26">
        <v>360</v>
      </c>
      <c r="S26" s="27">
        <v>63120</v>
      </c>
      <c r="T26" s="153" t="s">
        <v>331</v>
      </c>
      <c r="U26" s="152" t="s">
        <v>340</v>
      </c>
      <c r="V26" s="411">
        <v>439</v>
      </c>
      <c r="W26" s="269">
        <v>120</v>
      </c>
      <c r="X26" s="338">
        <v>8</v>
      </c>
      <c r="Y26" s="387">
        <f>IF(ISBLANK(X26), "",INT(V26*X26))</f>
        <v>3512</v>
      </c>
      <c r="Z26" s="344">
        <f>IF(ISBLANK(X26),"",INT(Y26*$J26))</f>
        <v>21072</v>
      </c>
      <c r="AA26" s="423">
        <v>3</v>
      </c>
      <c r="AB26" s="321">
        <v>0</v>
      </c>
      <c r="AC26" s="345">
        <v>0</v>
      </c>
      <c r="AD26" s="345">
        <v>0</v>
      </c>
      <c r="AE26" s="345">
        <v>0</v>
      </c>
      <c r="AF26" s="187">
        <v>10000</v>
      </c>
      <c r="AG26" s="411">
        <v>548</v>
      </c>
      <c r="AH26" s="269">
        <v>150</v>
      </c>
      <c r="AI26" s="338">
        <v>8</v>
      </c>
      <c r="AJ26" s="387">
        <f>IF(ISBLANK(AI26), "",INT(AG26*AI26))</f>
        <v>4384</v>
      </c>
      <c r="AK26" s="344">
        <f>IF(ISBLANK(AI26),"",INT(AJ26*$J26))</f>
        <v>26304</v>
      </c>
      <c r="AL26" s="423">
        <f>1*24+12</f>
        <v>36</v>
      </c>
      <c r="AM26" s="431">
        <v>2480000</v>
      </c>
      <c r="AN26" s="345">
        <v>0</v>
      </c>
      <c r="AO26" s="345">
        <v>4</v>
      </c>
      <c r="AP26" s="345">
        <v>0</v>
      </c>
      <c r="AQ26" s="187">
        <v>10000</v>
      </c>
      <c r="AR26" s="184">
        <v>658</v>
      </c>
      <c r="AS26" s="185">
        <v>180</v>
      </c>
      <c r="AT26" s="338">
        <v>8</v>
      </c>
      <c r="AU26" s="186">
        <f>IF(ISBLANK(AT26), "",INT(AR26*AT26))</f>
        <v>5264</v>
      </c>
      <c r="AV26" s="222">
        <f>IF(ISBLANK(AT26),"",INT(AU26*$J26))</f>
        <v>31584</v>
      </c>
      <c r="AW26" s="608">
        <v>96</v>
      </c>
      <c r="AX26" s="609">
        <f>2480000*3/2</f>
        <v>3720000</v>
      </c>
      <c r="AY26" s="433">
        <v>0</v>
      </c>
      <c r="AZ26" s="433">
        <v>6</v>
      </c>
      <c r="BA26" s="433">
        <v>0</v>
      </c>
      <c r="BB26" s="187">
        <v>10000</v>
      </c>
      <c r="BC26" s="184">
        <v>877</v>
      </c>
      <c r="BD26" s="185">
        <v>240</v>
      </c>
      <c r="BE26" s="338">
        <v>8</v>
      </c>
      <c r="BF26" s="186">
        <f>IF(ISBLANK(BE26), "",INT(BC26*BE26))</f>
        <v>7016</v>
      </c>
      <c r="BG26" s="222">
        <f>IF(ISBLANK(BE26),"",INT(BF26*$J26))</f>
        <v>42096</v>
      </c>
      <c r="BH26" s="608">
        <v>144</v>
      </c>
      <c r="BI26" s="609">
        <f>3720000*4/3</f>
        <v>4960000</v>
      </c>
      <c r="BJ26" s="433">
        <v>0</v>
      </c>
      <c r="BK26" s="433">
        <v>9</v>
      </c>
      <c r="BL26" s="433">
        <v>0</v>
      </c>
      <c r="BM26" s="187">
        <v>10000</v>
      </c>
      <c r="BN26" s="411">
        <v>1315</v>
      </c>
      <c r="BO26" s="269">
        <v>360</v>
      </c>
      <c r="BP26" s="338">
        <v>8</v>
      </c>
      <c r="BQ26" s="387">
        <f t="shared" si="9"/>
        <v>10520</v>
      </c>
      <c r="BR26" s="344">
        <f t="shared" si="10"/>
        <v>63120</v>
      </c>
      <c r="BS26" s="608">
        <v>216</v>
      </c>
      <c r="BT26" s="609">
        <f>4960000*5/4</f>
        <v>6200000</v>
      </c>
      <c r="BU26" s="433">
        <v>0</v>
      </c>
      <c r="BV26" s="433">
        <v>11</v>
      </c>
      <c r="BW26" s="433">
        <v>0</v>
      </c>
      <c r="BX26" s="187">
        <v>10000</v>
      </c>
      <c r="BY26" s="283"/>
      <c r="BZ26" s="200"/>
      <c r="CA26" s="278">
        <v>10000</v>
      </c>
      <c r="CB26" s="407">
        <v>350000</v>
      </c>
      <c r="CC26" s="260">
        <v>700000</v>
      </c>
      <c r="CD26" s="260"/>
      <c r="CE26" s="260"/>
      <c r="CF26" s="260"/>
      <c r="CG26" s="260"/>
      <c r="CH26" s="260"/>
      <c r="CI26" s="260"/>
      <c r="CJ26" s="260"/>
      <c r="CK26" s="260"/>
      <c r="CL26" s="294"/>
      <c r="CM26" s="362" t="s">
        <v>43</v>
      </c>
      <c r="CN26" s="239"/>
      <c r="CO26" s="298"/>
      <c r="CP26" s="298"/>
      <c r="CQ26" s="277"/>
      <c r="CR26" s="1"/>
      <c r="CS26" s="1"/>
      <c r="CT26" s="1"/>
      <c r="CU26" s="1"/>
      <c r="CV26" s="1"/>
      <c r="CW26" s="2"/>
      <c r="CX26" s="603"/>
    </row>
    <row r="27" spans="1:102">
      <c r="A27" s="207"/>
      <c r="B27" s="23" t="s">
        <v>255</v>
      </c>
      <c r="C27" s="180" t="s">
        <v>54</v>
      </c>
      <c r="D27" s="128"/>
      <c r="E27" s="65" t="s">
        <v>43</v>
      </c>
      <c r="F27" s="24"/>
      <c r="G27" s="25"/>
      <c r="H27" s="182">
        <v>7</v>
      </c>
      <c r="I27" s="183" t="s">
        <v>271</v>
      </c>
      <c r="J27" s="137">
        <v>12</v>
      </c>
      <c r="K27" s="218">
        <v>7.4999999999999997E-2</v>
      </c>
      <c r="L27" s="150">
        <f t="shared" ref="L27:L95" si="11">IF(ISBLANK(Q27),"",Q27/R27)</f>
        <v>3.3333333333333335</v>
      </c>
      <c r="M27" s="179">
        <v>100</v>
      </c>
      <c r="N27" s="181">
        <v>531</v>
      </c>
      <c r="O27" s="215">
        <v>42383</v>
      </c>
      <c r="P27" s="164" t="s">
        <v>206</v>
      </c>
      <c r="Q27" s="166">
        <v>1000</v>
      </c>
      <c r="R27" s="26">
        <v>300</v>
      </c>
      <c r="S27" s="27">
        <v>144000</v>
      </c>
      <c r="T27" s="153" t="s">
        <v>332</v>
      </c>
      <c r="U27" s="152" t="s">
        <v>339</v>
      </c>
      <c r="V27" s="411">
        <v>334</v>
      </c>
      <c r="W27" s="269">
        <v>100</v>
      </c>
      <c r="X27" s="338">
        <v>12</v>
      </c>
      <c r="Y27" s="387">
        <f>IF(ISBLANK(X27), "",INT(V27*X27))</f>
        <v>4008</v>
      </c>
      <c r="Z27" s="344">
        <f>IF(ISBLANK(X27),"",INT(Y27*$J27))</f>
        <v>48096</v>
      </c>
      <c r="AA27" s="423">
        <v>1.5</v>
      </c>
      <c r="AB27" s="321">
        <v>0</v>
      </c>
      <c r="AC27" s="345">
        <v>0</v>
      </c>
      <c r="AD27" s="345">
        <v>0</v>
      </c>
      <c r="AE27" s="345">
        <v>0</v>
      </c>
      <c r="AF27" s="253">
        <v>451</v>
      </c>
      <c r="AG27" s="411">
        <v>417</v>
      </c>
      <c r="AH27" s="269">
        <v>125</v>
      </c>
      <c r="AI27" s="338">
        <v>12</v>
      </c>
      <c r="AJ27" s="387">
        <f>IF(ISBLANK(AI27), "",INT(AG27*AI27))</f>
        <v>5004</v>
      </c>
      <c r="AK27" s="344">
        <f>IF(ISBLANK(AI27),"",INT(AJ27*$J27))</f>
        <v>60048</v>
      </c>
      <c r="AL27" s="423">
        <v>9</v>
      </c>
      <c r="AM27" s="431">
        <v>3600000</v>
      </c>
      <c r="AN27" s="345">
        <v>0</v>
      </c>
      <c r="AO27" s="345">
        <v>5</v>
      </c>
      <c r="AP27" s="345">
        <v>0</v>
      </c>
      <c r="AQ27" s="341">
        <v>3378</v>
      </c>
      <c r="AR27" s="411">
        <v>500</v>
      </c>
      <c r="AS27" s="269">
        <v>150</v>
      </c>
      <c r="AT27" s="338">
        <v>12</v>
      </c>
      <c r="AU27" s="387">
        <f>IF(ISBLANK(AT27), "",INT(AR27*AT27))</f>
        <v>6000</v>
      </c>
      <c r="AV27" s="344">
        <f>IF(ISBLANK(AT27),"",INT(AU27*$J27))</f>
        <v>72000</v>
      </c>
      <c r="AW27" s="423">
        <v>18</v>
      </c>
      <c r="AX27" s="431">
        <v>5400000</v>
      </c>
      <c r="AY27" s="345">
        <v>0</v>
      </c>
      <c r="AZ27" s="345">
        <v>10</v>
      </c>
      <c r="BA27" s="345">
        <v>0</v>
      </c>
      <c r="BB27" s="341">
        <v>8100</v>
      </c>
      <c r="BC27" s="411">
        <v>667</v>
      </c>
      <c r="BD27" s="269">
        <v>200</v>
      </c>
      <c r="BE27" s="338">
        <v>12</v>
      </c>
      <c r="BF27" s="387">
        <f>IF(ISBLANK(BE27), "",INT(BC27*BE27))</f>
        <v>8004</v>
      </c>
      <c r="BG27" s="344">
        <f>IF(ISBLANK(BE27),"",INT(BF27*$J27))</f>
        <v>96048</v>
      </c>
      <c r="BH27" s="423">
        <f>1*24+12</f>
        <v>36</v>
      </c>
      <c r="BI27" s="431">
        <v>7200000</v>
      </c>
      <c r="BJ27" s="345">
        <v>0</v>
      </c>
      <c r="BK27" s="345">
        <v>0</v>
      </c>
      <c r="BL27" s="345">
        <v>5</v>
      </c>
      <c r="BM27" s="341">
        <v>10000</v>
      </c>
      <c r="BN27" s="411">
        <v>1000</v>
      </c>
      <c r="BO27" s="269">
        <v>300</v>
      </c>
      <c r="BP27" s="338">
        <v>12</v>
      </c>
      <c r="BQ27" s="387">
        <f t="shared" si="9"/>
        <v>12000</v>
      </c>
      <c r="BR27" s="344">
        <f t="shared" si="10"/>
        <v>144000</v>
      </c>
      <c r="BS27" s="423">
        <f>3*24</f>
        <v>72</v>
      </c>
      <c r="BT27" s="431">
        <v>9000000</v>
      </c>
      <c r="BU27" s="345">
        <v>0</v>
      </c>
      <c r="BV27" s="345">
        <v>0</v>
      </c>
      <c r="BW27" s="345">
        <v>10</v>
      </c>
      <c r="BX27" s="199">
        <v>10000</v>
      </c>
      <c r="BY27" s="283"/>
      <c r="BZ27" s="200"/>
      <c r="CA27" s="278"/>
      <c r="CB27" s="407"/>
      <c r="CC27" s="260"/>
      <c r="CD27" s="260"/>
      <c r="CE27" s="260"/>
      <c r="CF27" s="260"/>
      <c r="CG27" s="260"/>
      <c r="CH27" s="260"/>
      <c r="CI27" s="260"/>
      <c r="CJ27" s="260"/>
      <c r="CK27" s="260"/>
      <c r="CL27" s="294"/>
      <c r="CM27" s="393" t="s">
        <v>308</v>
      </c>
      <c r="CN27" s="402"/>
      <c r="CO27" s="214"/>
      <c r="CP27" s="214"/>
      <c r="CQ27" s="274"/>
      <c r="CR27" s="1"/>
      <c r="CS27" s="1"/>
      <c r="CT27" s="1"/>
      <c r="CU27" s="1"/>
      <c r="CV27" s="1"/>
      <c r="CW27" s="2"/>
      <c r="CX27" s="603"/>
    </row>
    <row r="28" spans="1:102">
      <c r="A28" s="79"/>
      <c r="B28" s="39" t="s">
        <v>60</v>
      </c>
      <c r="C28" s="309" t="s">
        <v>4</v>
      </c>
      <c r="D28" s="129"/>
      <c r="E28" s="66" t="s">
        <v>0</v>
      </c>
      <c r="F28" s="40"/>
      <c r="G28" s="41"/>
      <c r="H28" s="246">
        <v>1</v>
      </c>
      <c r="I28" s="313" t="s">
        <v>268</v>
      </c>
      <c r="J28" s="138">
        <v>4</v>
      </c>
      <c r="K28" s="354">
        <v>2.5000000000000001E-2</v>
      </c>
      <c r="L28" s="319">
        <f t="shared" si="11"/>
        <v>3.5087719298245612</v>
      </c>
      <c r="M28" s="251">
        <v>30</v>
      </c>
      <c r="N28" s="373">
        <v>5</v>
      </c>
      <c r="O28" s="258" t="s">
        <v>306</v>
      </c>
      <c r="P28" s="266" t="s">
        <v>201</v>
      </c>
      <c r="Q28" s="167">
        <v>200</v>
      </c>
      <c r="R28" s="42">
        <v>57</v>
      </c>
      <c r="S28" s="154">
        <v>2400</v>
      </c>
      <c r="T28" s="372" t="s">
        <v>377</v>
      </c>
      <c r="U28" s="252" t="s">
        <v>306</v>
      </c>
      <c r="V28" s="247">
        <v>200</v>
      </c>
      <c r="W28" s="244">
        <v>57</v>
      </c>
      <c r="X28" s="399">
        <v>3</v>
      </c>
      <c r="Y28" s="288">
        <f t="shared" ref="Y28:Y61" si="12">IF(ISBLANK(X28), "",INT(V28*X28))</f>
        <v>600</v>
      </c>
      <c r="Z28" s="336">
        <f t="shared" ref="Z28:Z61" si="13">IF(ISBLANK(X28),"",INT(Y28*$J28))</f>
        <v>2400</v>
      </c>
      <c r="AA28" s="43">
        <f>3/60/60</f>
        <v>8.3333333333333339E-4</v>
      </c>
      <c r="AB28" s="42">
        <v>500</v>
      </c>
      <c r="AC28" s="42">
        <v>0</v>
      </c>
      <c r="AD28" s="42">
        <v>0</v>
      </c>
      <c r="AE28" s="42">
        <v>0</v>
      </c>
      <c r="AF28" s="334">
        <v>5</v>
      </c>
      <c r="AG28" s="247">
        <v>300</v>
      </c>
      <c r="AH28" s="244">
        <v>85</v>
      </c>
      <c r="AI28" s="399">
        <v>3</v>
      </c>
      <c r="AJ28" s="288">
        <f t="shared" ref="AJ28:AJ61" si="14">IF(ISBLANK(AI28), "",INT(AG28*AI28))</f>
        <v>900</v>
      </c>
      <c r="AK28" s="336">
        <f t="shared" ref="AK28:AK61" si="15">IF(ISBLANK(AI28),"",INT(AJ28*$J28))</f>
        <v>3600</v>
      </c>
      <c r="AL28" s="43">
        <f>5/60</f>
        <v>8.3333333333333329E-2</v>
      </c>
      <c r="AM28" s="50">
        <v>3000</v>
      </c>
      <c r="AN28" s="42">
        <v>0</v>
      </c>
      <c r="AO28" s="42">
        <v>0</v>
      </c>
      <c r="AP28" s="42">
        <v>0</v>
      </c>
      <c r="AQ28" s="301">
        <v>1</v>
      </c>
      <c r="AR28" s="247">
        <v>350</v>
      </c>
      <c r="AS28" s="244">
        <v>99</v>
      </c>
      <c r="AT28" s="399">
        <v>3</v>
      </c>
      <c r="AU28" s="288">
        <f t="shared" ref="AU28:AU61" si="16">IF(ISBLANK(AT28), "",INT(AR28*AT28))</f>
        <v>1050</v>
      </c>
      <c r="AV28" s="336">
        <f t="shared" ref="AV28:AV61" si="17">IF(ISBLANK(AT28),"",INT(AU28*$J28))</f>
        <v>4200</v>
      </c>
      <c r="AW28" s="43">
        <v>0.5</v>
      </c>
      <c r="AX28" s="50">
        <v>6000</v>
      </c>
      <c r="AY28" s="42">
        <v>1</v>
      </c>
      <c r="AZ28" s="42">
        <v>0</v>
      </c>
      <c r="BA28" s="42">
        <v>0</v>
      </c>
      <c r="BB28" s="301">
        <v>13</v>
      </c>
      <c r="BC28" s="247">
        <v>380</v>
      </c>
      <c r="BD28" s="244">
        <v>108</v>
      </c>
      <c r="BE28" s="399">
        <v>3</v>
      </c>
      <c r="BF28" s="288">
        <f t="shared" ref="BF28:BF93" si="18">IF(ISBLANK(BE28), "",INT(BC28*BE28))</f>
        <v>1140</v>
      </c>
      <c r="BG28" s="336">
        <f t="shared" ref="BG28:BG93" si="19">IF(ISBLANK(BE28),"",INT(BF28*$J28))</f>
        <v>4560</v>
      </c>
      <c r="BH28" s="43">
        <v>1</v>
      </c>
      <c r="BI28" s="50">
        <v>9000</v>
      </c>
      <c r="BJ28" s="42">
        <v>0</v>
      </c>
      <c r="BK28" s="42">
        <v>0</v>
      </c>
      <c r="BL28" s="42">
        <v>0</v>
      </c>
      <c r="BM28" s="301">
        <v>28</v>
      </c>
      <c r="BN28" s="247">
        <v>400</v>
      </c>
      <c r="BO28" s="244">
        <v>114</v>
      </c>
      <c r="BP28" s="399">
        <v>3</v>
      </c>
      <c r="BQ28" s="288">
        <f t="shared" si="9"/>
        <v>1200</v>
      </c>
      <c r="BR28" s="336">
        <f t="shared" si="10"/>
        <v>4800</v>
      </c>
      <c r="BS28" s="43">
        <v>2</v>
      </c>
      <c r="BT28" s="50">
        <v>15000</v>
      </c>
      <c r="BU28" s="42">
        <v>0</v>
      </c>
      <c r="BV28" s="42">
        <v>1</v>
      </c>
      <c r="BW28" s="42">
        <v>0</v>
      </c>
      <c r="BX28" s="301">
        <v>40</v>
      </c>
      <c r="BY28" s="75">
        <v>1</v>
      </c>
      <c r="BZ28" s="378" t="s">
        <v>43</v>
      </c>
      <c r="CA28" s="236"/>
      <c r="CB28" s="366"/>
      <c r="CC28" s="326"/>
      <c r="CD28" s="326"/>
      <c r="CE28" s="326"/>
      <c r="CF28" s="326"/>
      <c r="CG28" s="326"/>
      <c r="CH28" s="326"/>
      <c r="CI28" s="326"/>
      <c r="CJ28" s="326"/>
      <c r="CK28" s="326"/>
      <c r="CL28" s="415"/>
      <c r="CM28" s="428" t="s">
        <v>308</v>
      </c>
      <c r="CN28" s="394">
        <v>1</v>
      </c>
      <c r="CO28" s="258">
        <v>3</v>
      </c>
      <c r="CP28" s="258">
        <v>7</v>
      </c>
      <c r="CQ28" s="369">
        <v>21</v>
      </c>
      <c r="CR28" s="1"/>
      <c r="CS28" s="1"/>
      <c r="CT28" s="1"/>
      <c r="CU28" s="1"/>
      <c r="CV28" s="1"/>
      <c r="CW28" s="2"/>
      <c r="CX28" s="603"/>
    </row>
    <row r="29" spans="1:102">
      <c r="A29" s="472"/>
      <c r="B29" s="39" t="s">
        <v>61</v>
      </c>
      <c r="C29" s="309" t="s">
        <v>4</v>
      </c>
      <c r="D29" s="129"/>
      <c r="E29" s="66" t="s">
        <v>0</v>
      </c>
      <c r="F29" s="40"/>
      <c r="G29" s="41"/>
      <c r="H29" s="246">
        <v>1</v>
      </c>
      <c r="I29" s="313" t="s">
        <v>268</v>
      </c>
      <c r="J29" s="138">
        <v>5</v>
      </c>
      <c r="K29" s="354">
        <v>2.5000000000000001E-2</v>
      </c>
      <c r="L29" s="319">
        <f t="shared" si="11"/>
        <v>3.5820895522388061</v>
      </c>
      <c r="M29" s="251">
        <v>30</v>
      </c>
      <c r="N29" s="373">
        <v>18</v>
      </c>
      <c r="O29" s="258" t="s">
        <v>306</v>
      </c>
      <c r="P29" s="266" t="s">
        <v>201</v>
      </c>
      <c r="Q29" s="167">
        <v>240</v>
      </c>
      <c r="R29" s="42">
        <v>67</v>
      </c>
      <c r="S29" s="154">
        <v>3600</v>
      </c>
      <c r="T29" s="372" t="s">
        <v>346</v>
      </c>
      <c r="U29" s="252" t="s">
        <v>306</v>
      </c>
      <c r="V29" s="247">
        <v>240</v>
      </c>
      <c r="W29" s="244">
        <v>67</v>
      </c>
      <c r="X29" s="399">
        <v>3</v>
      </c>
      <c r="Y29" s="288">
        <f t="shared" si="12"/>
        <v>720</v>
      </c>
      <c r="Z29" s="336">
        <f t="shared" si="13"/>
        <v>3600</v>
      </c>
      <c r="AA29" s="43">
        <v>3</v>
      </c>
      <c r="AB29" s="42">
        <v>6000</v>
      </c>
      <c r="AC29" s="42">
        <v>0</v>
      </c>
      <c r="AD29" s="42">
        <v>0</v>
      </c>
      <c r="AE29" s="42">
        <v>0</v>
      </c>
      <c r="AF29" s="334">
        <v>54</v>
      </c>
      <c r="AG29" s="247">
        <v>360</v>
      </c>
      <c r="AH29" s="244">
        <v>100</v>
      </c>
      <c r="AI29" s="399">
        <v>3</v>
      </c>
      <c r="AJ29" s="288">
        <f t="shared" si="14"/>
        <v>1080</v>
      </c>
      <c r="AK29" s="336">
        <f t="shared" si="15"/>
        <v>5400</v>
      </c>
      <c r="AL29" s="43">
        <f>45/60</f>
        <v>0.75</v>
      </c>
      <c r="AM29" s="50">
        <v>5000</v>
      </c>
      <c r="AN29" s="42">
        <v>0</v>
      </c>
      <c r="AO29" s="42">
        <v>0</v>
      </c>
      <c r="AP29" s="42">
        <v>0</v>
      </c>
      <c r="AQ29" s="301">
        <v>20</v>
      </c>
      <c r="AR29" s="247">
        <v>420</v>
      </c>
      <c r="AS29" s="244">
        <v>117</v>
      </c>
      <c r="AT29" s="399">
        <v>3</v>
      </c>
      <c r="AU29" s="288">
        <f t="shared" si="16"/>
        <v>1260</v>
      </c>
      <c r="AV29" s="336">
        <f t="shared" si="17"/>
        <v>6300</v>
      </c>
      <c r="AW29" s="43">
        <v>2</v>
      </c>
      <c r="AX29" s="50">
        <v>10000</v>
      </c>
      <c r="AY29" s="42">
        <v>1</v>
      </c>
      <c r="AZ29" s="42">
        <v>0</v>
      </c>
      <c r="BA29" s="42">
        <v>0</v>
      </c>
      <c r="BB29" s="301">
        <v>47</v>
      </c>
      <c r="BC29" s="247">
        <v>456</v>
      </c>
      <c r="BD29" s="244">
        <v>127</v>
      </c>
      <c r="BE29" s="399">
        <v>3</v>
      </c>
      <c r="BF29" s="288">
        <f t="shared" si="18"/>
        <v>1368</v>
      </c>
      <c r="BG29" s="336">
        <f t="shared" si="19"/>
        <v>6840</v>
      </c>
      <c r="BH29" s="43">
        <v>3</v>
      </c>
      <c r="BI29" s="50">
        <v>15000</v>
      </c>
      <c r="BJ29" s="42">
        <v>0</v>
      </c>
      <c r="BK29" s="42">
        <v>0</v>
      </c>
      <c r="BL29" s="42">
        <v>0</v>
      </c>
      <c r="BM29" s="301">
        <v>76</v>
      </c>
      <c r="BN29" s="247">
        <v>480</v>
      </c>
      <c r="BO29" s="244">
        <v>134</v>
      </c>
      <c r="BP29" s="399">
        <v>3</v>
      </c>
      <c r="BQ29" s="288">
        <f t="shared" si="9"/>
        <v>1440</v>
      </c>
      <c r="BR29" s="336">
        <f t="shared" si="10"/>
        <v>7200</v>
      </c>
      <c r="BS29" s="43">
        <v>3</v>
      </c>
      <c r="BT29" s="50">
        <v>20000</v>
      </c>
      <c r="BU29" s="42">
        <v>0</v>
      </c>
      <c r="BV29" s="42">
        <v>1</v>
      </c>
      <c r="BW29" s="42">
        <v>0</v>
      </c>
      <c r="BX29" s="301">
        <v>108</v>
      </c>
      <c r="BY29" s="75">
        <v>3</v>
      </c>
      <c r="BZ29" s="378" t="s">
        <v>43</v>
      </c>
      <c r="CA29" s="236"/>
      <c r="CB29" s="366"/>
      <c r="CC29" s="326"/>
      <c r="CD29" s="326"/>
      <c r="CE29" s="326"/>
      <c r="CF29" s="326"/>
      <c r="CG29" s="326"/>
      <c r="CH29" s="326"/>
      <c r="CI29" s="326"/>
      <c r="CJ29" s="326"/>
      <c r="CK29" s="326"/>
      <c r="CL29" s="415"/>
      <c r="CM29" s="428" t="s">
        <v>308</v>
      </c>
      <c r="CN29" s="394">
        <v>7</v>
      </c>
      <c r="CO29" s="258">
        <v>7</v>
      </c>
      <c r="CP29" s="258">
        <v>17</v>
      </c>
      <c r="CQ29" s="369">
        <v>27</v>
      </c>
      <c r="CR29" s="1"/>
      <c r="CS29" s="1"/>
      <c r="CT29" s="1"/>
      <c r="CU29" s="1"/>
      <c r="CV29" s="1"/>
      <c r="CW29" s="2"/>
      <c r="CX29" s="603"/>
    </row>
    <row r="30" spans="1:102">
      <c r="A30" s="472"/>
      <c r="B30" s="39" t="s">
        <v>53</v>
      </c>
      <c r="C30" s="309" t="s">
        <v>15</v>
      </c>
      <c r="D30" s="129"/>
      <c r="E30" s="66" t="s">
        <v>9</v>
      </c>
      <c r="F30" s="40"/>
      <c r="G30" s="41"/>
      <c r="H30" s="246">
        <v>2</v>
      </c>
      <c r="I30" s="313" t="s">
        <v>268</v>
      </c>
      <c r="J30" s="138">
        <v>6</v>
      </c>
      <c r="K30" s="354">
        <v>2.5000000000000001E-2</v>
      </c>
      <c r="L30" s="319">
        <f>IF(ISBLANK(Q30),"",Q30/R30)</f>
        <v>3.6363636363636362</v>
      </c>
      <c r="M30" s="251">
        <v>30</v>
      </c>
      <c r="N30" s="373">
        <v>26</v>
      </c>
      <c r="O30" s="258" t="s">
        <v>306</v>
      </c>
      <c r="P30" s="266" t="s">
        <v>201</v>
      </c>
      <c r="Q30" s="167">
        <v>280</v>
      </c>
      <c r="R30" s="42">
        <v>77</v>
      </c>
      <c r="S30" s="154">
        <v>5040</v>
      </c>
      <c r="T30" s="372" t="s">
        <v>347</v>
      </c>
      <c r="U30" s="252" t="s">
        <v>306</v>
      </c>
      <c r="V30" s="247">
        <v>280</v>
      </c>
      <c r="W30" s="244">
        <v>77</v>
      </c>
      <c r="X30" s="399">
        <v>3</v>
      </c>
      <c r="Y30" s="288">
        <f>IF(ISBLANK(X30), "",INT(V30*X30))</f>
        <v>840</v>
      </c>
      <c r="Z30" s="336">
        <f>IF(ISBLANK(X30),"",INT(Y30*$J30))</f>
        <v>5040</v>
      </c>
      <c r="AA30" s="43">
        <v>10</v>
      </c>
      <c r="AB30" s="42">
        <v>40000</v>
      </c>
      <c r="AC30" s="42">
        <v>0</v>
      </c>
      <c r="AD30" s="42">
        <v>0</v>
      </c>
      <c r="AE30" s="42">
        <v>0</v>
      </c>
      <c r="AF30" s="334">
        <v>210</v>
      </c>
      <c r="AG30" s="247">
        <v>420</v>
      </c>
      <c r="AH30" s="244">
        <v>115</v>
      </c>
      <c r="AI30" s="399">
        <v>3</v>
      </c>
      <c r="AJ30" s="288">
        <f>IF(ISBLANK(AI30), "",INT(AG30*AI30))</f>
        <v>1260</v>
      </c>
      <c r="AK30" s="336">
        <f>IF(ISBLANK(AI30),"",INT(AJ30*$J30))</f>
        <v>7560</v>
      </c>
      <c r="AL30" s="43">
        <v>3</v>
      </c>
      <c r="AM30" s="50">
        <v>40000</v>
      </c>
      <c r="AN30" s="42">
        <v>0</v>
      </c>
      <c r="AO30" s="42">
        <v>0</v>
      </c>
      <c r="AP30" s="42">
        <v>0</v>
      </c>
      <c r="AQ30" s="301">
        <v>78</v>
      </c>
      <c r="AR30" s="247">
        <v>490</v>
      </c>
      <c r="AS30" s="244">
        <v>134</v>
      </c>
      <c r="AT30" s="399">
        <v>3</v>
      </c>
      <c r="AU30" s="288">
        <f>IF(ISBLANK(AT30), "",INT(AR30*AT30))</f>
        <v>1470</v>
      </c>
      <c r="AV30" s="336">
        <f>IF(ISBLANK(AT30),"",INT(AU30*$J30))</f>
        <v>8820</v>
      </c>
      <c r="AW30" s="43">
        <v>5</v>
      </c>
      <c r="AX30" s="50">
        <v>60000</v>
      </c>
      <c r="AY30" s="42">
        <v>1</v>
      </c>
      <c r="AZ30" s="42">
        <v>0</v>
      </c>
      <c r="BA30" s="42">
        <v>0</v>
      </c>
      <c r="BB30" s="301">
        <v>183</v>
      </c>
      <c r="BC30" s="247">
        <v>532</v>
      </c>
      <c r="BD30" s="244">
        <v>146</v>
      </c>
      <c r="BE30" s="399">
        <v>3</v>
      </c>
      <c r="BF30" s="288">
        <f>IF(ISBLANK(BE30), "",INT(BC30*BE30))</f>
        <v>1596</v>
      </c>
      <c r="BG30" s="336">
        <f>IF(ISBLANK(BE30),"",INT(BF30*$J30))</f>
        <v>9576</v>
      </c>
      <c r="BH30" s="43">
        <v>8</v>
      </c>
      <c r="BI30" s="50">
        <v>80000</v>
      </c>
      <c r="BJ30" s="42">
        <v>0</v>
      </c>
      <c r="BK30" s="42">
        <v>0</v>
      </c>
      <c r="BL30" s="42">
        <v>0</v>
      </c>
      <c r="BM30" s="301">
        <v>299</v>
      </c>
      <c r="BN30" s="247">
        <v>560</v>
      </c>
      <c r="BO30" s="244">
        <v>154</v>
      </c>
      <c r="BP30" s="399">
        <v>3</v>
      </c>
      <c r="BQ30" s="288">
        <f t="shared" si="9"/>
        <v>1680</v>
      </c>
      <c r="BR30" s="336">
        <f t="shared" si="10"/>
        <v>10080</v>
      </c>
      <c r="BS30" s="43">
        <v>10</v>
      </c>
      <c r="BT30" s="50">
        <v>100000</v>
      </c>
      <c r="BU30" s="42">
        <v>0</v>
      </c>
      <c r="BV30" s="42">
        <v>1</v>
      </c>
      <c r="BW30" s="42">
        <v>0</v>
      </c>
      <c r="BX30" s="301">
        <v>420</v>
      </c>
      <c r="BY30" s="75">
        <v>10</v>
      </c>
      <c r="BZ30" s="378" t="s">
        <v>43</v>
      </c>
      <c r="CA30" s="236"/>
      <c r="CB30" s="366"/>
      <c r="CC30" s="326"/>
      <c r="CD30" s="326"/>
      <c r="CE30" s="326"/>
      <c r="CF30" s="326"/>
      <c r="CG30" s="326"/>
      <c r="CH30" s="326"/>
      <c r="CI30" s="326"/>
      <c r="CJ30" s="326"/>
      <c r="CK30" s="326"/>
      <c r="CL30" s="415"/>
      <c r="CM30" s="428" t="s">
        <v>308</v>
      </c>
      <c r="CN30" s="394">
        <v>12</v>
      </c>
      <c r="CO30" s="258">
        <v>12</v>
      </c>
      <c r="CP30" s="258">
        <v>22</v>
      </c>
      <c r="CQ30" s="369">
        <v>32</v>
      </c>
      <c r="CR30" s="1"/>
      <c r="CS30" s="1"/>
      <c r="CT30" s="1"/>
      <c r="CU30" s="1"/>
      <c r="CV30" s="1"/>
      <c r="CW30" s="2"/>
      <c r="CX30" s="603"/>
    </row>
    <row r="31" spans="1:102">
      <c r="A31" s="472"/>
      <c r="B31" s="39" t="s">
        <v>82</v>
      </c>
      <c r="C31" s="309" t="s">
        <v>15</v>
      </c>
      <c r="D31" s="129"/>
      <c r="E31" s="66" t="s">
        <v>9</v>
      </c>
      <c r="F31" s="40"/>
      <c r="G31" s="41"/>
      <c r="H31" s="246">
        <v>3</v>
      </c>
      <c r="I31" s="313" t="s">
        <v>268</v>
      </c>
      <c r="J31" s="138">
        <v>7</v>
      </c>
      <c r="K31" s="354">
        <v>2.5000000000000001E-2</v>
      </c>
      <c r="L31" s="319">
        <f>IF(ISBLANK(Q31),"",Q31/R31)</f>
        <v>3.7647058823529411</v>
      </c>
      <c r="M31" s="251">
        <v>30</v>
      </c>
      <c r="N31" s="373">
        <v>36</v>
      </c>
      <c r="O31" s="258" t="s">
        <v>306</v>
      </c>
      <c r="P31" s="266" t="s">
        <v>201</v>
      </c>
      <c r="Q31" s="167">
        <v>320</v>
      </c>
      <c r="R31" s="42">
        <v>85</v>
      </c>
      <c r="S31" s="154">
        <v>8960</v>
      </c>
      <c r="T31" s="372" t="s">
        <v>948</v>
      </c>
      <c r="U31" s="252" t="s">
        <v>306</v>
      </c>
      <c r="V31" s="247">
        <v>320</v>
      </c>
      <c r="W31" s="244">
        <v>85</v>
      </c>
      <c r="X31" s="399">
        <v>4</v>
      </c>
      <c r="Y31" s="288">
        <f>IF(ISBLANK(X31), "",INT(V31*X31))</f>
        <v>1280</v>
      </c>
      <c r="Z31" s="336">
        <f>IF(ISBLANK(X31),"",INT(Y31*$J31))</f>
        <v>8960</v>
      </c>
      <c r="AA31" s="43">
        <v>48</v>
      </c>
      <c r="AB31" s="42">
        <v>250000</v>
      </c>
      <c r="AC31" s="42">
        <v>0</v>
      </c>
      <c r="AD31" s="42">
        <v>0</v>
      </c>
      <c r="AE31" s="42">
        <v>0</v>
      </c>
      <c r="AF31" s="334">
        <v>1536</v>
      </c>
      <c r="AG31" s="247">
        <v>480</v>
      </c>
      <c r="AH31" s="244">
        <v>127</v>
      </c>
      <c r="AI31" s="399">
        <v>4</v>
      </c>
      <c r="AJ31" s="288">
        <f>IF(ISBLANK(AI31), "",INT(AG31*AI31))</f>
        <v>1920</v>
      </c>
      <c r="AK31" s="336">
        <f>IF(ISBLANK(AI31),"",INT(AJ31*$J31))</f>
        <v>13440</v>
      </c>
      <c r="AL31" s="43">
        <v>12</v>
      </c>
      <c r="AM31" s="50">
        <v>250000</v>
      </c>
      <c r="AN31" s="42">
        <v>0</v>
      </c>
      <c r="AO31" s="42">
        <v>0</v>
      </c>
      <c r="AP31" s="42">
        <v>0</v>
      </c>
      <c r="AQ31" s="301">
        <v>576</v>
      </c>
      <c r="AR31" s="247">
        <v>560</v>
      </c>
      <c r="AS31" s="244">
        <v>148</v>
      </c>
      <c r="AT31" s="399">
        <v>4</v>
      </c>
      <c r="AU31" s="288">
        <f>IF(ISBLANK(AT31), "",INT(AR31*AT31))</f>
        <v>2240</v>
      </c>
      <c r="AV31" s="336">
        <f>IF(ISBLANK(AT31),"",INT(AU31*$J31))</f>
        <v>15680</v>
      </c>
      <c r="AW31" s="43">
        <v>24</v>
      </c>
      <c r="AX31" s="50">
        <v>375000</v>
      </c>
      <c r="AY31" s="42">
        <v>1</v>
      </c>
      <c r="AZ31" s="42">
        <v>0</v>
      </c>
      <c r="BA31" s="42">
        <v>0</v>
      </c>
      <c r="BB31" s="301">
        <v>1344</v>
      </c>
      <c r="BC31" s="247">
        <v>608</v>
      </c>
      <c r="BD31" s="244">
        <v>161</v>
      </c>
      <c r="BE31" s="399">
        <v>4</v>
      </c>
      <c r="BF31" s="288">
        <f>IF(ISBLANK(BE31), "",INT(BC31*BE31))</f>
        <v>2432</v>
      </c>
      <c r="BG31" s="336">
        <f>IF(ISBLANK(BE31),"",INT(BF31*$J31))</f>
        <v>17024</v>
      </c>
      <c r="BH31" s="43">
        <f>36</f>
        <v>36</v>
      </c>
      <c r="BI31" s="50">
        <v>500000</v>
      </c>
      <c r="BJ31" s="42">
        <v>0</v>
      </c>
      <c r="BK31" s="42">
        <v>0</v>
      </c>
      <c r="BL31" s="42">
        <v>0</v>
      </c>
      <c r="BM31" s="301">
        <v>2188</v>
      </c>
      <c r="BN31" s="247">
        <v>640</v>
      </c>
      <c r="BO31" s="244">
        <v>170</v>
      </c>
      <c r="BP31" s="399">
        <v>4</v>
      </c>
      <c r="BQ31" s="288">
        <f t="shared" si="9"/>
        <v>2560</v>
      </c>
      <c r="BR31" s="336">
        <f t="shared" si="10"/>
        <v>17920</v>
      </c>
      <c r="BS31" s="43">
        <v>48</v>
      </c>
      <c r="BT31" s="50">
        <v>625000</v>
      </c>
      <c r="BU31" s="42">
        <v>0</v>
      </c>
      <c r="BV31" s="42">
        <v>1</v>
      </c>
      <c r="BW31" s="42">
        <v>0</v>
      </c>
      <c r="BX31" s="301">
        <v>3072</v>
      </c>
      <c r="BY31" s="75">
        <v>46</v>
      </c>
      <c r="BZ31" s="378" t="s">
        <v>43</v>
      </c>
      <c r="CA31" s="236"/>
      <c r="CB31" s="366"/>
      <c r="CC31" s="326"/>
      <c r="CD31" s="326"/>
      <c r="CE31" s="326"/>
      <c r="CF31" s="326"/>
      <c r="CG31" s="326"/>
      <c r="CH31" s="326"/>
      <c r="CI31" s="326"/>
      <c r="CJ31" s="326"/>
      <c r="CK31" s="326"/>
      <c r="CL31" s="415"/>
      <c r="CM31" s="428" t="s">
        <v>308</v>
      </c>
      <c r="CN31" s="394">
        <v>20</v>
      </c>
      <c r="CO31" s="258">
        <v>20</v>
      </c>
      <c r="CP31" s="258">
        <v>30</v>
      </c>
      <c r="CQ31" s="369">
        <v>40</v>
      </c>
      <c r="CR31" s="1"/>
      <c r="CS31" s="1"/>
      <c r="CT31" s="1"/>
      <c r="CU31" s="1"/>
      <c r="CV31" s="1"/>
      <c r="CW31" s="2"/>
      <c r="CX31" s="603"/>
    </row>
    <row r="32" spans="1:102">
      <c r="A32" s="472"/>
      <c r="B32" s="39" t="s">
        <v>80</v>
      </c>
      <c r="C32" s="309" t="s">
        <v>48</v>
      </c>
      <c r="D32" s="129" t="s">
        <v>109</v>
      </c>
      <c r="E32" s="66" t="s">
        <v>43</v>
      </c>
      <c r="F32" s="40"/>
      <c r="G32" s="41"/>
      <c r="H32" s="246">
        <v>4</v>
      </c>
      <c r="I32" s="313" t="s">
        <v>268</v>
      </c>
      <c r="J32" s="138">
        <v>8</v>
      </c>
      <c r="K32" s="354">
        <v>2.5000000000000001E-2</v>
      </c>
      <c r="L32" s="319">
        <f>IF(ISBLANK(Q32),"",Q32/R32)</f>
        <v>4.3428571428571425</v>
      </c>
      <c r="M32" s="251">
        <v>30</v>
      </c>
      <c r="N32" s="373">
        <v>48</v>
      </c>
      <c r="O32" s="258" t="s">
        <v>306</v>
      </c>
      <c r="P32" s="266" t="s">
        <v>201</v>
      </c>
      <c r="Q32" s="167">
        <v>760</v>
      </c>
      <c r="R32" s="42">
        <v>175</v>
      </c>
      <c r="S32" s="154">
        <v>48640</v>
      </c>
      <c r="T32" s="372" t="s">
        <v>349</v>
      </c>
      <c r="U32" s="252" t="s">
        <v>306</v>
      </c>
      <c r="V32" s="247">
        <v>760</v>
      </c>
      <c r="W32" s="244">
        <v>175</v>
      </c>
      <c r="X32" s="399">
        <v>8</v>
      </c>
      <c r="Y32" s="288">
        <f>IF(ISBLANK(X32), "",INT(V32*X32))</f>
        <v>6080</v>
      </c>
      <c r="Z32" s="336">
        <f>IF(ISBLANK(X32),"",INT(Y32*$J32))</f>
        <v>48640</v>
      </c>
      <c r="AA32" s="43">
        <f>5*24</f>
        <v>120</v>
      </c>
      <c r="AB32" s="42">
        <v>3000000</v>
      </c>
      <c r="AC32" s="42">
        <v>0</v>
      </c>
      <c r="AD32" s="42">
        <v>0</v>
      </c>
      <c r="AE32" s="42">
        <v>0</v>
      </c>
      <c r="AF32" s="334">
        <v>10000</v>
      </c>
      <c r="AG32" s="247">
        <v>1140</v>
      </c>
      <c r="AH32" s="244">
        <v>262</v>
      </c>
      <c r="AI32" s="399">
        <v>8</v>
      </c>
      <c r="AJ32" s="288">
        <f>IF(ISBLANK(AI32), "",INT(AG32*AI32))</f>
        <v>9120</v>
      </c>
      <c r="AK32" s="336">
        <f>IF(ISBLANK(AI32),"",INT(AJ32*$J32))</f>
        <v>72960</v>
      </c>
      <c r="AL32" s="43">
        <f>24+6</f>
        <v>30</v>
      </c>
      <c r="AM32" s="50">
        <v>3000000</v>
      </c>
      <c r="AN32" s="42">
        <v>0</v>
      </c>
      <c r="AO32" s="42">
        <v>0</v>
      </c>
      <c r="AP32" s="42">
        <v>0</v>
      </c>
      <c r="AQ32" s="301">
        <v>6840</v>
      </c>
      <c r="AR32" s="247">
        <v>1330</v>
      </c>
      <c r="AS32" s="244">
        <v>306</v>
      </c>
      <c r="AT32" s="399">
        <v>9</v>
      </c>
      <c r="AU32" s="288">
        <f>IF(ISBLANK(AT32), "",INT(AR32*AT32))</f>
        <v>11970</v>
      </c>
      <c r="AV32" s="336">
        <f>IF(ISBLANK(AT32),"",INT(AU32*$J32))</f>
        <v>95760</v>
      </c>
      <c r="AW32" s="43">
        <f>2*24+12</f>
        <v>60</v>
      </c>
      <c r="AX32" s="50">
        <v>4500000</v>
      </c>
      <c r="AY32" s="42">
        <v>1</v>
      </c>
      <c r="AZ32" s="42">
        <v>0</v>
      </c>
      <c r="BA32" s="42">
        <v>0</v>
      </c>
      <c r="BB32" s="301">
        <v>10000</v>
      </c>
      <c r="BC32" s="247">
        <v>1444</v>
      </c>
      <c r="BD32" s="244">
        <v>332</v>
      </c>
      <c r="BE32" s="399">
        <v>9</v>
      </c>
      <c r="BF32" s="288">
        <f>IF(ISBLANK(BE32), "",INT(BC32*BE32))</f>
        <v>12996</v>
      </c>
      <c r="BG32" s="336">
        <f>IF(ISBLANK(BE32),"",INT(BF32*$J32))</f>
        <v>103968</v>
      </c>
      <c r="BH32" s="43">
        <f>3*24+18</f>
        <v>90</v>
      </c>
      <c r="BI32" s="50">
        <v>6000000</v>
      </c>
      <c r="BJ32" s="42">
        <v>0</v>
      </c>
      <c r="BK32" s="42">
        <v>0</v>
      </c>
      <c r="BL32" s="42">
        <v>0</v>
      </c>
      <c r="BM32" s="301">
        <v>10000</v>
      </c>
      <c r="BN32" s="247">
        <v>1520</v>
      </c>
      <c r="BO32" s="244">
        <v>350</v>
      </c>
      <c r="BP32" s="399">
        <v>9</v>
      </c>
      <c r="BQ32" s="288">
        <f t="shared" si="9"/>
        <v>13680</v>
      </c>
      <c r="BR32" s="336">
        <f t="shared" si="10"/>
        <v>109440</v>
      </c>
      <c r="BS32" s="43">
        <f>5*24</f>
        <v>120</v>
      </c>
      <c r="BT32" s="50">
        <v>7500000</v>
      </c>
      <c r="BU32" s="42">
        <v>0</v>
      </c>
      <c r="BV32" s="42">
        <v>1</v>
      </c>
      <c r="BW32" s="42">
        <v>0</v>
      </c>
      <c r="BX32" s="301">
        <v>10000</v>
      </c>
      <c r="BY32" s="75">
        <v>115</v>
      </c>
      <c r="BZ32" s="378" t="s">
        <v>43</v>
      </c>
      <c r="CA32" s="236"/>
      <c r="CB32" s="366"/>
      <c r="CC32" s="326"/>
      <c r="CD32" s="326"/>
      <c r="CE32" s="326"/>
      <c r="CF32" s="326"/>
      <c r="CG32" s="326"/>
      <c r="CH32" s="326"/>
      <c r="CI32" s="326"/>
      <c r="CJ32" s="326"/>
      <c r="CK32" s="326"/>
      <c r="CL32" s="415"/>
      <c r="CM32" s="428" t="s">
        <v>308</v>
      </c>
      <c r="CN32" s="394">
        <v>35</v>
      </c>
      <c r="CO32" s="258">
        <v>45</v>
      </c>
      <c r="CP32" s="258">
        <v>55</v>
      </c>
      <c r="CQ32" s="369">
        <v>65</v>
      </c>
      <c r="CR32" s="1"/>
      <c r="CS32" s="1"/>
      <c r="CT32" s="1"/>
      <c r="CU32" s="1"/>
      <c r="CV32" s="1"/>
      <c r="CW32" s="2"/>
      <c r="CX32" s="603"/>
    </row>
    <row r="33" spans="1:102">
      <c r="A33" s="472"/>
      <c r="B33" s="39" t="s">
        <v>108</v>
      </c>
      <c r="C33" s="309" t="s">
        <v>48</v>
      </c>
      <c r="D33" s="129" t="s">
        <v>109</v>
      </c>
      <c r="E33" s="66" t="s">
        <v>43</v>
      </c>
      <c r="F33" s="40"/>
      <c r="G33" s="41"/>
      <c r="H33" s="246">
        <v>4</v>
      </c>
      <c r="I33" s="313" t="s">
        <v>268</v>
      </c>
      <c r="J33" s="138">
        <v>9</v>
      </c>
      <c r="K33" s="354">
        <v>2.5000000000000001E-2</v>
      </c>
      <c r="L33" s="319">
        <f>IF(ISBLANK(Q33),"",Q33/R33)</f>
        <v>4.9438202247191008</v>
      </c>
      <c r="M33" s="251">
        <v>30</v>
      </c>
      <c r="N33" s="373">
        <v>64</v>
      </c>
      <c r="O33" s="258" t="s">
        <v>306</v>
      </c>
      <c r="P33" s="266" t="s">
        <v>201</v>
      </c>
      <c r="Q33" s="167">
        <v>880</v>
      </c>
      <c r="R33" s="42">
        <v>178</v>
      </c>
      <c r="S33" s="154">
        <v>71280</v>
      </c>
      <c r="T33" s="372" t="s">
        <v>350</v>
      </c>
      <c r="U33" s="252" t="s">
        <v>306</v>
      </c>
      <c r="V33" s="247">
        <v>880</v>
      </c>
      <c r="W33" s="244">
        <v>178</v>
      </c>
      <c r="X33" s="399">
        <v>9</v>
      </c>
      <c r="Y33" s="288">
        <f>IF(ISBLANK(X33), "",INT(V33*X33))</f>
        <v>7920</v>
      </c>
      <c r="Z33" s="336">
        <f>IF(ISBLANK(X33),"",INT(Y33*$J33))</f>
        <v>71280</v>
      </c>
      <c r="AA33" s="43">
        <f>12*24</f>
        <v>288</v>
      </c>
      <c r="AB33" s="42">
        <v>15000000</v>
      </c>
      <c r="AC33" s="42">
        <v>0</v>
      </c>
      <c r="AD33" s="42">
        <v>0</v>
      </c>
      <c r="AE33" s="42">
        <v>0</v>
      </c>
      <c r="AF33" s="334">
        <v>10000</v>
      </c>
      <c r="AG33" s="247">
        <v>1320</v>
      </c>
      <c r="AH33" s="244">
        <v>267</v>
      </c>
      <c r="AI33" s="399">
        <v>9</v>
      </c>
      <c r="AJ33" s="288">
        <f>IF(ISBLANK(AI33), "",INT(AG33*AI33))</f>
        <v>11880</v>
      </c>
      <c r="AK33" s="336">
        <f>IF(ISBLANK(AI33),"",INT(AJ33*$J33))</f>
        <v>106920</v>
      </c>
      <c r="AL33" s="43">
        <f>3*24</f>
        <v>72</v>
      </c>
      <c r="AM33" s="50">
        <v>15000000</v>
      </c>
      <c r="AN33" s="42">
        <v>0</v>
      </c>
      <c r="AO33" s="42">
        <v>0</v>
      </c>
      <c r="AP33" s="42">
        <v>0</v>
      </c>
      <c r="AQ33" s="301">
        <v>10000</v>
      </c>
      <c r="AR33" s="247">
        <v>1540</v>
      </c>
      <c r="AS33" s="244">
        <v>311</v>
      </c>
      <c r="AT33" s="399">
        <v>10</v>
      </c>
      <c r="AU33" s="288">
        <f>IF(ISBLANK(AT33), "",INT(AR33*AT33))</f>
        <v>15400</v>
      </c>
      <c r="AV33" s="336">
        <f>IF(ISBLANK(AT33),"",INT(AU33*$J33))</f>
        <v>138600</v>
      </c>
      <c r="AW33" s="43">
        <f>6*24</f>
        <v>144</v>
      </c>
      <c r="AX33" s="50">
        <v>22500000</v>
      </c>
      <c r="AY33" s="42">
        <v>1</v>
      </c>
      <c r="AZ33" s="42">
        <v>0</v>
      </c>
      <c r="BA33" s="42">
        <v>0</v>
      </c>
      <c r="BB33" s="301">
        <v>10000</v>
      </c>
      <c r="BC33" s="247">
        <v>1672</v>
      </c>
      <c r="BD33" s="244">
        <v>338</v>
      </c>
      <c r="BE33" s="399">
        <v>10</v>
      </c>
      <c r="BF33" s="288">
        <f>IF(ISBLANK(BE33), "",INT(BC33*BE33))</f>
        <v>16720</v>
      </c>
      <c r="BG33" s="336">
        <f>IF(ISBLANK(BE33),"",INT(BF33*$J33))</f>
        <v>150480</v>
      </c>
      <c r="BH33" s="43">
        <f>9*24</f>
        <v>216</v>
      </c>
      <c r="BI33" s="50">
        <v>30000000</v>
      </c>
      <c r="BJ33" s="42">
        <v>0</v>
      </c>
      <c r="BK33" s="42">
        <v>0</v>
      </c>
      <c r="BL33" s="42">
        <v>0</v>
      </c>
      <c r="BM33" s="301">
        <v>10000</v>
      </c>
      <c r="BN33" s="247">
        <v>1760</v>
      </c>
      <c r="BO33" s="244">
        <v>356</v>
      </c>
      <c r="BP33" s="399">
        <v>10</v>
      </c>
      <c r="BQ33" s="288">
        <f t="shared" si="9"/>
        <v>17600</v>
      </c>
      <c r="BR33" s="336">
        <f t="shared" si="10"/>
        <v>158400</v>
      </c>
      <c r="BS33" s="43">
        <f>12*24</f>
        <v>288</v>
      </c>
      <c r="BT33" s="50">
        <v>37500000</v>
      </c>
      <c r="BU33" s="42">
        <v>0</v>
      </c>
      <c r="BV33" s="42">
        <v>1</v>
      </c>
      <c r="BW33" s="42">
        <v>0</v>
      </c>
      <c r="BX33" s="301">
        <v>10000</v>
      </c>
      <c r="BY33" s="75">
        <v>275</v>
      </c>
      <c r="BZ33" s="378" t="s">
        <v>43</v>
      </c>
      <c r="CA33" s="236"/>
      <c r="CB33" s="366"/>
      <c r="CC33" s="326"/>
      <c r="CD33" s="326"/>
      <c r="CE33" s="326"/>
      <c r="CF33" s="326"/>
      <c r="CG33" s="326"/>
      <c r="CH33" s="326"/>
      <c r="CI33" s="326"/>
      <c r="CJ33" s="326"/>
      <c r="CK33" s="326"/>
      <c r="CL33" s="415"/>
      <c r="CM33" s="428" t="s">
        <v>308</v>
      </c>
      <c r="CN33" s="394">
        <v>78</v>
      </c>
      <c r="CO33" s="258"/>
      <c r="CP33" s="258"/>
      <c r="CQ33" s="369"/>
      <c r="CR33" s="1"/>
      <c r="CS33" s="1"/>
      <c r="CT33" s="1"/>
      <c r="CU33" s="1"/>
      <c r="CV33" s="1"/>
      <c r="CW33" s="2"/>
      <c r="CX33" s="603"/>
    </row>
    <row r="34" spans="1:102">
      <c r="A34" s="472"/>
      <c r="B34" s="39" t="s">
        <v>72</v>
      </c>
      <c r="C34" s="309" t="s">
        <v>15</v>
      </c>
      <c r="D34" s="129"/>
      <c r="E34" s="66"/>
      <c r="F34" s="40" t="s">
        <v>9</v>
      </c>
      <c r="G34" s="41" t="s">
        <v>9</v>
      </c>
      <c r="H34" s="246">
        <v>3</v>
      </c>
      <c r="I34" s="313" t="s">
        <v>283</v>
      </c>
      <c r="J34" s="138">
        <v>5</v>
      </c>
      <c r="K34" s="354">
        <v>2.5000000000000001E-2</v>
      </c>
      <c r="L34" s="319">
        <f t="shared" si="11"/>
        <v>3.6164383561643834</v>
      </c>
      <c r="M34" s="251">
        <v>30</v>
      </c>
      <c r="N34" s="373">
        <v>17</v>
      </c>
      <c r="O34" s="258" t="s">
        <v>306</v>
      </c>
      <c r="P34" s="266" t="s">
        <v>99</v>
      </c>
      <c r="Q34" s="167">
        <v>264</v>
      </c>
      <c r="R34" s="42">
        <v>73</v>
      </c>
      <c r="S34" s="154">
        <v>3960</v>
      </c>
      <c r="T34" s="372" t="s">
        <v>351</v>
      </c>
      <c r="U34" s="252" t="s">
        <v>306</v>
      </c>
      <c r="V34" s="247">
        <v>264</v>
      </c>
      <c r="W34" s="244">
        <v>73</v>
      </c>
      <c r="X34" s="399">
        <v>3</v>
      </c>
      <c r="Y34" s="288">
        <f t="shared" si="12"/>
        <v>792</v>
      </c>
      <c r="Z34" s="336">
        <f t="shared" si="13"/>
        <v>3960</v>
      </c>
      <c r="AA34" s="43">
        <v>2</v>
      </c>
      <c r="AB34" s="42">
        <v>0</v>
      </c>
      <c r="AC34" s="42">
        <v>0</v>
      </c>
      <c r="AD34" s="42">
        <v>0</v>
      </c>
      <c r="AE34" s="42">
        <v>0</v>
      </c>
      <c r="AF34" s="334">
        <v>39</v>
      </c>
      <c r="AG34" s="247">
        <v>396</v>
      </c>
      <c r="AH34" s="244">
        <v>109</v>
      </c>
      <c r="AI34" s="399">
        <v>3</v>
      </c>
      <c r="AJ34" s="288">
        <f t="shared" si="14"/>
        <v>1188</v>
      </c>
      <c r="AK34" s="336">
        <f t="shared" si="15"/>
        <v>5940</v>
      </c>
      <c r="AL34" s="43">
        <v>0.5</v>
      </c>
      <c r="AM34" s="50">
        <v>25000</v>
      </c>
      <c r="AN34" s="42">
        <v>0</v>
      </c>
      <c r="AO34" s="42">
        <v>0</v>
      </c>
      <c r="AP34" s="42">
        <v>0</v>
      </c>
      <c r="AQ34" s="301">
        <v>14</v>
      </c>
      <c r="AR34" s="247">
        <v>462</v>
      </c>
      <c r="AS34" s="244">
        <v>127</v>
      </c>
      <c r="AT34" s="399">
        <v>3</v>
      </c>
      <c r="AU34" s="288">
        <f t="shared" si="16"/>
        <v>1386</v>
      </c>
      <c r="AV34" s="336">
        <f t="shared" si="17"/>
        <v>6930</v>
      </c>
      <c r="AW34" s="43">
        <v>1</v>
      </c>
      <c r="AX34" s="50">
        <v>35000</v>
      </c>
      <c r="AY34" s="42">
        <v>0</v>
      </c>
      <c r="AZ34" s="42">
        <v>1</v>
      </c>
      <c r="BA34" s="42">
        <v>0</v>
      </c>
      <c r="BB34" s="301">
        <v>34</v>
      </c>
      <c r="BC34" s="247">
        <v>501</v>
      </c>
      <c r="BD34" s="244">
        <v>138</v>
      </c>
      <c r="BE34" s="399">
        <v>3</v>
      </c>
      <c r="BF34" s="288">
        <f t="shared" si="18"/>
        <v>1503</v>
      </c>
      <c r="BG34" s="336">
        <f t="shared" si="19"/>
        <v>7515</v>
      </c>
      <c r="BH34" s="43">
        <v>2</v>
      </c>
      <c r="BI34" s="50">
        <v>45000</v>
      </c>
      <c r="BJ34" s="42">
        <v>0</v>
      </c>
      <c r="BK34" s="42">
        <v>0</v>
      </c>
      <c r="BL34" s="42">
        <v>0</v>
      </c>
      <c r="BM34" s="301">
        <v>56</v>
      </c>
      <c r="BN34" s="247">
        <v>528</v>
      </c>
      <c r="BO34" s="244">
        <v>146</v>
      </c>
      <c r="BP34" s="399">
        <v>3</v>
      </c>
      <c r="BQ34" s="288">
        <f t="shared" si="9"/>
        <v>1584</v>
      </c>
      <c r="BR34" s="336">
        <f t="shared" si="10"/>
        <v>7920</v>
      </c>
      <c r="BS34" s="43">
        <v>2</v>
      </c>
      <c r="BT34" s="50">
        <v>55000</v>
      </c>
      <c r="BU34" s="42">
        <v>0</v>
      </c>
      <c r="BV34" s="42">
        <v>0</v>
      </c>
      <c r="BW34" s="42">
        <v>1</v>
      </c>
      <c r="BX34" s="301">
        <v>79</v>
      </c>
      <c r="BY34" s="75">
        <v>2</v>
      </c>
      <c r="BZ34" s="378" t="s">
        <v>43</v>
      </c>
      <c r="CA34" s="236">
        <v>260</v>
      </c>
      <c r="CB34" s="366">
        <v>800</v>
      </c>
      <c r="CC34" s="326">
        <v>2500</v>
      </c>
      <c r="CD34" s="326">
        <v>5000</v>
      </c>
      <c r="CE34" s="326">
        <v>15000</v>
      </c>
      <c r="CF34" s="326">
        <v>30000</v>
      </c>
      <c r="CG34" s="326">
        <v>60000</v>
      </c>
      <c r="CH34" s="326">
        <v>120000</v>
      </c>
      <c r="CI34" s="326">
        <v>240000</v>
      </c>
      <c r="CJ34" s="326">
        <v>480000</v>
      </c>
      <c r="CK34" s="326">
        <v>960000</v>
      </c>
      <c r="CL34" s="415"/>
      <c r="CM34" s="428" t="s">
        <v>43</v>
      </c>
      <c r="CN34" s="394"/>
      <c r="CO34" s="258"/>
      <c r="CP34" s="258"/>
      <c r="CQ34" s="369"/>
      <c r="CR34" s="1"/>
      <c r="CS34" s="1"/>
      <c r="CT34" s="1"/>
      <c r="CU34" s="1"/>
      <c r="CV34" s="1"/>
      <c r="CW34" s="2"/>
      <c r="CX34" s="603"/>
    </row>
    <row r="35" spans="1:102">
      <c r="A35" s="472"/>
      <c r="B35" s="39" t="s">
        <v>56</v>
      </c>
      <c r="C35" s="309" t="s">
        <v>107</v>
      </c>
      <c r="D35" s="129"/>
      <c r="E35" s="66"/>
      <c r="F35" s="40"/>
      <c r="G35" s="41" t="s">
        <v>43</v>
      </c>
      <c r="H35" s="246">
        <v>4</v>
      </c>
      <c r="I35" s="313" t="s">
        <v>283</v>
      </c>
      <c r="J35" s="138">
        <v>7</v>
      </c>
      <c r="K35" s="354">
        <v>2.5000000000000001E-2</v>
      </c>
      <c r="L35" s="319">
        <f t="shared" si="11"/>
        <v>3.78494623655914</v>
      </c>
      <c r="M35" s="251">
        <v>30</v>
      </c>
      <c r="N35" s="373">
        <v>38</v>
      </c>
      <c r="O35" s="258" t="s">
        <v>306</v>
      </c>
      <c r="P35" s="266" t="s">
        <v>201</v>
      </c>
      <c r="Q35" s="167">
        <v>352</v>
      </c>
      <c r="R35" s="42">
        <v>93</v>
      </c>
      <c r="S35" s="154">
        <v>9856</v>
      </c>
      <c r="T35" s="372" t="s">
        <v>707</v>
      </c>
      <c r="U35" s="252" t="s">
        <v>306</v>
      </c>
      <c r="V35" s="247">
        <v>352</v>
      </c>
      <c r="W35" s="244">
        <v>93</v>
      </c>
      <c r="X35" s="399">
        <v>4</v>
      </c>
      <c r="Y35" s="288">
        <f t="shared" si="12"/>
        <v>1408</v>
      </c>
      <c r="Z35" s="336">
        <f t="shared" si="13"/>
        <v>9856</v>
      </c>
      <c r="AA35" s="43">
        <v>5</v>
      </c>
      <c r="AB35" s="42">
        <v>0</v>
      </c>
      <c r="AC35" s="42">
        <v>0</v>
      </c>
      <c r="AD35" s="42">
        <v>0</v>
      </c>
      <c r="AE35" s="42">
        <v>0</v>
      </c>
      <c r="AF35" s="334">
        <v>176</v>
      </c>
      <c r="AG35" s="247">
        <v>528</v>
      </c>
      <c r="AH35" s="244">
        <v>139</v>
      </c>
      <c r="AI35" s="399">
        <v>4</v>
      </c>
      <c r="AJ35" s="288">
        <f t="shared" si="14"/>
        <v>2112</v>
      </c>
      <c r="AK35" s="336">
        <f t="shared" si="15"/>
        <v>14784</v>
      </c>
      <c r="AL35" s="43">
        <v>2</v>
      </c>
      <c r="AM35" s="50">
        <v>350000</v>
      </c>
      <c r="AN35" s="42">
        <v>0</v>
      </c>
      <c r="AO35" s="42">
        <v>0</v>
      </c>
      <c r="AP35" s="42">
        <v>0</v>
      </c>
      <c r="AQ35" s="301">
        <v>66</v>
      </c>
      <c r="AR35" s="247">
        <v>616</v>
      </c>
      <c r="AS35" s="244">
        <v>162</v>
      </c>
      <c r="AT35" s="399">
        <v>4</v>
      </c>
      <c r="AU35" s="288">
        <f t="shared" si="16"/>
        <v>2464</v>
      </c>
      <c r="AV35" s="336">
        <f t="shared" si="17"/>
        <v>17248</v>
      </c>
      <c r="AW35" s="43">
        <v>3</v>
      </c>
      <c r="AX35" s="50">
        <v>525000</v>
      </c>
      <c r="AY35" s="42">
        <v>0</v>
      </c>
      <c r="AZ35" s="42">
        <v>1</v>
      </c>
      <c r="BA35" s="42">
        <v>0</v>
      </c>
      <c r="BB35" s="301">
        <v>154</v>
      </c>
      <c r="BC35" s="247">
        <v>668</v>
      </c>
      <c r="BD35" s="244">
        <v>176</v>
      </c>
      <c r="BE35" s="399">
        <v>4</v>
      </c>
      <c r="BF35" s="288">
        <f t="shared" si="18"/>
        <v>2672</v>
      </c>
      <c r="BG35" s="336">
        <f t="shared" si="19"/>
        <v>18704</v>
      </c>
      <c r="BH35" s="43">
        <v>4</v>
      </c>
      <c r="BI35" s="50">
        <v>700000</v>
      </c>
      <c r="BJ35" s="42">
        <v>0</v>
      </c>
      <c r="BK35" s="42">
        <v>0</v>
      </c>
      <c r="BL35" s="42">
        <v>0</v>
      </c>
      <c r="BM35" s="301">
        <v>250</v>
      </c>
      <c r="BN35" s="247">
        <v>704</v>
      </c>
      <c r="BO35" s="244">
        <v>186</v>
      </c>
      <c r="BP35" s="399">
        <v>4</v>
      </c>
      <c r="BQ35" s="288">
        <f t="shared" si="9"/>
        <v>2816</v>
      </c>
      <c r="BR35" s="336">
        <f t="shared" si="10"/>
        <v>19712</v>
      </c>
      <c r="BS35" s="43">
        <v>5</v>
      </c>
      <c r="BT35" s="50">
        <v>875000</v>
      </c>
      <c r="BU35" s="42">
        <v>0</v>
      </c>
      <c r="BV35" s="42">
        <v>0</v>
      </c>
      <c r="BW35" s="42">
        <v>1</v>
      </c>
      <c r="BX35" s="301">
        <v>352</v>
      </c>
      <c r="BY35" s="75">
        <v>5</v>
      </c>
      <c r="BZ35" s="378" t="s">
        <v>43</v>
      </c>
      <c r="CA35" s="236">
        <v>10000</v>
      </c>
      <c r="CB35" s="366">
        <v>30000</v>
      </c>
      <c r="CC35" s="326">
        <v>60000</v>
      </c>
      <c r="CD35" s="326">
        <v>120000</v>
      </c>
      <c r="CE35" s="326">
        <v>240000</v>
      </c>
      <c r="CF35" s="326">
        <v>480000</v>
      </c>
      <c r="CG35" s="326">
        <v>960000</v>
      </c>
      <c r="CH35" s="326"/>
      <c r="CI35" s="326"/>
      <c r="CJ35" s="326"/>
      <c r="CK35" s="326"/>
      <c r="CL35" s="415"/>
      <c r="CM35" s="428" t="s">
        <v>43</v>
      </c>
      <c r="CN35" s="394"/>
      <c r="CO35" s="258"/>
      <c r="CP35" s="258"/>
      <c r="CQ35" s="369"/>
      <c r="CR35" s="1"/>
      <c r="CS35" s="1"/>
      <c r="CT35" s="1"/>
      <c r="CU35" s="1"/>
      <c r="CV35" s="1"/>
      <c r="CW35" s="2"/>
      <c r="CX35" s="603"/>
    </row>
    <row r="36" spans="1:102">
      <c r="A36" s="472"/>
      <c r="B36" s="39" t="s">
        <v>58</v>
      </c>
      <c r="C36" s="309" t="s">
        <v>48</v>
      </c>
      <c r="D36" s="129"/>
      <c r="E36" s="66" t="s">
        <v>43</v>
      </c>
      <c r="F36" s="40"/>
      <c r="G36" s="41"/>
      <c r="H36" s="246">
        <v>4</v>
      </c>
      <c r="I36" s="313" t="s">
        <v>283</v>
      </c>
      <c r="J36" s="138">
        <v>8</v>
      </c>
      <c r="K36" s="354">
        <v>2.5000000000000001E-2</v>
      </c>
      <c r="L36" s="319">
        <f t="shared" si="11"/>
        <v>4.4444444444444446</v>
      </c>
      <c r="M36" s="251">
        <v>30</v>
      </c>
      <c r="N36" s="373">
        <v>47</v>
      </c>
      <c r="O36" s="258" t="s">
        <v>306</v>
      </c>
      <c r="P36" s="266" t="s">
        <v>201</v>
      </c>
      <c r="Q36" s="167">
        <v>400</v>
      </c>
      <c r="R36" s="42">
        <v>90</v>
      </c>
      <c r="S36" s="154">
        <v>12800</v>
      </c>
      <c r="T36" s="372" t="s">
        <v>353</v>
      </c>
      <c r="U36" s="252" t="s">
        <v>306</v>
      </c>
      <c r="V36" s="247">
        <v>400</v>
      </c>
      <c r="W36" s="244">
        <v>90</v>
      </c>
      <c r="X36" s="399">
        <v>4</v>
      </c>
      <c r="Y36" s="288">
        <f t="shared" si="12"/>
        <v>1600</v>
      </c>
      <c r="Z36" s="336">
        <f t="shared" si="13"/>
        <v>12800</v>
      </c>
      <c r="AA36" s="43">
        <v>8</v>
      </c>
      <c r="AB36" s="42">
        <v>0</v>
      </c>
      <c r="AC36" s="42">
        <v>0</v>
      </c>
      <c r="AD36" s="42">
        <v>0</v>
      </c>
      <c r="AE36" s="42">
        <v>0</v>
      </c>
      <c r="AF36" s="334">
        <v>320</v>
      </c>
      <c r="AG36" s="247">
        <v>600</v>
      </c>
      <c r="AH36" s="244">
        <v>135</v>
      </c>
      <c r="AI36" s="399">
        <v>4</v>
      </c>
      <c r="AJ36" s="288">
        <f t="shared" si="14"/>
        <v>2400</v>
      </c>
      <c r="AK36" s="336">
        <f t="shared" si="15"/>
        <v>19200</v>
      </c>
      <c r="AL36" s="43">
        <v>2</v>
      </c>
      <c r="AM36" s="50">
        <v>800000</v>
      </c>
      <c r="AN36" s="42">
        <v>0</v>
      </c>
      <c r="AO36" s="42">
        <v>0</v>
      </c>
      <c r="AP36" s="42">
        <v>0</v>
      </c>
      <c r="AQ36" s="301">
        <v>120</v>
      </c>
      <c r="AR36" s="247">
        <v>700</v>
      </c>
      <c r="AS36" s="244">
        <v>157</v>
      </c>
      <c r="AT36" s="399">
        <v>4</v>
      </c>
      <c r="AU36" s="288">
        <f t="shared" si="16"/>
        <v>2800</v>
      </c>
      <c r="AV36" s="336">
        <f t="shared" si="17"/>
        <v>22400</v>
      </c>
      <c r="AW36" s="43">
        <v>4</v>
      </c>
      <c r="AX36" s="50">
        <v>1200000</v>
      </c>
      <c r="AY36" s="42">
        <v>0</v>
      </c>
      <c r="AZ36" s="42">
        <v>1</v>
      </c>
      <c r="BA36" s="42">
        <v>0</v>
      </c>
      <c r="BB36" s="301">
        <v>280</v>
      </c>
      <c r="BC36" s="247">
        <v>760</v>
      </c>
      <c r="BD36" s="244">
        <v>171</v>
      </c>
      <c r="BE36" s="399">
        <v>4</v>
      </c>
      <c r="BF36" s="288">
        <f t="shared" si="18"/>
        <v>3040</v>
      </c>
      <c r="BG36" s="336">
        <f t="shared" si="19"/>
        <v>24320</v>
      </c>
      <c r="BH36" s="43">
        <v>6</v>
      </c>
      <c r="BI36" s="50">
        <v>1600000</v>
      </c>
      <c r="BJ36" s="42">
        <v>0</v>
      </c>
      <c r="BK36" s="42">
        <v>0</v>
      </c>
      <c r="BL36" s="42">
        <v>0</v>
      </c>
      <c r="BM36" s="301">
        <v>456</v>
      </c>
      <c r="BN36" s="247">
        <v>800</v>
      </c>
      <c r="BO36" s="244">
        <v>180</v>
      </c>
      <c r="BP36" s="399">
        <v>4</v>
      </c>
      <c r="BQ36" s="288">
        <f t="shared" si="9"/>
        <v>3200</v>
      </c>
      <c r="BR36" s="336">
        <f t="shared" si="10"/>
        <v>25600</v>
      </c>
      <c r="BS36" s="43">
        <v>8</v>
      </c>
      <c r="BT36" s="50">
        <v>2000000</v>
      </c>
      <c r="BU36" s="42">
        <v>0</v>
      </c>
      <c r="BV36" s="42">
        <v>0</v>
      </c>
      <c r="BW36" s="42">
        <v>1</v>
      </c>
      <c r="BX36" s="301">
        <v>640</v>
      </c>
      <c r="BY36" s="75">
        <v>8</v>
      </c>
      <c r="BZ36" s="378" t="s">
        <v>43</v>
      </c>
      <c r="CA36" s="236">
        <v>10000</v>
      </c>
      <c r="CB36" s="366">
        <v>100000</v>
      </c>
      <c r="CC36" s="326">
        <v>200000</v>
      </c>
      <c r="CD36" s="326">
        <v>400000</v>
      </c>
      <c r="CE36" s="326">
        <v>800000</v>
      </c>
      <c r="CF36" s="326"/>
      <c r="CG36" s="326"/>
      <c r="CH36" s="326"/>
      <c r="CI36" s="326"/>
      <c r="CJ36" s="326"/>
      <c r="CK36" s="326"/>
      <c r="CL36" s="415"/>
      <c r="CM36" s="428" t="s">
        <v>43</v>
      </c>
      <c r="CN36" s="394"/>
      <c r="CO36" s="258"/>
      <c r="CP36" s="258"/>
      <c r="CQ36" s="369"/>
      <c r="CR36" s="1"/>
      <c r="CS36" s="1"/>
      <c r="CT36" s="1"/>
      <c r="CU36" s="1"/>
      <c r="CV36" s="1"/>
      <c r="CW36" s="2"/>
      <c r="CX36" s="603"/>
    </row>
    <row r="37" spans="1:102">
      <c r="A37" s="472"/>
      <c r="B37" s="39" t="s">
        <v>101</v>
      </c>
      <c r="C37" s="309" t="s">
        <v>48</v>
      </c>
      <c r="D37" s="129" t="s">
        <v>109</v>
      </c>
      <c r="E37" s="66" t="s">
        <v>43</v>
      </c>
      <c r="F37" s="40"/>
      <c r="G37" s="41"/>
      <c r="H37" s="246">
        <v>6</v>
      </c>
      <c r="I37" s="313" t="s">
        <v>283</v>
      </c>
      <c r="J37" s="138">
        <v>8</v>
      </c>
      <c r="K37" s="354">
        <v>2.5000000000000001E-2</v>
      </c>
      <c r="L37" s="319">
        <f t="shared" si="11"/>
        <v>4.354166666666667</v>
      </c>
      <c r="M37" s="251">
        <v>30</v>
      </c>
      <c r="N37" s="373">
        <v>55</v>
      </c>
      <c r="O37" s="258" t="s">
        <v>306</v>
      </c>
      <c r="P37" s="266" t="s">
        <v>201</v>
      </c>
      <c r="Q37" s="167">
        <v>836</v>
      </c>
      <c r="R37" s="42">
        <v>192</v>
      </c>
      <c r="S37" s="154">
        <v>53504</v>
      </c>
      <c r="T37" s="372" t="s">
        <v>354</v>
      </c>
      <c r="U37" s="252" t="s">
        <v>306</v>
      </c>
      <c r="V37" s="247">
        <v>836</v>
      </c>
      <c r="W37" s="244">
        <v>192</v>
      </c>
      <c r="X37" s="399">
        <v>8</v>
      </c>
      <c r="Y37" s="288">
        <f t="shared" si="12"/>
        <v>6688</v>
      </c>
      <c r="Z37" s="336">
        <f t="shared" si="13"/>
        <v>53504</v>
      </c>
      <c r="AA37" s="43">
        <f>2*24</f>
        <v>48</v>
      </c>
      <c r="AB37" s="42">
        <v>0</v>
      </c>
      <c r="AC37" s="42">
        <v>0</v>
      </c>
      <c r="AD37" s="42">
        <v>0</v>
      </c>
      <c r="AE37" s="42">
        <v>0</v>
      </c>
      <c r="AF37" s="334">
        <v>8025</v>
      </c>
      <c r="AG37" s="247">
        <v>1254</v>
      </c>
      <c r="AH37" s="244">
        <v>288</v>
      </c>
      <c r="AI37" s="399">
        <v>8</v>
      </c>
      <c r="AJ37" s="288">
        <f t="shared" si="14"/>
        <v>10032</v>
      </c>
      <c r="AK37" s="336">
        <f t="shared" si="15"/>
        <v>80256</v>
      </c>
      <c r="AL37" s="43">
        <v>12</v>
      </c>
      <c r="AM37" s="50">
        <v>2000000</v>
      </c>
      <c r="AN37" s="42">
        <v>0</v>
      </c>
      <c r="AO37" s="42">
        <v>0</v>
      </c>
      <c r="AP37" s="42">
        <v>0</v>
      </c>
      <c r="AQ37" s="301">
        <v>3009</v>
      </c>
      <c r="AR37" s="247">
        <v>1463</v>
      </c>
      <c r="AS37" s="244">
        <v>336</v>
      </c>
      <c r="AT37" s="399">
        <v>9</v>
      </c>
      <c r="AU37" s="288">
        <f t="shared" si="16"/>
        <v>13167</v>
      </c>
      <c r="AV37" s="336">
        <f t="shared" si="17"/>
        <v>105336</v>
      </c>
      <c r="AW37" s="43">
        <v>24</v>
      </c>
      <c r="AX37" s="50">
        <v>3000000</v>
      </c>
      <c r="AY37" s="42">
        <v>0</v>
      </c>
      <c r="AZ37" s="42">
        <v>1</v>
      </c>
      <c r="BA37" s="42">
        <v>0</v>
      </c>
      <c r="BB37" s="301">
        <v>7900</v>
      </c>
      <c r="BC37" s="247">
        <v>1588</v>
      </c>
      <c r="BD37" s="244">
        <v>364</v>
      </c>
      <c r="BE37" s="399">
        <v>9</v>
      </c>
      <c r="BF37" s="288">
        <f t="shared" si="18"/>
        <v>14292</v>
      </c>
      <c r="BG37" s="336">
        <f t="shared" si="19"/>
        <v>114336</v>
      </c>
      <c r="BH37" s="43">
        <f>1*24+12</f>
        <v>36</v>
      </c>
      <c r="BI37" s="50">
        <v>4000000</v>
      </c>
      <c r="BJ37" s="42">
        <v>0</v>
      </c>
      <c r="BK37" s="42">
        <v>0</v>
      </c>
      <c r="BL37" s="42">
        <v>0</v>
      </c>
      <c r="BM37" s="301">
        <v>10000</v>
      </c>
      <c r="BN37" s="247">
        <v>1672</v>
      </c>
      <c r="BO37" s="244">
        <v>384</v>
      </c>
      <c r="BP37" s="399">
        <v>9</v>
      </c>
      <c r="BQ37" s="288">
        <f t="shared" si="9"/>
        <v>15048</v>
      </c>
      <c r="BR37" s="336">
        <f t="shared" si="10"/>
        <v>120384</v>
      </c>
      <c r="BS37" s="43">
        <f>2*24</f>
        <v>48</v>
      </c>
      <c r="BT37" s="50">
        <v>5000000</v>
      </c>
      <c r="BU37" s="42">
        <v>0</v>
      </c>
      <c r="BV37" s="42">
        <v>0</v>
      </c>
      <c r="BW37" s="42">
        <v>1</v>
      </c>
      <c r="BX37" s="301">
        <v>10000</v>
      </c>
      <c r="BY37" s="75">
        <v>46</v>
      </c>
      <c r="BZ37" s="378" t="s">
        <v>43</v>
      </c>
      <c r="CA37" s="236">
        <v>10000</v>
      </c>
      <c r="CB37" s="366">
        <v>500000</v>
      </c>
      <c r="CC37" s="326">
        <v>1000000</v>
      </c>
      <c r="CD37" s="326"/>
      <c r="CE37" s="326"/>
      <c r="CF37" s="326"/>
      <c r="CG37" s="326"/>
      <c r="CH37" s="326"/>
      <c r="CI37" s="326"/>
      <c r="CJ37" s="326"/>
      <c r="CK37" s="326"/>
      <c r="CL37" s="415"/>
      <c r="CM37" s="428" t="s">
        <v>43</v>
      </c>
      <c r="CN37" s="394"/>
      <c r="CO37" s="258"/>
      <c r="CP37" s="258"/>
      <c r="CQ37" s="369"/>
      <c r="CR37" s="1"/>
      <c r="CS37" s="1"/>
      <c r="CT37" s="1"/>
      <c r="CU37" s="1"/>
      <c r="CV37" s="1"/>
      <c r="CW37" s="2"/>
      <c r="CX37" s="603"/>
    </row>
    <row r="38" spans="1:102">
      <c r="A38" s="472"/>
      <c r="B38" s="39" t="s">
        <v>126</v>
      </c>
      <c r="C38" s="309" t="s">
        <v>48</v>
      </c>
      <c r="D38" s="129" t="s">
        <v>35</v>
      </c>
      <c r="E38" s="66" t="s">
        <v>43</v>
      </c>
      <c r="F38" s="40"/>
      <c r="G38" s="41"/>
      <c r="H38" s="246">
        <v>6</v>
      </c>
      <c r="I38" s="313" t="s">
        <v>283</v>
      </c>
      <c r="J38" s="138">
        <v>9</v>
      </c>
      <c r="K38" s="354">
        <v>2.5000000000000001E-2</v>
      </c>
      <c r="L38" s="319">
        <f t="shared" si="11"/>
        <v>4.9641025641025642</v>
      </c>
      <c r="M38" s="251">
        <v>30</v>
      </c>
      <c r="N38" s="373">
        <v>59</v>
      </c>
      <c r="O38" s="258" t="s">
        <v>306</v>
      </c>
      <c r="P38" s="266" t="s">
        <v>201</v>
      </c>
      <c r="Q38" s="167">
        <v>968</v>
      </c>
      <c r="R38" s="42">
        <v>195</v>
      </c>
      <c r="S38" s="154">
        <v>78408</v>
      </c>
      <c r="T38" s="372" t="s">
        <v>355</v>
      </c>
      <c r="U38" s="252" t="s">
        <v>306</v>
      </c>
      <c r="V38" s="247">
        <v>968</v>
      </c>
      <c r="W38" s="244">
        <v>195</v>
      </c>
      <c r="X38" s="399">
        <v>9</v>
      </c>
      <c r="Y38" s="288">
        <f t="shared" si="12"/>
        <v>8712</v>
      </c>
      <c r="Z38" s="336">
        <f t="shared" si="13"/>
        <v>78408</v>
      </c>
      <c r="AA38" s="43">
        <f>5*24</f>
        <v>120</v>
      </c>
      <c r="AB38" s="42">
        <v>0</v>
      </c>
      <c r="AC38" s="42">
        <v>0</v>
      </c>
      <c r="AD38" s="42">
        <v>0</v>
      </c>
      <c r="AE38" s="42">
        <v>0</v>
      </c>
      <c r="AF38" s="334">
        <v>10000</v>
      </c>
      <c r="AG38" s="247">
        <v>1452</v>
      </c>
      <c r="AH38" s="244">
        <v>292</v>
      </c>
      <c r="AI38" s="399">
        <v>9</v>
      </c>
      <c r="AJ38" s="288">
        <f t="shared" si="14"/>
        <v>13068</v>
      </c>
      <c r="AK38" s="336">
        <f t="shared" si="15"/>
        <v>117612</v>
      </c>
      <c r="AL38" s="43">
        <f>1*24+6</f>
        <v>30</v>
      </c>
      <c r="AM38" s="50">
        <v>4500000</v>
      </c>
      <c r="AN38" s="42">
        <v>0</v>
      </c>
      <c r="AO38" s="42">
        <v>0</v>
      </c>
      <c r="AP38" s="42">
        <v>0</v>
      </c>
      <c r="AQ38" s="301">
        <v>9801</v>
      </c>
      <c r="AR38" s="247">
        <v>1694</v>
      </c>
      <c r="AS38" s="244">
        <v>341</v>
      </c>
      <c r="AT38" s="399">
        <v>10</v>
      </c>
      <c r="AU38" s="288">
        <f t="shared" si="16"/>
        <v>16940</v>
      </c>
      <c r="AV38" s="336">
        <f t="shared" si="17"/>
        <v>152460</v>
      </c>
      <c r="AW38" s="43">
        <f>2*24+12</f>
        <v>60</v>
      </c>
      <c r="AX38" s="50">
        <v>6750000</v>
      </c>
      <c r="AY38" s="42">
        <v>0</v>
      </c>
      <c r="AZ38" s="42">
        <v>1</v>
      </c>
      <c r="BA38" s="42">
        <v>0</v>
      </c>
      <c r="BB38" s="301">
        <v>10000</v>
      </c>
      <c r="BC38" s="247">
        <v>1839</v>
      </c>
      <c r="BD38" s="244">
        <v>370</v>
      </c>
      <c r="BE38" s="399">
        <v>10</v>
      </c>
      <c r="BF38" s="288">
        <f t="shared" si="18"/>
        <v>18390</v>
      </c>
      <c r="BG38" s="336">
        <f t="shared" si="19"/>
        <v>165510</v>
      </c>
      <c r="BH38" s="43">
        <f>3*24+18</f>
        <v>90</v>
      </c>
      <c r="BI38" s="50">
        <v>9000000</v>
      </c>
      <c r="BJ38" s="42">
        <v>0</v>
      </c>
      <c r="BK38" s="42">
        <v>0</v>
      </c>
      <c r="BL38" s="42">
        <v>0</v>
      </c>
      <c r="BM38" s="301">
        <v>10000</v>
      </c>
      <c r="BN38" s="247">
        <v>1936</v>
      </c>
      <c r="BO38" s="244">
        <v>390</v>
      </c>
      <c r="BP38" s="399">
        <v>10</v>
      </c>
      <c r="BQ38" s="288">
        <f t="shared" si="9"/>
        <v>19360</v>
      </c>
      <c r="BR38" s="336">
        <f t="shared" si="10"/>
        <v>174240</v>
      </c>
      <c r="BS38" s="43">
        <f>5*24</f>
        <v>120</v>
      </c>
      <c r="BT38" s="50">
        <v>11250000</v>
      </c>
      <c r="BU38" s="42">
        <v>0</v>
      </c>
      <c r="BV38" s="42">
        <v>0</v>
      </c>
      <c r="BW38" s="42">
        <v>1</v>
      </c>
      <c r="BX38" s="301">
        <v>10000</v>
      </c>
      <c r="BY38" s="75">
        <v>115</v>
      </c>
      <c r="BZ38" s="378" t="s">
        <v>43</v>
      </c>
      <c r="CA38" s="236">
        <v>10000</v>
      </c>
      <c r="CB38" s="366">
        <v>1000000</v>
      </c>
      <c r="CC38" s="326">
        <v>2000000</v>
      </c>
      <c r="CD38" s="326">
        <v>4000000</v>
      </c>
      <c r="CE38" s="326">
        <v>8000000</v>
      </c>
      <c r="CF38" s="326"/>
      <c r="CG38" s="326"/>
      <c r="CH38" s="326"/>
      <c r="CI38" s="326"/>
      <c r="CJ38" s="326"/>
      <c r="CK38" s="326"/>
      <c r="CL38" s="415"/>
      <c r="CM38" s="428" t="s">
        <v>43</v>
      </c>
      <c r="CN38" s="394"/>
      <c r="CO38" s="258"/>
      <c r="CP38" s="258"/>
      <c r="CQ38" s="369"/>
      <c r="CR38" s="1"/>
      <c r="CS38" s="1"/>
      <c r="CT38" s="1"/>
      <c r="CU38" s="1"/>
      <c r="CV38" s="1"/>
      <c r="CW38" s="2"/>
      <c r="CX38" s="603"/>
    </row>
    <row r="39" spans="1:102">
      <c r="A39" s="472"/>
      <c r="B39" s="39" t="s">
        <v>114</v>
      </c>
      <c r="C39" s="309" t="s">
        <v>48</v>
      </c>
      <c r="D39" s="129"/>
      <c r="E39" s="66" t="s">
        <v>138</v>
      </c>
      <c r="F39" s="40"/>
      <c r="G39" s="41"/>
      <c r="H39" s="246">
        <v>7</v>
      </c>
      <c r="I39" s="313" t="s">
        <v>269</v>
      </c>
      <c r="J39" s="138">
        <v>1.5</v>
      </c>
      <c r="K39" s="354">
        <v>2.5000000000000001E-2</v>
      </c>
      <c r="L39" s="319">
        <f t="shared" ref="L39:L44" si="20">IF(ISBLANK(Q39),"",Q39/R39)</f>
        <v>5</v>
      </c>
      <c r="M39" s="251">
        <v>30</v>
      </c>
      <c r="N39" s="373">
        <v>7001</v>
      </c>
      <c r="O39" s="361">
        <v>42184</v>
      </c>
      <c r="P39" s="266" t="s">
        <v>201</v>
      </c>
      <c r="Q39" s="167">
        <v>500</v>
      </c>
      <c r="R39" s="42">
        <v>100</v>
      </c>
      <c r="S39" s="154">
        <v>3750</v>
      </c>
      <c r="T39" s="372" t="s">
        <v>356</v>
      </c>
      <c r="U39" s="252" t="s">
        <v>306</v>
      </c>
      <c r="V39" s="247">
        <v>500</v>
      </c>
      <c r="W39" s="244">
        <v>100</v>
      </c>
      <c r="X39" s="399">
        <v>5</v>
      </c>
      <c r="Y39" s="288">
        <f t="shared" ref="Y39:Y44" si="21">IF(ISBLANK(X39), "",INT(V39*X39))</f>
        <v>2500</v>
      </c>
      <c r="Z39" s="336">
        <f t="shared" ref="Z39:Z44" si="22">IF(ISBLANK(X39),"",INT(Y39*$J39))</f>
        <v>3750</v>
      </c>
      <c r="AA39" s="43">
        <f>5*24</f>
        <v>120</v>
      </c>
      <c r="AB39" s="42">
        <v>0</v>
      </c>
      <c r="AC39" s="42">
        <v>0</v>
      </c>
      <c r="AD39" s="42">
        <v>0</v>
      </c>
      <c r="AE39" s="42">
        <v>0</v>
      </c>
      <c r="AF39" s="334">
        <v>10000</v>
      </c>
      <c r="AG39" s="247">
        <v>750</v>
      </c>
      <c r="AH39" s="244">
        <v>150</v>
      </c>
      <c r="AI39" s="399">
        <v>5</v>
      </c>
      <c r="AJ39" s="288">
        <f t="shared" ref="AJ39:AJ44" si="23">IF(ISBLANK(AI39), "",INT(AG39*AI39))</f>
        <v>3750</v>
      </c>
      <c r="AK39" s="336">
        <f t="shared" ref="AK39:AK44" si="24">IF(ISBLANK(AI39),"",INT(AJ39*$J39))</f>
        <v>5625</v>
      </c>
      <c r="AL39" s="43">
        <f>1*24+6</f>
        <v>30</v>
      </c>
      <c r="AM39" s="50">
        <v>670000</v>
      </c>
      <c r="AN39" s="42">
        <v>0</v>
      </c>
      <c r="AO39" s="42">
        <v>0</v>
      </c>
      <c r="AP39" s="42">
        <v>1</v>
      </c>
      <c r="AQ39" s="301">
        <v>10000</v>
      </c>
      <c r="AR39" s="247">
        <v>875</v>
      </c>
      <c r="AS39" s="244">
        <v>175</v>
      </c>
      <c r="AT39" s="399">
        <v>5</v>
      </c>
      <c r="AU39" s="288">
        <f t="shared" ref="AU39:AU44" si="25">IF(ISBLANK(AT39), "",INT(AR39*AT39))</f>
        <v>4375</v>
      </c>
      <c r="AV39" s="336">
        <f t="shared" ref="AV39:AV44" si="26">IF(ISBLANK(AT39),"",INT(AU39*$J39))</f>
        <v>6562</v>
      </c>
      <c r="AW39" s="43">
        <f>2*24+12</f>
        <v>60</v>
      </c>
      <c r="AX39" s="50">
        <v>1000000</v>
      </c>
      <c r="AY39" s="42">
        <v>0</v>
      </c>
      <c r="AZ39" s="42">
        <v>0</v>
      </c>
      <c r="BA39" s="42">
        <v>2</v>
      </c>
      <c r="BB39" s="301">
        <v>10000</v>
      </c>
      <c r="BC39" s="247">
        <v>948</v>
      </c>
      <c r="BD39" s="244">
        <v>190</v>
      </c>
      <c r="BE39" s="399">
        <v>5</v>
      </c>
      <c r="BF39" s="288">
        <f t="shared" ref="BF39:BF44" si="27">IF(ISBLANK(BE39), "",INT(BC39*BE39))</f>
        <v>4740</v>
      </c>
      <c r="BG39" s="336">
        <f t="shared" ref="BG39:BG44" si="28">IF(ISBLANK(BE39),"",INT(BF39*$J39))</f>
        <v>7110</v>
      </c>
      <c r="BH39" s="43">
        <f>3*24+18</f>
        <v>90</v>
      </c>
      <c r="BI39" s="50">
        <v>1300000</v>
      </c>
      <c r="BJ39" s="42">
        <v>0</v>
      </c>
      <c r="BK39" s="42">
        <v>0</v>
      </c>
      <c r="BL39" s="42">
        <v>3</v>
      </c>
      <c r="BM39" s="301">
        <v>10000</v>
      </c>
      <c r="BN39" s="247">
        <v>1000</v>
      </c>
      <c r="BO39" s="244">
        <v>200</v>
      </c>
      <c r="BP39" s="399">
        <v>5</v>
      </c>
      <c r="BQ39" s="288">
        <f t="shared" ref="BQ39:BQ62" si="29">IF(ISBLANK(BP39), "",INT(BN39*BP39))</f>
        <v>5000</v>
      </c>
      <c r="BR39" s="336">
        <f t="shared" ref="BR39:BR62" si="30">IF(ISBLANK(BP39),"",INT(BQ39*$J39))</f>
        <v>7500</v>
      </c>
      <c r="BS39" s="43">
        <f>5*24</f>
        <v>120</v>
      </c>
      <c r="BT39" s="50">
        <v>1700000</v>
      </c>
      <c r="BU39" s="42">
        <v>0</v>
      </c>
      <c r="BV39" s="42">
        <v>0</v>
      </c>
      <c r="BW39" s="42">
        <v>5</v>
      </c>
      <c r="BX39" s="301">
        <v>10000</v>
      </c>
      <c r="BY39" s="75">
        <v>115</v>
      </c>
      <c r="BZ39" s="378" t="s">
        <v>43</v>
      </c>
      <c r="CA39" s="236">
        <v>10000</v>
      </c>
      <c r="CB39" s="366">
        <v>100000</v>
      </c>
      <c r="CC39" s="326">
        <v>200000</v>
      </c>
      <c r="CD39" s="326">
        <v>400000</v>
      </c>
      <c r="CE39" s="326">
        <v>800000</v>
      </c>
      <c r="CF39" s="326"/>
      <c r="CG39" s="326"/>
      <c r="CH39" s="326"/>
      <c r="CI39" s="326"/>
      <c r="CJ39" s="326"/>
      <c r="CK39" s="326"/>
      <c r="CL39" s="415"/>
      <c r="CM39" s="428" t="s">
        <v>43</v>
      </c>
      <c r="CN39" s="394"/>
      <c r="CO39" s="258"/>
      <c r="CP39" s="258"/>
      <c r="CQ39" s="369"/>
      <c r="CR39" s="1"/>
      <c r="CS39" s="1"/>
      <c r="CT39" s="1"/>
      <c r="CU39" s="1"/>
      <c r="CV39" s="1"/>
      <c r="CW39" s="2"/>
      <c r="CX39" s="603"/>
    </row>
    <row r="40" spans="1:102">
      <c r="A40" s="472"/>
      <c r="B40" s="39" t="s">
        <v>135</v>
      </c>
      <c r="C40" s="309" t="s">
        <v>48</v>
      </c>
      <c r="D40" s="129"/>
      <c r="E40" s="66"/>
      <c r="F40" s="40" t="s">
        <v>115</v>
      </c>
      <c r="G40" s="41" t="s">
        <v>115</v>
      </c>
      <c r="H40" s="246">
        <v>7</v>
      </c>
      <c r="I40" s="313" t="s">
        <v>269</v>
      </c>
      <c r="J40" s="138">
        <v>1.5</v>
      </c>
      <c r="K40" s="354">
        <v>2.5000000000000001E-2</v>
      </c>
      <c r="L40" s="319">
        <f t="shared" si="20"/>
        <v>5</v>
      </c>
      <c r="M40" s="251">
        <v>30</v>
      </c>
      <c r="N40" s="373">
        <v>7006</v>
      </c>
      <c r="O40" s="361">
        <v>42184</v>
      </c>
      <c r="P40" s="266" t="s">
        <v>201</v>
      </c>
      <c r="Q40" s="167">
        <v>550</v>
      </c>
      <c r="R40" s="42">
        <v>110</v>
      </c>
      <c r="S40" s="154">
        <v>4125</v>
      </c>
      <c r="T40" s="372" t="s">
        <v>357</v>
      </c>
      <c r="U40" s="252" t="s">
        <v>306</v>
      </c>
      <c r="V40" s="247">
        <v>550</v>
      </c>
      <c r="W40" s="244">
        <v>110</v>
      </c>
      <c r="X40" s="399">
        <v>5</v>
      </c>
      <c r="Y40" s="288">
        <f t="shared" si="21"/>
        <v>2750</v>
      </c>
      <c r="Z40" s="336">
        <f t="shared" si="22"/>
        <v>4125</v>
      </c>
      <c r="AA40" s="43">
        <f>6*24</f>
        <v>144</v>
      </c>
      <c r="AB40" s="42">
        <v>0</v>
      </c>
      <c r="AC40" s="42">
        <v>0</v>
      </c>
      <c r="AD40" s="42">
        <v>0</v>
      </c>
      <c r="AE40" s="42">
        <v>0</v>
      </c>
      <c r="AF40" s="334">
        <v>10000</v>
      </c>
      <c r="AG40" s="247">
        <v>825</v>
      </c>
      <c r="AH40" s="244">
        <v>165</v>
      </c>
      <c r="AI40" s="399">
        <v>5</v>
      </c>
      <c r="AJ40" s="288">
        <f t="shared" si="23"/>
        <v>4125</v>
      </c>
      <c r="AK40" s="336">
        <f t="shared" si="24"/>
        <v>6187</v>
      </c>
      <c r="AL40" s="43">
        <f>1*24+12</f>
        <v>36</v>
      </c>
      <c r="AM40" s="50">
        <v>1700000</v>
      </c>
      <c r="AN40" s="42">
        <v>0</v>
      </c>
      <c r="AO40" s="42">
        <v>0</v>
      </c>
      <c r="AP40" s="42">
        <v>1</v>
      </c>
      <c r="AQ40" s="1025">
        <v>10000</v>
      </c>
      <c r="AR40" s="247">
        <v>963</v>
      </c>
      <c r="AS40" s="244">
        <v>193</v>
      </c>
      <c r="AT40" s="399">
        <v>5</v>
      </c>
      <c r="AU40" s="288">
        <f t="shared" si="25"/>
        <v>4815</v>
      </c>
      <c r="AV40" s="336">
        <f t="shared" si="26"/>
        <v>7222</v>
      </c>
      <c r="AW40" s="43">
        <f>3*24</f>
        <v>72</v>
      </c>
      <c r="AX40" s="50">
        <v>2500000</v>
      </c>
      <c r="AY40" s="42">
        <v>0</v>
      </c>
      <c r="AZ40" s="42">
        <v>0</v>
      </c>
      <c r="BA40" s="42">
        <v>2</v>
      </c>
      <c r="BB40" s="1025">
        <v>10000</v>
      </c>
      <c r="BC40" s="247">
        <v>1043</v>
      </c>
      <c r="BD40" s="244">
        <v>209</v>
      </c>
      <c r="BE40" s="399">
        <v>5</v>
      </c>
      <c r="BF40" s="288">
        <f t="shared" si="27"/>
        <v>5215</v>
      </c>
      <c r="BG40" s="336">
        <f t="shared" si="28"/>
        <v>7822</v>
      </c>
      <c r="BH40" s="43">
        <f>4*24+12</f>
        <v>108</v>
      </c>
      <c r="BI40" s="50">
        <v>3300000</v>
      </c>
      <c r="BJ40" s="42">
        <v>0</v>
      </c>
      <c r="BK40" s="42">
        <v>0</v>
      </c>
      <c r="BL40" s="42">
        <v>3</v>
      </c>
      <c r="BM40" s="276">
        <v>10000</v>
      </c>
      <c r="BN40" s="247">
        <v>1100</v>
      </c>
      <c r="BO40" s="244">
        <v>220</v>
      </c>
      <c r="BP40" s="399">
        <v>5</v>
      </c>
      <c r="BQ40" s="288">
        <f t="shared" si="29"/>
        <v>5500</v>
      </c>
      <c r="BR40" s="336">
        <f t="shared" si="30"/>
        <v>8250</v>
      </c>
      <c r="BS40" s="43">
        <f>6*24</f>
        <v>144</v>
      </c>
      <c r="BT40" s="50">
        <v>4200000</v>
      </c>
      <c r="BU40" s="42">
        <v>0</v>
      </c>
      <c r="BV40" s="42">
        <v>0</v>
      </c>
      <c r="BW40" s="42">
        <v>5</v>
      </c>
      <c r="BX40" s="276">
        <v>10000</v>
      </c>
      <c r="BY40" s="365">
        <v>137</v>
      </c>
      <c r="BZ40" s="378" t="s">
        <v>43</v>
      </c>
      <c r="CA40" s="236">
        <v>10000</v>
      </c>
      <c r="CB40" s="366">
        <v>250000</v>
      </c>
      <c r="CC40" s="326">
        <v>500000</v>
      </c>
      <c r="CD40" s="326">
        <v>1000000</v>
      </c>
      <c r="CE40" s="326"/>
      <c r="CF40" s="326"/>
      <c r="CG40" s="326"/>
      <c r="CH40" s="326"/>
      <c r="CI40" s="326"/>
      <c r="CJ40" s="326"/>
      <c r="CK40" s="326"/>
      <c r="CL40" s="415"/>
      <c r="CM40" s="428" t="s">
        <v>43</v>
      </c>
      <c r="CN40" s="394"/>
      <c r="CO40" s="258"/>
      <c r="CP40" s="258"/>
      <c r="CQ40" s="369"/>
      <c r="CR40" s="1"/>
      <c r="CS40" s="1"/>
      <c r="CT40" s="1"/>
      <c r="CU40" s="1"/>
      <c r="CV40" s="1"/>
      <c r="CW40" s="2"/>
      <c r="CX40" s="603"/>
    </row>
    <row r="41" spans="1:102">
      <c r="A41" s="472"/>
      <c r="B41" s="39" t="s">
        <v>213</v>
      </c>
      <c r="C41" s="309" t="s">
        <v>48</v>
      </c>
      <c r="D41" s="129"/>
      <c r="E41" s="66" t="s">
        <v>43</v>
      </c>
      <c r="F41" s="40"/>
      <c r="G41" s="41"/>
      <c r="H41" s="246">
        <v>7</v>
      </c>
      <c r="I41" s="313" t="s">
        <v>269</v>
      </c>
      <c r="J41" s="138">
        <v>6</v>
      </c>
      <c r="K41" s="354">
        <v>2.5000000000000001E-2</v>
      </c>
      <c r="L41" s="319">
        <f t="shared" si="20"/>
        <v>6.3492063492063489</v>
      </c>
      <c r="M41" s="251">
        <v>30</v>
      </c>
      <c r="N41" s="373">
        <v>7010</v>
      </c>
      <c r="O41" s="361">
        <v>42348</v>
      </c>
      <c r="P41" s="266" t="s">
        <v>206</v>
      </c>
      <c r="Q41" s="380">
        <v>1600</v>
      </c>
      <c r="R41" s="389">
        <v>252</v>
      </c>
      <c r="S41" s="305">
        <v>48000</v>
      </c>
      <c r="T41" s="372" t="s">
        <v>358</v>
      </c>
      <c r="U41" s="252" t="s">
        <v>306</v>
      </c>
      <c r="V41" s="247">
        <v>534</v>
      </c>
      <c r="W41" s="244">
        <v>84</v>
      </c>
      <c r="X41" s="399">
        <v>5</v>
      </c>
      <c r="Y41" s="288">
        <f t="shared" si="21"/>
        <v>2670</v>
      </c>
      <c r="Z41" s="336">
        <f t="shared" si="22"/>
        <v>16020</v>
      </c>
      <c r="AA41" s="43">
        <v>6</v>
      </c>
      <c r="AB41" s="42">
        <v>0</v>
      </c>
      <c r="AC41" s="42">
        <v>0</v>
      </c>
      <c r="AD41" s="42">
        <v>0</v>
      </c>
      <c r="AE41" s="42">
        <v>0</v>
      </c>
      <c r="AF41" s="334">
        <v>10000</v>
      </c>
      <c r="AG41" s="247">
        <v>667</v>
      </c>
      <c r="AH41" s="244">
        <v>105</v>
      </c>
      <c r="AI41" s="399">
        <v>5</v>
      </c>
      <c r="AJ41" s="288">
        <f t="shared" si="23"/>
        <v>3335</v>
      </c>
      <c r="AK41" s="336">
        <f t="shared" si="24"/>
        <v>20010</v>
      </c>
      <c r="AL41" s="43">
        <f>2*24</f>
        <v>48</v>
      </c>
      <c r="AM41" s="50">
        <v>2800000</v>
      </c>
      <c r="AN41" s="42">
        <v>0</v>
      </c>
      <c r="AO41" s="42">
        <v>0</v>
      </c>
      <c r="AP41" s="42">
        <v>3</v>
      </c>
      <c r="AQ41" s="276">
        <v>10000</v>
      </c>
      <c r="AR41" s="307">
        <v>800</v>
      </c>
      <c r="AS41" s="261">
        <v>126</v>
      </c>
      <c r="AT41" s="427">
        <v>5</v>
      </c>
      <c r="AU41" s="409">
        <f t="shared" si="25"/>
        <v>4000</v>
      </c>
      <c r="AV41" s="347">
        <f t="shared" si="26"/>
        <v>24000</v>
      </c>
      <c r="AW41" s="617">
        <v>96</v>
      </c>
      <c r="AX41" s="618">
        <f>2800000*45/30</f>
        <v>4200000</v>
      </c>
      <c r="AY41" s="389">
        <v>0</v>
      </c>
      <c r="AZ41" s="389">
        <v>0</v>
      </c>
      <c r="BA41" s="389">
        <v>5</v>
      </c>
      <c r="BB41" s="276">
        <v>10000</v>
      </c>
      <c r="BC41" s="307">
        <v>1067</v>
      </c>
      <c r="BD41" s="261">
        <v>168</v>
      </c>
      <c r="BE41" s="427">
        <v>5</v>
      </c>
      <c r="BF41" s="409">
        <f t="shared" si="27"/>
        <v>5335</v>
      </c>
      <c r="BG41" s="347">
        <f t="shared" si="28"/>
        <v>32010</v>
      </c>
      <c r="BH41" s="43"/>
      <c r="BI41" s="50"/>
      <c r="BJ41" s="42"/>
      <c r="BK41" s="42"/>
      <c r="BL41" s="42"/>
      <c r="BM41" s="276">
        <v>10000</v>
      </c>
      <c r="BN41" s="307">
        <v>1600</v>
      </c>
      <c r="BO41" s="261">
        <v>252</v>
      </c>
      <c r="BP41" s="427">
        <v>5</v>
      </c>
      <c r="BQ41" s="409">
        <f t="shared" si="29"/>
        <v>8000</v>
      </c>
      <c r="BR41" s="347">
        <f t="shared" si="30"/>
        <v>48000</v>
      </c>
      <c r="BS41" s="43"/>
      <c r="BT41" s="50"/>
      <c r="BU41" s="42"/>
      <c r="BV41" s="42"/>
      <c r="BW41" s="42"/>
      <c r="BX41" s="276">
        <v>10000</v>
      </c>
      <c r="BY41" s="75"/>
      <c r="BZ41" s="378"/>
      <c r="CA41" s="236">
        <v>10000</v>
      </c>
      <c r="CB41" s="366">
        <v>1100000</v>
      </c>
      <c r="CC41" s="326"/>
      <c r="CD41" s="326"/>
      <c r="CE41" s="326"/>
      <c r="CF41" s="326"/>
      <c r="CG41" s="326"/>
      <c r="CH41" s="326"/>
      <c r="CI41" s="326"/>
      <c r="CJ41" s="326"/>
      <c r="CK41" s="326"/>
      <c r="CL41" s="415"/>
      <c r="CM41" s="428" t="s">
        <v>43</v>
      </c>
      <c r="CN41" s="394"/>
      <c r="CO41" s="258"/>
      <c r="CP41" s="258"/>
      <c r="CQ41" s="369"/>
      <c r="CR41" s="1"/>
      <c r="CS41" s="1"/>
      <c r="CT41" s="1"/>
      <c r="CU41" s="1"/>
      <c r="CV41" s="1"/>
      <c r="CW41" s="2"/>
      <c r="CX41" s="603"/>
    </row>
    <row r="42" spans="1:102">
      <c r="A42" s="472"/>
      <c r="B42" s="39" t="s">
        <v>259</v>
      </c>
      <c r="C42" s="309" t="s">
        <v>48</v>
      </c>
      <c r="D42" s="129"/>
      <c r="E42" s="66" t="s">
        <v>43</v>
      </c>
      <c r="F42" s="40"/>
      <c r="G42" s="41"/>
      <c r="H42" s="246">
        <v>7</v>
      </c>
      <c r="I42" s="313" t="s">
        <v>269</v>
      </c>
      <c r="J42" s="138">
        <v>6</v>
      </c>
      <c r="K42" s="329">
        <v>2.5000000000000001E-2</v>
      </c>
      <c r="L42" s="319">
        <f t="shared" si="20"/>
        <v>6.4822134387351777</v>
      </c>
      <c r="M42" s="251">
        <v>30</v>
      </c>
      <c r="N42" s="263">
        <v>7015</v>
      </c>
      <c r="O42" s="361">
        <v>42384</v>
      </c>
      <c r="P42" s="266" t="s">
        <v>206</v>
      </c>
      <c r="Q42" s="167">
        <v>1640</v>
      </c>
      <c r="R42" s="42">
        <v>253</v>
      </c>
      <c r="S42" s="154">
        <v>49200</v>
      </c>
      <c r="T42" s="372" t="s">
        <v>359</v>
      </c>
      <c r="U42" s="252" t="s">
        <v>306</v>
      </c>
      <c r="V42" s="247">
        <v>547</v>
      </c>
      <c r="W42" s="244">
        <v>85</v>
      </c>
      <c r="X42" s="399">
        <v>5</v>
      </c>
      <c r="Y42" s="288">
        <f t="shared" si="21"/>
        <v>2735</v>
      </c>
      <c r="Z42" s="336">
        <f t="shared" si="22"/>
        <v>16410</v>
      </c>
      <c r="AA42" s="43">
        <v>6</v>
      </c>
      <c r="AB42" s="42">
        <v>0</v>
      </c>
      <c r="AC42" s="42">
        <v>0</v>
      </c>
      <c r="AD42" s="42">
        <v>0</v>
      </c>
      <c r="AE42" s="42">
        <v>0</v>
      </c>
      <c r="AF42" s="414">
        <v>10000</v>
      </c>
      <c r="AG42" s="307">
        <v>684</v>
      </c>
      <c r="AH42" s="261">
        <v>106</v>
      </c>
      <c r="AI42" s="399">
        <v>5</v>
      </c>
      <c r="AJ42" s="409">
        <f t="shared" si="23"/>
        <v>3420</v>
      </c>
      <c r="AK42" s="347">
        <f t="shared" si="24"/>
        <v>20520</v>
      </c>
      <c r="AL42" s="43"/>
      <c r="AM42" s="50"/>
      <c r="AN42" s="42"/>
      <c r="AO42" s="42"/>
      <c r="AP42" s="42"/>
      <c r="AQ42" s="276">
        <v>10000</v>
      </c>
      <c r="AR42" s="307">
        <v>820</v>
      </c>
      <c r="AS42" s="261">
        <v>127</v>
      </c>
      <c r="AT42" s="399">
        <v>5</v>
      </c>
      <c r="AU42" s="409">
        <f t="shared" si="25"/>
        <v>4100</v>
      </c>
      <c r="AV42" s="347">
        <f t="shared" si="26"/>
        <v>24600</v>
      </c>
      <c r="AW42" s="43"/>
      <c r="AX42" s="50"/>
      <c r="AY42" s="42"/>
      <c r="AZ42" s="42"/>
      <c r="BA42" s="42"/>
      <c r="BB42" s="276">
        <v>10000</v>
      </c>
      <c r="BC42" s="307">
        <v>1094</v>
      </c>
      <c r="BD42" s="261">
        <v>169</v>
      </c>
      <c r="BE42" s="399">
        <v>5</v>
      </c>
      <c r="BF42" s="409">
        <f t="shared" si="27"/>
        <v>5470</v>
      </c>
      <c r="BG42" s="347">
        <f t="shared" si="28"/>
        <v>32820</v>
      </c>
      <c r="BH42" s="43"/>
      <c r="BI42" s="50"/>
      <c r="BJ42" s="42"/>
      <c r="BK42" s="42"/>
      <c r="BL42" s="42"/>
      <c r="BM42" s="276">
        <v>10000</v>
      </c>
      <c r="BN42" s="247">
        <v>1640</v>
      </c>
      <c r="BO42" s="244">
        <v>253</v>
      </c>
      <c r="BP42" s="399">
        <v>5</v>
      </c>
      <c r="BQ42" s="288">
        <f t="shared" si="29"/>
        <v>8200</v>
      </c>
      <c r="BR42" s="336">
        <f t="shared" si="30"/>
        <v>49200</v>
      </c>
      <c r="BS42" s="43"/>
      <c r="BT42" s="50"/>
      <c r="BU42" s="42"/>
      <c r="BV42" s="42"/>
      <c r="BW42" s="42"/>
      <c r="BX42" s="276">
        <v>10000</v>
      </c>
      <c r="BY42" s="75"/>
      <c r="BZ42" s="378"/>
      <c r="CA42" s="236">
        <v>10000</v>
      </c>
      <c r="CB42" s="366">
        <v>1600000</v>
      </c>
      <c r="CC42" s="326"/>
      <c r="CD42" s="326"/>
      <c r="CE42" s="326"/>
      <c r="CF42" s="326"/>
      <c r="CG42" s="326"/>
      <c r="CH42" s="326"/>
      <c r="CI42" s="326"/>
      <c r="CJ42" s="326"/>
      <c r="CK42" s="326"/>
      <c r="CL42" s="415"/>
      <c r="CM42" s="428" t="s">
        <v>43</v>
      </c>
      <c r="CN42" s="394"/>
      <c r="CO42" s="258"/>
      <c r="CP42" s="258"/>
      <c r="CQ42" s="369"/>
      <c r="CR42" s="1"/>
      <c r="CS42" s="1"/>
      <c r="CT42" s="1"/>
      <c r="CU42" s="1"/>
      <c r="CV42" s="1"/>
      <c r="CW42" s="2"/>
      <c r="CX42" s="603"/>
    </row>
    <row r="43" spans="1:102" s="1132" customFormat="1">
      <c r="A43" s="472"/>
      <c r="B43" s="1126" t="s">
        <v>947</v>
      </c>
      <c r="C43" s="309" t="s">
        <v>48</v>
      </c>
      <c r="D43" s="129"/>
      <c r="E43" s="466" t="s">
        <v>43</v>
      </c>
      <c r="F43" s="457"/>
      <c r="G43" s="458"/>
      <c r="H43" s="246">
        <v>7</v>
      </c>
      <c r="I43" s="313" t="s">
        <v>269</v>
      </c>
      <c r="J43" s="138">
        <v>6</v>
      </c>
      <c r="K43" s="329">
        <v>2.5000000000000001E-2</v>
      </c>
      <c r="L43" s="319">
        <f t="shared" si="20"/>
        <v>6.5625</v>
      </c>
      <c r="M43" s="251">
        <v>30</v>
      </c>
      <c r="N43" s="263">
        <v>7020</v>
      </c>
      <c r="O43" s="361">
        <v>42415</v>
      </c>
      <c r="P43" s="266" t="s">
        <v>206</v>
      </c>
      <c r="Q43" s="167">
        <v>1680</v>
      </c>
      <c r="R43" s="459">
        <v>256</v>
      </c>
      <c r="S43" s="154">
        <v>50400</v>
      </c>
      <c r="T43" s="372" t="s">
        <v>950</v>
      </c>
      <c r="U43" s="252" t="s">
        <v>951</v>
      </c>
      <c r="V43" s="307">
        <v>560</v>
      </c>
      <c r="W43" s="261">
        <v>86</v>
      </c>
      <c r="X43" s="427">
        <v>5</v>
      </c>
      <c r="Y43" s="409">
        <f t="shared" si="21"/>
        <v>2800</v>
      </c>
      <c r="Z43" s="347">
        <f t="shared" si="22"/>
        <v>16800</v>
      </c>
      <c r="AA43" s="460"/>
      <c r="AB43" s="459"/>
      <c r="AC43" s="459"/>
      <c r="AD43" s="459"/>
      <c r="AE43" s="459"/>
      <c r="AF43" s="414">
        <v>10000</v>
      </c>
      <c r="AG43" s="307">
        <v>700</v>
      </c>
      <c r="AH43" s="261">
        <v>107</v>
      </c>
      <c r="AI43" s="427">
        <v>5</v>
      </c>
      <c r="AJ43" s="409">
        <f t="shared" si="23"/>
        <v>3500</v>
      </c>
      <c r="AK43" s="347">
        <f t="shared" si="24"/>
        <v>21000</v>
      </c>
      <c r="AL43" s="460"/>
      <c r="AM43" s="461"/>
      <c r="AN43" s="459"/>
      <c r="AO43" s="459"/>
      <c r="AP43" s="459"/>
      <c r="AQ43" s="276">
        <v>10000</v>
      </c>
      <c r="AR43" s="307">
        <v>840</v>
      </c>
      <c r="AS43" s="261">
        <v>128</v>
      </c>
      <c r="AT43" s="427">
        <v>5</v>
      </c>
      <c r="AU43" s="409">
        <f t="shared" si="25"/>
        <v>4200</v>
      </c>
      <c r="AV43" s="347">
        <f t="shared" si="26"/>
        <v>25200</v>
      </c>
      <c r="AW43" s="460"/>
      <c r="AX43" s="461"/>
      <c r="AY43" s="459"/>
      <c r="AZ43" s="459"/>
      <c r="BA43" s="459"/>
      <c r="BB43" s="276">
        <v>10000</v>
      </c>
      <c r="BC43" s="307">
        <v>1120</v>
      </c>
      <c r="BD43" s="261">
        <v>171</v>
      </c>
      <c r="BE43" s="427">
        <v>5</v>
      </c>
      <c r="BF43" s="409">
        <f t="shared" si="27"/>
        <v>5600</v>
      </c>
      <c r="BG43" s="347">
        <f t="shared" si="28"/>
        <v>33600</v>
      </c>
      <c r="BH43" s="460"/>
      <c r="BI43" s="461"/>
      <c r="BJ43" s="459"/>
      <c r="BK43" s="459"/>
      <c r="BL43" s="459"/>
      <c r="BM43" s="276">
        <v>10000</v>
      </c>
      <c r="BN43" s="376">
        <v>1680</v>
      </c>
      <c r="BO43" s="351">
        <v>256</v>
      </c>
      <c r="BP43" s="331">
        <v>5</v>
      </c>
      <c r="BQ43" s="291">
        <f t="shared" si="29"/>
        <v>8400</v>
      </c>
      <c r="BR43" s="400">
        <f t="shared" si="30"/>
        <v>50400</v>
      </c>
      <c r="BS43" s="460"/>
      <c r="BT43" s="461"/>
      <c r="BU43" s="459"/>
      <c r="BV43" s="459"/>
      <c r="BW43" s="459"/>
      <c r="BX43" s="276">
        <v>10000</v>
      </c>
      <c r="BY43" s="470"/>
      <c r="BZ43" s="378"/>
      <c r="CA43" s="236">
        <v>10000</v>
      </c>
      <c r="CB43" s="366">
        <v>2100000</v>
      </c>
      <c r="CC43" s="326"/>
      <c r="CD43" s="326"/>
      <c r="CE43" s="326"/>
      <c r="CF43" s="326"/>
      <c r="CG43" s="326"/>
      <c r="CH43" s="326"/>
      <c r="CI43" s="326"/>
      <c r="CJ43" s="326"/>
      <c r="CK43" s="326"/>
      <c r="CL43" s="415"/>
      <c r="CM43" s="428" t="s">
        <v>43</v>
      </c>
      <c r="CN43" s="394"/>
      <c r="CO43" s="258"/>
      <c r="CP43" s="258"/>
      <c r="CQ43" s="369"/>
      <c r="CR43" s="1"/>
      <c r="CS43" s="1"/>
      <c r="CT43" s="1"/>
      <c r="CU43" s="1"/>
      <c r="CV43" s="1"/>
      <c r="CW43" s="2"/>
      <c r="CX43" s="603"/>
    </row>
    <row r="44" spans="1:102">
      <c r="A44" s="472"/>
      <c r="B44" s="39" t="s">
        <v>84</v>
      </c>
      <c r="C44" s="309" t="s">
        <v>48</v>
      </c>
      <c r="D44" s="129"/>
      <c r="E44" s="66" t="s">
        <v>43</v>
      </c>
      <c r="F44" s="40"/>
      <c r="G44" s="41"/>
      <c r="H44" s="246">
        <v>4</v>
      </c>
      <c r="I44" s="313" t="s">
        <v>282</v>
      </c>
      <c r="J44" s="138">
        <v>6</v>
      </c>
      <c r="K44" s="354">
        <v>2.5000000000000001E-2</v>
      </c>
      <c r="L44" s="319">
        <f t="shared" si="20"/>
        <v>3.75</v>
      </c>
      <c r="M44" s="251">
        <v>100</v>
      </c>
      <c r="N44" s="373">
        <v>47</v>
      </c>
      <c r="O44" s="361">
        <v>42139</v>
      </c>
      <c r="P44" s="266" t="s">
        <v>201</v>
      </c>
      <c r="Q44" s="167">
        <v>300</v>
      </c>
      <c r="R44" s="42">
        <v>80</v>
      </c>
      <c r="S44" s="154">
        <v>7200</v>
      </c>
      <c r="T44" s="372" t="s">
        <v>360</v>
      </c>
      <c r="U44" s="252" t="s">
        <v>378</v>
      </c>
      <c r="V44" s="247">
        <v>300</v>
      </c>
      <c r="W44" s="244">
        <v>80</v>
      </c>
      <c r="X44" s="399">
        <v>4</v>
      </c>
      <c r="Y44" s="288">
        <f t="shared" si="21"/>
        <v>1200</v>
      </c>
      <c r="Z44" s="336">
        <f t="shared" si="22"/>
        <v>7200</v>
      </c>
      <c r="AA44" s="43">
        <v>8</v>
      </c>
      <c r="AB44" s="42">
        <v>0</v>
      </c>
      <c r="AC44" s="42">
        <v>0</v>
      </c>
      <c r="AD44" s="42">
        <v>0</v>
      </c>
      <c r="AE44" s="42">
        <v>0</v>
      </c>
      <c r="AF44" s="334">
        <v>360</v>
      </c>
      <c r="AG44" s="247">
        <v>450</v>
      </c>
      <c r="AH44" s="244">
        <v>120</v>
      </c>
      <c r="AI44" s="399">
        <v>4</v>
      </c>
      <c r="AJ44" s="288">
        <f t="shared" si="23"/>
        <v>1800</v>
      </c>
      <c r="AK44" s="336">
        <f t="shared" si="24"/>
        <v>10800</v>
      </c>
      <c r="AL44" s="43">
        <v>3</v>
      </c>
      <c r="AM44" s="50">
        <v>300000</v>
      </c>
      <c r="AN44" s="42">
        <v>0</v>
      </c>
      <c r="AO44" s="42">
        <v>0</v>
      </c>
      <c r="AP44" s="42">
        <v>0</v>
      </c>
      <c r="AQ44" s="301">
        <v>135</v>
      </c>
      <c r="AR44" s="247">
        <v>525</v>
      </c>
      <c r="AS44" s="244">
        <v>140</v>
      </c>
      <c r="AT44" s="399">
        <v>4</v>
      </c>
      <c r="AU44" s="288">
        <f t="shared" si="25"/>
        <v>2100</v>
      </c>
      <c r="AV44" s="336">
        <f t="shared" si="26"/>
        <v>12600</v>
      </c>
      <c r="AW44" s="43">
        <v>6</v>
      </c>
      <c r="AX44" s="50">
        <v>450000</v>
      </c>
      <c r="AY44" s="42">
        <v>0</v>
      </c>
      <c r="AZ44" s="42">
        <v>1</v>
      </c>
      <c r="BA44" s="42">
        <v>0</v>
      </c>
      <c r="BB44" s="301">
        <v>315</v>
      </c>
      <c r="BC44" s="247">
        <v>570</v>
      </c>
      <c r="BD44" s="244">
        <v>152</v>
      </c>
      <c r="BE44" s="399">
        <v>4</v>
      </c>
      <c r="BF44" s="288">
        <f t="shared" si="27"/>
        <v>2280</v>
      </c>
      <c r="BG44" s="336">
        <f t="shared" si="28"/>
        <v>13680</v>
      </c>
      <c r="BH44" s="43">
        <v>9</v>
      </c>
      <c r="BI44" s="50">
        <v>600000</v>
      </c>
      <c r="BJ44" s="42">
        <v>0</v>
      </c>
      <c r="BK44" s="42">
        <v>0</v>
      </c>
      <c r="BL44" s="42">
        <v>0</v>
      </c>
      <c r="BM44" s="301">
        <v>513</v>
      </c>
      <c r="BN44" s="247">
        <v>600</v>
      </c>
      <c r="BO44" s="244">
        <v>160</v>
      </c>
      <c r="BP44" s="399">
        <v>4</v>
      </c>
      <c r="BQ44" s="288">
        <f t="shared" si="29"/>
        <v>2400</v>
      </c>
      <c r="BR44" s="336">
        <f t="shared" si="30"/>
        <v>14400</v>
      </c>
      <c r="BS44" s="43">
        <v>12</v>
      </c>
      <c r="BT44" s="50">
        <v>750000</v>
      </c>
      <c r="BU44" s="42">
        <v>0</v>
      </c>
      <c r="BV44" s="42">
        <v>0</v>
      </c>
      <c r="BW44" s="42">
        <v>1</v>
      </c>
      <c r="BX44" s="301">
        <v>720</v>
      </c>
      <c r="BY44" s="75">
        <v>50</v>
      </c>
      <c r="BZ44" s="378" t="s">
        <v>43</v>
      </c>
      <c r="CA44" s="236">
        <v>2650</v>
      </c>
      <c r="CB44" s="366">
        <v>8000</v>
      </c>
      <c r="CC44" s="326">
        <v>16000</v>
      </c>
      <c r="CD44" s="326">
        <v>32000</v>
      </c>
      <c r="CE44" s="326">
        <v>64000</v>
      </c>
      <c r="CF44" s="326">
        <v>128000</v>
      </c>
      <c r="CG44" s="326">
        <v>256000</v>
      </c>
      <c r="CH44" s="326">
        <v>512000</v>
      </c>
      <c r="CI44" s="326"/>
      <c r="CJ44" s="326"/>
      <c r="CK44" s="326"/>
      <c r="CL44" s="415"/>
      <c r="CM44" s="428" t="s">
        <v>43</v>
      </c>
      <c r="CN44" s="394"/>
      <c r="CO44" s="258"/>
      <c r="CP44" s="258"/>
      <c r="CQ44" s="369"/>
      <c r="CR44" s="1"/>
      <c r="CS44" s="1"/>
      <c r="CT44" s="1"/>
      <c r="CU44" s="1"/>
      <c r="CV44" s="1"/>
      <c r="CW44" s="2"/>
      <c r="CX44" s="603"/>
    </row>
    <row r="45" spans="1:102">
      <c r="A45" s="472"/>
      <c r="B45" s="39" t="s">
        <v>112</v>
      </c>
      <c r="C45" s="309" t="s">
        <v>48</v>
      </c>
      <c r="D45" s="129"/>
      <c r="E45" s="66"/>
      <c r="F45" s="40"/>
      <c r="G45" s="41" t="s">
        <v>110</v>
      </c>
      <c r="H45" s="246">
        <v>5</v>
      </c>
      <c r="I45" s="313" t="s">
        <v>282</v>
      </c>
      <c r="J45" s="138">
        <v>8</v>
      </c>
      <c r="K45" s="354">
        <v>2.5000000000000001E-2</v>
      </c>
      <c r="L45" s="319">
        <f t="shared" si="11"/>
        <v>4.4117647058823533</v>
      </c>
      <c r="M45" s="251">
        <v>100</v>
      </c>
      <c r="N45" s="373">
        <v>77</v>
      </c>
      <c r="O45" s="361">
        <v>42186</v>
      </c>
      <c r="P45" s="266" t="s">
        <v>201</v>
      </c>
      <c r="Q45" s="167">
        <v>450</v>
      </c>
      <c r="R45" s="42">
        <v>102</v>
      </c>
      <c r="S45" s="154">
        <v>14400</v>
      </c>
      <c r="T45" s="372" t="s">
        <v>361</v>
      </c>
      <c r="U45" s="252" t="s">
        <v>379</v>
      </c>
      <c r="V45" s="247">
        <v>450</v>
      </c>
      <c r="W45" s="244">
        <v>102</v>
      </c>
      <c r="X45" s="399">
        <v>4</v>
      </c>
      <c r="Y45" s="288">
        <f t="shared" si="12"/>
        <v>1800</v>
      </c>
      <c r="Z45" s="336">
        <f t="shared" si="13"/>
        <v>14400</v>
      </c>
      <c r="AA45" s="43">
        <v>10</v>
      </c>
      <c r="AB45" s="42">
        <v>0</v>
      </c>
      <c r="AC45" s="42">
        <v>0</v>
      </c>
      <c r="AD45" s="42">
        <v>0</v>
      </c>
      <c r="AE45" s="42">
        <v>0</v>
      </c>
      <c r="AF45" s="334">
        <v>450</v>
      </c>
      <c r="AG45" s="247">
        <v>675</v>
      </c>
      <c r="AH45" s="244">
        <v>153</v>
      </c>
      <c r="AI45" s="399">
        <v>4</v>
      </c>
      <c r="AJ45" s="288">
        <f t="shared" si="14"/>
        <v>2700</v>
      </c>
      <c r="AK45" s="336">
        <f t="shared" si="15"/>
        <v>21600</v>
      </c>
      <c r="AL45" s="43">
        <v>4</v>
      </c>
      <c r="AM45" s="50">
        <v>700000</v>
      </c>
      <c r="AN45" s="42">
        <v>0</v>
      </c>
      <c r="AO45" s="42">
        <v>0</v>
      </c>
      <c r="AP45" s="42">
        <v>0</v>
      </c>
      <c r="AQ45" s="301">
        <v>270</v>
      </c>
      <c r="AR45" s="247">
        <v>787</v>
      </c>
      <c r="AS45" s="244">
        <v>178</v>
      </c>
      <c r="AT45" s="399">
        <v>4</v>
      </c>
      <c r="AU45" s="288">
        <f t="shared" si="16"/>
        <v>3148</v>
      </c>
      <c r="AV45" s="336">
        <f t="shared" si="17"/>
        <v>25184</v>
      </c>
      <c r="AW45" s="43">
        <v>6</v>
      </c>
      <c r="AX45" s="50">
        <v>1050000</v>
      </c>
      <c r="AY45" s="42">
        <v>0</v>
      </c>
      <c r="AZ45" s="42">
        <v>1</v>
      </c>
      <c r="BA45" s="42">
        <v>0</v>
      </c>
      <c r="BB45" s="301">
        <v>472</v>
      </c>
      <c r="BC45" s="247">
        <v>853</v>
      </c>
      <c r="BD45" s="244">
        <v>194</v>
      </c>
      <c r="BE45" s="399">
        <v>4</v>
      </c>
      <c r="BF45" s="288">
        <f t="shared" si="18"/>
        <v>3412</v>
      </c>
      <c r="BG45" s="336">
        <f t="shared" si="19"/>
        <v>27296</v>
      </c>
      <c r="BH45" s="43">
        <v>8</v>
      </c>
      <c r="BI45" s="50">
        <v>1400000</v>
      </c>
      <c r="BJ45" s="42">
        <v>0</v>
      </c>
      <c r="BK45" s="42">
        <v>0</v>
      </c>
      <c r="BL45" s="42">
        <v>0</v>
      </c>
      <c r="BM45" s="301">
        <v>682</v>
      </c>
      <c r="BN45" s="247">
        <v>900</v>
      </c>
      <c r="BO45" s="244">
        <v>205</v>
      </c>
      <c r="BP45" s="399">
        <v>4</v>
      </c>
      <c r="BQ45" s="288">
        <f t="shared" si="29"/>
        <v>3600</v>
      </c>
      <c r="BR45" s="336">
        <f t="shared" si="30"/>
        <v>28800</v>
      </c>
      <c r="BS45" s="43">
        <v>10</v>
      </c>
      <c r="BT45" s="50">
        <v>1750000</v>
      </c>
      <c r="BU45" s="42">
        <v>0</v>
      </c>
      <c r="BV45" s="42">
        <v>0</v>
      </c>
      <c r="BW45" s="42">
        <v>1</v>
      </c>
      <c r="BX45" s="301">
        <v>900</v>
      </c>
      <c r="BY45" s="75">
        <v>10</v>
      </c>
      <c r="BZ45" s="378" t="s">
        <v>43</v>
      </c>
      <c r="CA45" s="236">
        <v>10000</v>
      </c>
      <c r="CB45" s="366">
        <v>30000</v>
      </c>
      <c r="CC45" s="326">
        <v>60000</v>
      </c>
      <c r="CD45" s="326">
        <v>120000</v>
      </c>
      <c r="CE45" s="326">
        <v>240000</v>
      </c>
      <c r="CF45" s="326">
        <v>480000</v>
      </c>
      <c r="CG45" s="326">
        <v>960000</v>
      </c>
      <c r="CH45" s="326"/>
      <c r="CI45" s="326"/>
      <c r="CJ45" s="326"/>
      <c r="CK45" s="326"/>
      <c r="CL45" s="415"/>
      <c r="CM45" s="428" t="s">
        <v>43</v>
      </c>
      <c r="CN45" s="394"/>
      <c r="CO45" s="258"/>
      <c r="CP45" s="258"/>
      <c r="CQ45" s="369"/>
      <c r="CR45" s="1"/>
      <c r="CS45" s="1"/>
      <c r="CT45" s="1"/>
      <c r="CU45" s="1"/>
      <c r="CV45" s="1"/>
      <c r="CW45" s="2"/>
      <c r="CX45" s="603"/>
    </row>
    <row r="46" spans="1:102">
      <c r="A46" s="472"/>
      <c r="B46" s="39" t="s">
        <v>171</v>
      </c>
      <c r="C46" s="309" t="s">
        <v>48</v>
      </c>
      <c r="D46" s="129" t="s">
        <v>35</v>
      </c>
      <c r="E46" s="66" t="s">
        <v>170</v>
      </c>
      <c r="F46" s="40"/>
      <c r="G46" s="41"/>
      <c r="H46" s="246">
        <v>6</v>
      </c>
      <c r="I46" s="313" t="s">
        <v>282</v>
      </c>
      <c r="J46" s="138">
        <v>8</v>
      </c>
      <c r="K46" s="354">
        <v>2.5000000000000001E-2</v>
      </c>
      <c r="L46" s="319">
        <f t="shared" si="11"/>
        <v>4.4444444444444446</v>
      </c>
      <c r="M46" s="251">
        <v>100</v>
      </c>
      <c r="N46" s="373">
        <v>89</v>
      </c>
      <c r="O46" s="361">
        <v>42287</v>
      </c>
      <c r="P46" s="266" t="s">
        <v>201</v>
      </c>
      <c r="Q46" s="167">
        <v>800</v>
      </c>
      <c r="R46" s="42">
        <v>180</v>
      </c>
      <c r="S46" s="154">
        <v>57600</v>
      </c>
      <c r="T46" s="372" t="s">
        <v>362</v>
      </c>
      <c r="U46" s="252" t="s">
        <v>380</v>
      </c>
      <c r="V46" s="247">
        <v>800</v>
      </c>
      <c r="W46" s="244">
        <v>180</v>
      </c>
      <c r="X46" s="399">
        <v>9</v>
      </c>
      <c r="Y46" s="288">
        <f t="shared" si="12"/>
        <v>7200</v>
      </c>
      <c r="Z46" s="336">
        <f t="shared" si="13"/>
        <v>57600</v>
      </c>
      <c r="AA46" s="43">
        <v>4</v>
      </c>
      <c r="AB46" s="42">
        <v>0</v>
      </c>
      <c r="AC46" s="42">
        <v>0</v>
      </c>
      <c r="AD46" s="42">
        <v>0</v>
      </c>
      <c r="AE46" s="42">
        <v>0</v>
      </c>
      <c r="AF46" s="334">
        <v>720</v>
      </c>
      <c r="AG46" s="247">
        <v>1200</v>
      </c>
      <c r="AH46" s="244">
        <v>270</v>
      </c>
      <c r="AI46" s="399">
        <v>9</v>
      </c>
      <c r="AJ46" s="288">
        <f t="shared" si="14"/>
        <v>10800</v>
      </c>
      <c r="AK46" s="336">
        <f t="shared" si="15"/>
        <v>86400</v>
      </c>
      <c r="AL46" s="43">
        <f>24</f>
        <v>24</v>
      </c>
      <c r="AM46" s="50">
        <v>2400000</v>
      </c>
      <c r="AN46" s="42">
        <v>0</v>
      </c>
      <c r="AO46" s="42">
        <v>4</v>
      </c>
      <c r="AP46" s="42">
        <v>0</v>
      </c>
      <c r="AQ46" s="301">
        <v>6480</v>
      </c>
      <c r="AR46" s="247">
        <v>1396</v>
      </c>
      <c r="AS46" s="244">
        <v>315</v>
      </c>
      <c r="AT46" s="399">
        <v>9</v>
      </c>
      <c r="AU46" s="288">
        <f t="shared" si="16"/>
        <v>12564</v>
      </c>
      <c r="AV46" s="336">
        <f t="shared" si="17"/>
        <v>100512</v>
      </c>
      <c r="AW46" s="43">
        <f>2*24</f>
        <v>48</v>
      </c>
      <c r="AX46" s="50">
        <v>3600000</v>
      </c>
      <c r="AY46" s="42">
        <v>0</v>
      </c>
      <c r="AZ46" s="42">
        <v>6</v>
      </c>
      <c r="BA46" s="42">
        <v>0</v>
      </c>
      <c r="BB46" s="301">
        <v>15077</v>
      </c>
      <c r="BC46" s="247">
        <v>1520</v>
      </c>
      <c r="BD46" s="244">
        <v>342</v>
      </c>
      <c r="BE46" s="399">
        <v>9</v>
      </c>
      <c r="BF46" s="288">
        <f t="shared" si="18"/>
        <v>13680</v>
      </c>
      <c r="BG46" s="336">
        <f t="shared" si="19"/>
        <v>109440</v>
      </c>
      <c r="BH46" s="43">
        <f>4*24</f>
        <v>96</v>
      </c>
      <c r="BI46" s="50">
        <v>4800000</v>
      </c>
      <c r="BJ46" s="42">
        <v>0</v>
      </c>
      <c r="BK46" s="42">
        <v>0</v>
      </c>
      <c r="BL46" s="42">
        <v>4</v>
      </c>
      <c r="BM46" s="301">
        <v>32832</v>
      </c>
      <c r="BN46" s="247">
        <v>1600</v>
      </c>
      <c r="BO46" s="244">
        <v>360</v>
      </c>
      <c r="BP46" s="399">
        <v>10</v>
      </c>
      <c r="BQ46" s="288">
        <f t="shared" si="29"/>
        <v>16000</v>
      </c>
      <c r="BR46" s="336">
        <f t="shared" si="30"/>
        <v>128000</v>
      </c>
      <c r="BS46" s="43">
        <f>8*24</f>
        <v>192</v>
      </c>
      <c r="BT46" s="50">
        <v>6000000</v>
      </c>
      <c r="BU46" s="42">
        <v>0</v>
      </c>
      <c r="BV46" s="42">
        <v>0</v>
      </c>
      <c r="BW46" s="42">
        <v>6</v>
      </c>
      <c r="BX46" s="301">
        <v>76800</v>
      </c>
      <c r="BY46" s="75">
        <v>100</v>
      </c>
      <c r="BZ46" s="378" t="s">
        <v>43</v>
      </c>
      <c r="CA46" s="236">
        <v>10000</v>
      </c>
      <c r="CB46" s="366">
        <v>98000</v>
      </c>
      <c r="CC46" s="326">
        <v>196000</v>
      </c>
      <c r="CD46" s="326">
        <v>392000</v>
      </c>
      <c r="CE46" s="326">
        <v>784000</v>
      </c>
      <c r="CF46" s="326"/>
      <c r="CG46" s="326"/>
      <c r="CH46" s="326"/>
      <c r="CI46" s="326"/>
      <c r="CJ46" s="326"/>
      <c r="CK46" s="326"/>
      <c r="CL46" s="415"/>
      <c r="CM46" s="428" t="s">
        <v>43</v>
      </c>
      <c r="CN46" s="394"/>
      <c r="CO46" s="258"/>
      <c r="CP46" s="258"/>
      <c r="CQ46" s="369"/>
      <c r="CR46" s="1"/>
      <c r="CS46" s="1"/>
      <c r="CT46" s="1"/>
      <c r="CU46" s="1"/>
      <c r="CV46" s="1"/>
      <c r="CW46" s="2"/>
      <c r="CX46" s="603"/>
    </row>
    <row r="47" spans="1:102">
      <c r="A47" s="472"/>
      <c r="B47" s="39" t="s">
        <v>192</v>
      </c>
      <c r="C47" s="309" t="s">
        <v>48</v>
      </c>
      <c r="D47" s="129" t="s">
        <v>35</v>
      </c>
      <c r="E47" s="66" t="s">
        <v>193</v>
      </c>
      <c r="F47" s="40"/>
      <c r="G47" s="41"/>
      <c r="H47" s="246">
        <v>6</v>
      </c>
      <c r="I47" s="313" t="s">
        <v>282</v>
      </c>
      <c r="J47" s="138">
        <v>8</v>
      </c>
      <c r="K47" s="354">
        <v>2.5000000000000001E-2</v>
      </c>
      <c r="L47" s="319">
        <f t="shared" si="11"/>
        <v>10</v>
      </c>
      <c r="M47" s="251">
        <v>100</v>
      </c>
      <c r="N47" s="373">
        <v>93</v>
      </c>
      <c r="O47" s="361">
        <v>42319</v>
      </c>
      <c r="P47" s="266" t="s">
        <v>202</v>
      </c>
      <c r="Q47" s="167">
        <v>3000</v>
      </c>
      <c r="R47" s="42">
        <v>300</v>
      </c>
      <c r="S47" s="154">
        <v>144000</v>
      </c>
      <c r="T47" s="372" t="s">
        <v>363</v>
      </c>
      <c r="U47" s="252" t="s">
        <v>381</v>
      </c>
      <c r="V47" s="247">
        <v>1000</v>
      </c>
      <c r="W47" s="244">
        <v>100</v>
      </c>
      <c r="X47" s="399">
        <v>6</v>
      </c>
      <c r="Y47" s="288">
        <f t="shared" si="12"/>
        <v>6000</v>
      </c>
      <c r="Z47" s="336">
        <f t="shared" si="13"/>
        <v>48000</v>
      </c>
      <c r="AA47" s="43">
        <v>6</v>
      </c>
      <c r="AB47" s="42">
        <v>0</v>
      </c>
      <c r="AC47" s="42">
        <v>0</v>
      </c>
      <c r="AD47" s="42">
        <v>0</v>
      </c>
      <c r="AE47" s="42">
        <v>0</v>
      </c>
      <c r="AF47" s="334">
        <v>900</v>
      </c>
      <c r="AG47" s="247">
        <v>1250</v>
      </c>
      <c r="AH47" s="244">
        <v>125</v>
      </c>
      <c r="AI47" s="399">
        <v>6</v>
      </c>
      <c r="AJ47" s="288">
        <f t="shared" si="14"/>
        <v>7500</v>
      </c>
      <c r="AK47" s="336">
        <f t="shared" si="15"/>
        <v>60000</v>
      </c>
      <c r="AL47" s="43">
        <f>24+12</f>
        <v>36</v>
      </c>
      <c r="AM47" s="50">
        <v>2600000</v>
      </c>
      <c r="AN47" s="42">
        <v>0</v>
      </c>
      <c r="AO47" s="42">
        <v>4</v>
      </c>
      <c r="AP47" s="42">
        <v>0</v>
      </c>
      <c r="AQ47" s="301">
        <v>6750</v>
      </c>
      <c r="AR47" s="247">
        <v>1500</v>
      </c>
      <c r="AS47" s="244">
        <v>150</v>
      </c>
      <c r="AT47" s="399">
        <v>6</v>
      </c>
      <c r="AU47" s="288">
        <f t="shared" si="16"/>
        <v>9000</v>
      </c>
      <c r="AV47" s="336">
        <f t="shared" si="17"/>
        <v>72000</v>
      </c>
      <c r="AW47" s="43">
        <f>3*24</f>
        <v>72</v>
      </c>
      <c r="AX47" s="50">
        <v>3900000</v>
      </c>
      <c r="AY47" s="42">
        <v>0</v>
      </c>
      <c r="AZ47" s="42">
        <v>6</v>
      </c>
      <c r="BA47" s="42">
        <v>0</v>
      </c>
      <c r="BB47" s="301">
        <v>10000</v>
      </c>
      <c r="BC47" s="247">
        <v>2000</v>
      </c>
      <c r="BD47" s="244">
        <v>200</v>
      </c>
      <c r="BE47" s="399">
        <v>6</v>
      </c>
      <c r="BF47" s="288">
        <f t="shared" si="18"/>
        <v>12000</v>
      </c>
      <c r="BG47" s="336">
        <f t="shared" si="19"/>
        <v>96000</v>
      </c>
      <c r="BH47" s="43">
        <f>6*24</f>
        <v>144</v>
      </c>
      <c r="BI47" s="50">
        <v>5200000</v>
      </c>
      <c r="BJ47" s="42">
        <v>0</v>
      </c>
      <c r="BK47" s="42">
        <v>0</v>
      </c>
      <c r="BL47" s="42">
        <v>4</v>
      </c>
      <c r="BM47" s="301">
        <v>10000</v>
      </c>
      <c r="BN47" s="247">
        <v>3000</v>
      </c>
      <c r="BO47" s="244">
        <v>300</v>
      </c>
      <c r="BP47" s="399">
        <v>6</v>
      </c>
      <c r="BQ47" s="288">
        <f t="shared" si="29"/>
        <v>18000</v>
      </c>
      <c r="BR47" s="336">
        <f t="shared" si="30"/>
        <v>144000</v>
      </c>
      <c r="BS47" s="43">
        <f>12*24</f>
        <v>288</v>
      </c>
      <c r="BT47" s="50">
        <v>6500000</v>
      </c>
      <c r="BU47" s="42">
        <v>0</v>
      </c>
      <c r="BV47" s="42">
        <v>0</v>
      </c>
      <c r="BW47" s="42">
        <v>6</v>
      </c>
      <c r="BX47" s="301">
        <v>10000</v>
      </c>
      <c r="BY47" s="75">
        <v>149</v>
      </c>
      <c r="BZ47" s="378" t="s">
        <v>43</v>
      </c>
      <c r="CA47" s="236">
        <v>10000</v>
      </c>
      <c r="CB47" s="366">
        <v>198000</v>
      </c>
      <c r="CC47" s="326">
        <v>396000</v>
      </c>
      <c r="CD47" s="326">
        <v>792000</v>
      </c>
      <c r="CE47" s="326"/>
      <c r="CF47" s="326"/>
      <c r="CG47" s="326"/>
      <c r="CH47" s="326"/>
      <c r="CI47" s="326"/>
      <c r="CJ47" s="326"/>
      <c r="CK47" s="326"/>
      <c r="CL47" s="415"/>
      <c r="CM47" s="428" t="s">
        <v>43</v>
      </c>
      <c r="CN47" s="394"/>
      <c r="CO47" s="258"/>
      <c r="CP47" s="258"/>
      <c r="CQ47" s="369"/>
      <c r="CR47" s="1"/>
      <c r="CS47" s="1"/>
      <c r="CT47" s="1"/>
      <c r="CU47" s="1"/>
      <c r="CV47" s="1"/>
      <c r="CW47" s="2"/>
      <c r="CX47" s="603"/>
    </row>
    <row r="48" spans="1:102">
      <c r="A48" s="472"/>
      <c r="B48" s="39" t="s">
        <v>211</v>
      </c>
      <c r="C48" s="309" t="s">
        <v>48</v>
      </c>
      <c r="D48" s="129"/>
      <c r="E48" s="66" t="s">
        <v>193</v>
      </c>
      <c r="F48" s="40"/>
      <c r="G48" s="41"/>
      <c r="H48" s="246">
        <v>5</v>
      </c>
      <c r="I48" s="313" t="s">
        <v>282</v>
      </c>
      <c r="J48" s="138">
        <v>10</v>
      </c>
      <c r="K48" s="354">
        <v>2.5000000000000001E-2</v>
      </c>
      <c r="L48" s="319">
        <f t="shared" si="11"/>
        <v>4.4444444444444446</v>
      </c>
      <c r="M48" s="251">
        <v>100</v>
      </c>
      <c r="N48" s="373">
        <v>95</v>
      </c>
      <c r="O48" s="361">
        <v>42339</v>
      </c>
      <c r="P48" s="266" t="s">
        <v>202</v>
      </c>
      <c r="Q48" s="167">
        <v>1200</v>
      </c>
      <c r="R48" s="42">
        <v>270</v>
      </c>
      <c r="S48" s="154">
        <v>48000</v>
      </c>
      <c r="T48" s="372" t="s">
        <v>364</v>
      </c>
      <c r="U48" s="252" t="s">
        <v>382</v>
      </c>
      <c r="V48" s="247">
        <v>400</v>
      </c>
      <c r="W48" s="244">
        <v>90</v>
      </c>
      <c r="X48" s="399">
        <v>4</v>
      </c>
      <c r="Y48" s="288">
        <f t="shared" si="12"/>
        <v>1600</v>
      </c>
      <c r="Z48" s="336">
        <f t="shared" si="13"/>
        <v>16000</v>
      </c>
      <c r="AA48" s="43">
        <v>4</v>
      </c>
      <c r="AB48" s="42">
        <v>0</v>
      </c>
      <c r="AC48" s="42">
        <v>0</v>
      </c>
      <c r="AD48" s="42">
        <v>0</v>
      </c>
      <c r="AE48" s="42">
        <v>0</v>
      </c>
      <c r="AF48" s="334">
        <v>3200</v>
      </c>
      <c r="AG48" s="247">
        <v>500</v>
      </c>
      <c r="AH48" s="244">
        <v>113</v>
      </c>
      <c r="AI48" s="399">
        <v>4</v>
      </c>
      <c r="AJ48" s="288">
        <f t="shared" si="14"/>
        <v>2000</v>
      </c>
      <c r="AK48" s="336">
        <f t="shared" si="15"/>
        <v>20000</v>
      </c>
      <c r="AL48" s="43">
        <f>24</f>
        <v>24</v>
      </c>
      <c r="AM48" s="50">
        <v>1600000</v>
      </c>
      <c r="AN48" s="42">
        <v>0</v>
      </c>
      <c r="AO48" s="42">
        <v>3</v>
      </c>
      <c r="AP48" s="42">
        <v>0</v>
      </c>
      <c r="AQ48" s="301">
        <v>10000</v>
      </c>
      <c r="AR48" s="247">
        <v>600</v>
      </c>
      <c r="AS48" s="244">
        <v>135</v>
      </c>
      <c r="AT48" s="399">
        <v>4</v>
      </c>
      <c r="AU48" s="288">
        <f t="shared" si="16"/>
        <v>2400</v>
      </c>
      <c r="AV48" s="336">
        <f t="shared" si="17"/>
        <v>24000</v>
      </c>
      <c r="AW48" s="43">
        <f>2*24</f>
        <v>48</v>
      </c>
      <c r="AX48" s="50">
        <v>2400000</v>
      </c>
      <c r="AY48" s="42">
        <v>0</v>
      </c>
      <c r="AZ48" s="42">
        <v>5</v>
      </c>
      <c r="BA48" s="42">
        <v>0</v>
      </c>
      <c r="BB48" s="301">
        <v>10000</v>
      </c>
      <c r="BC48" s="247">
        <v>800</v>
      </c>
      <c r="BD48" s="244">
        <v>180</v>
      </c>
      <c r="BE48" s="399">
        <v>4</v>
      </c>
      <c r="BF48" s="288">
        <f t="shared" si="18"/>
        <v>3200</v>
      </c>
      <c r="BG48" s="336">
        <f t="shared" si="19"/>
        <v>32000</v>
      </c>
      <c r="BH48" s="43">
        <f>4*24</f>
        <v>96</v>
      </c>
      <c r="BI48" s="50">
        <v>3200000</v>
      </c>
      <c r="BJ48" s="42">
        <v>0</v>
      </c>
      <c r="BK48" s="42">
        <v>0</v>
      </c>
      <c r="BL48" s="42">
        <v>3</v>
      </c>
      <c r="BM48" s="301">
        <v>10000</v>
      </c>
      <c r="BN48" s="247">
        <v>1200</v>
      </c>
      <c r="BO48" s="244">
        <v>270</v>
      </c>
      <c r="BP48" s="399">
        <v>4</v>
      </c>
      <c r="BQ48" s="288">
        <f t="shared" si="29"/>
        <v>4800</v>
      </c>
      <c r="BR48" s="336">
        <f t="shared" si="30"/>
        <v>48000</v>
      </c>
      <c r="BS48" s="43">
        <f>8*24</f>
        <v>192</v>
      </c>
      <c r="BT48" s="50">
        <v>4000000</v>
      </c>
      <c r="BU48" s="42">
        <v>0</v>
      </c>
      <c r="BV48" s="42">
        <v>0</v>
      </c>
      <c r="BW48" s="42">
        <v>5</v>
      </c>
      <c r="BX48" s="301">
        <v>10000</v>
      </c>
      <c r="BY48" s="75">
        <v>100</v>
      </c>
      <c r="BZ48" s="378" t="s">
        <v>43</v>
      </c>
      <c r="CA48" s="236">
        <v>10000</v>
      </c>
      <c r="CB48" s="366">
        <v>77777</v>
      </c>
      <c r="CC48" s="326">
        <v>155554</v>
      </c>
      <c r="CD48" s="326">
        <v>311108</v>
      </c>
      <c r="CE48" s="326">
        <v>622216</v>
      </c>
      <c r="CF48" s="326"/>
      <c r="CG48" s="326"/>
      <c r="CH48" s="326"/>
      <c r="CI48" s="326"/>
      <c r="CJ48" s="326"/>
      <c r="CK48" s="326"/>
      <c r="CL48" s="415"/>
      <c r="CM48" s="428" t="s">
        <v>43</v>
      </c>
      <c r="CN48" s="394"/>
      <c r="CO48" s="258"/>
      <c r="CP48" s="258"/>
      <c r="CQ48" s="369"/>
      <c r="CR48" s="1"/>
      <c r="CS48" s="1"/>
      <c r="CT48" s="1"/>
      <c r="CU48" s="1"/>
      <c r="CV48" s="1"/>
      <c r="CW48" s="2"/>
      <c r="CX48" s="603"/>
    </row>
    <row r="49" spans="1:102">
      <c r="A49" s="472"/>
      <c r="B49" s="39" t="s">
        <v>250</v>
      </c>
      <c r="C49" s="309" t="s">
        <v>48</v>
      </c>
      <c r="D49" s="129" t="s">
        <v>242</v>
      </c>
      <c r="E49" s="66" t="s">
        <v>35</v>
      </c>
      <c r="F49" s="40"/>
      <c r="G49" s="41"/>
      <c r="H49" s="246">
        <v>6</v>
      </c>
      <c r="I49" s="313" t="s">
        <v>282</v>
      </c>
      <c r="J49" s="138">
        <v>8</v>
      </c>
      <c r="K49" s="354">
        <v>2.5000000000000001E-2</v>
      </c>
      <c r="L49" s="319">
        <f t="shared" si="11"/>
        <v>13.333333333333334</v>
      </c>
      <c r="M49" s="251">
        <v>100</v>
      </c>
      <c r="N49" s="373">
        <v>99</v>
      </c>
      <c r="O49" s="361">
        <v>42370</v>
      </c>
      <c r="P49" s="266" t="s">
        <v>125</v>
      </c>
      <c r="Q49" s="167">
        <v>4000</v>
      </c>
      <c r="R49" s="42">
        <v>300</v>
      </c>
      <c r="S49" s="154">
        <v>160000</v>
      </c>
      <c r="T49" s="372" t="s">
        <v>365</v>
      </c>
      <c r="U49" s="252" t="s">
        <v>383</v>
      </c>
      <c r="V49" s="247">
        <v>1334</v>
      </c>
      <c r="W49" s="244">
        <v>100</v>
      </c>
      <c r="X49" s="399">
        <v>5</v>
      </c>
      <c r="Y49" s="288">
        <f t="shared" si="12"/>
        <v>6670</v>
      </c>
      <c r="Z49" s="336">
        <f t="shared" si="13"/>
        <v>53360</v>
      </c>
      <c r="AA49" s="43">
        <v>6</v>
      </c>
      <c r="AB49" s="42">
        <v>0</v>
      </c>
      <c r="AC49" s="42">
        <v>0</v>
      </c>
      <c r="AD49" s="42">
        <v>0</v>
      </c>
      <c r="AE49" s="42">
        <v>0</v>
      </c>
      <c r="AF49" s="334">
        <v>900</v>
      </c>
      <c r="AG49" s="247">
        <v>1667</v>
      </c>
      <c r="AH49" s="244">
        <v>125</v>
      </c>
      <c r="AI49" s="399">
        <v>5</v>
      </c>
      <c r="AJ49" s="288">
        <f t="shared" si="14"/>
        <v>8335</v>
      </c>
      <c r="AK49" s="336">
        <f t="shared" si="15"/>
        <v>66680</v>
      </c>
      <c r="AL49" s="43">
        <f>1*24+12</f>
        <v>36</v>
      </c>
      <c r="AM49" s="50">
        <v>2800000</v>
      </c>
      <c r="AN49" s="42">
        <v>0</v>
      </c>
      <c r="AO49" s="42">
        <v>5</v>
      </c>
      <c r="AP49" s="42">
        <v>0</v>
      </c>
      <c r="AQ49" s="301">
        <v>6750</v>
      </c>
      <c r="AR49" s="247">
        <v>2000</v>
      </c>
      <c r="AS49" s="244">
        <v>150</v>
      </c>
      <c r="AT49" s="399">
        <v>5</v>
      </c>
      <c r="AU49" s="288">
        <f t="shared" si="16"/>
        <v>10000</v>
      </c>
      <c r="AV49" s="336">
        <f t="shared" si="17"/>
        <v>80000</v>
      </c>
      <c r="AW49" s="43">
        <f>3*24</f>
        <v>72</v>
      </c>
      <c r="AX49" s="50">
        <v>4200000</v>
      </c>
      <c r="AY49" s="42">
        <v>0</v>
      </c>
      <c r="AZ49" s="42">
        <v>7</v>
      </c>
      <c r="BA49" s="42">
        <v>0</v>
      </c>
      <c r="BB49" s="301">
        <v>10000</v>
      </c>
      <c r="BC49" s="247">
        <v>2667</v>
      </c>
      <c r="BD49" s="244">
        <v>200</v>
      </c>
      <c r="BE49" s="399">
        <v>5</v>
      </c>
      <c r="BF49" s="288">
        <f t="shared" si="18"/>
        <v>13335</v>
      </c>
      <c r="BG49" s="336">
        <f t="shared" si="19"/>
        <v>106680</v>
      </c>
      <c r="BH49" s="43">
        <f>6*24</f>
        <v>144</v>
      </c>
      <c r="BI49" s="50">
        <v>5600000</v>
      </c>
      <c r="BJ49" s="42">
        <v>0</v>
      </c>
      <c r="BK49" s="42">
        <v>0</v>
      </c>
      <c r="BL49" s="42">
        <v>5</v>
      </c>
      <c r="BM49" s="301">
        <v>10000</v>
      </c>
      <c r="BN49" s="247">
        <v>4000</v>
      </c>
      <c r="BO49" s="244">
        <v>300</v>
      </c>
      <c r="BP49" s="399">
        <v>5</v>
      </c>
      <c r="BQ49" s="288">
        <f t="shared" si="29"/>
        <v>20000</v>
      </c>
      <c r="BR49" s="336">
        <f t="shared" si="30"/>
        <v>160000</v>
      </c>
      <c r="BS49" s="43">
        <f>12*24</f>
        <v>288</v>
      </c>
      <c r="BT49" s="50">
        <v>7000000</v>
      </c>
      <c r="BU49" s="42">
        <v>0</v>
      </c>
      <c r="BV49" s="42">
        <v>0</v>
      </c>
      <c r="BW49" s="42">
        <v>7</v>
      </c>
      <c r="BX49" s="301">
        <v>10000</v>
      </c>
      <c r="BY49" s="75">
        <v>149</v>
      </c>
      <c r="BZ49" s="378" t="s">
        <v>43</v>
      </c>
      <c r="CA49" s="236">
        <v>10000</v>
      </c>
      <c r="CB49" s="366">
        <v>498000</v>
      </c>
      <c r="CC49" s="326">
        <v>996000</v>
      </c>
      <c r="CD49" s="326"/>
      <c r="CE49" s="326"/>
      <c r="CF49" s="326"/>
      <c r="CG49" s="326"/>
      <c r="CH49" s="326"/>
      <c r="CI49" s="326"/>
      <c r="CJ49" s="326"/>
      <c r="CK49" s="326"/>
      <c r="CL49" s="415"/>
      <c r="CM49" s="428" t="s">
        <v>43</v>
      </c>
      <c r="CN49" s="394"/>
      <c r="CO49" s="258"/>
      <c r="CP49" s="258"/>
      <c r="CQ49" s="369"/>
      <c r="CR49" s="1"/>
      <c r="CS49" s="1"/>
      <c r="CT49" s="1"/>
      <c r="CU49" s="1"/>
      <c r="CV49" s="1"/>
      <c r="CW49" s="2"/>
      <c r="CX49" s="603"/>
    </row>
    <row r="50" spans="1:102">
      <c r="A50" s="472"/>
      <c r="B50" s="39" t="s">
        <v>257</v>
      </c>
      <c r="C50" s="309" t="s">
        <v>48</v>
      </c>
      <c r="D50" s="129"/>
      <c r="E50" s="66" t="s">
        <v>43</v>
      </c>
      <c r="F50" s="40"/>
      <c r="G50" s="41"/>
      <c r="H50" s="246">
        <v>4</v>
      </c>
      <c r="I50" s="313" t="s">
        <v>282</v>
      </c>
      <c r="J50" s="138">
        <v>9</v>
      </c>
      <c r="K50" s="254">
        <v>2.5000000000000001E-2</v>
      </c>
      <c r="L50" s="319">
        <f t="shared" si="11"/>
        <v>4</v>
      </c>
      <c r="M50" s="251">
        <v>100</v>
      </c>
      <c r="N50" s="373">
        <v>100</v>
      </c>
      <c r="O50" s="361">
        <v>42385</v>
      </c>
      <c r="P50" s="266" t="s">
        <v>206</v>
      </c>
      <c r="Q50" s="167">
        <v>1000</v>
      </c>
      <c r="R50" s="42">
        <v>250</v>
      </c>
      <c r="S50" s="154">
        <v>45000</v>
      </c>
      <c r="T50" s="372" t="s">
        <v>366</v>
      </c>
      <c r="U50" s="252" t="s">
        <v>384</v>
      </c>
      <c r="V50" s="247">
        <v>334</v>
      </c>
      <c r="W50" s="244">
        <v>84</v>
      </c>
      <c r="X50" s="399">
        <v>5</v>
      </c>
      <c r="Y50" s="288">
        <f t="shared" si="12"/>
        <v>1670</v>
      </c>
      <c r="Z50" s="336">
        <f t="shared" si="13"/>
        <v>15030</v>
      </c>
      <c r="AA50" s="43">
        <v>2</v>
      </c>
      <c r="AB50" s="42">
        <v>0</v>
      </c>
      <c r="AC50" s="42">
        <v>0</v>
      </c>
      <c r="AD50" s="42">
        <v>0</v>
      </c>
      <c r="AE50" s="42">
        <v>0</v>
      </c>
      <c r="AF50" s="334">
        <v>84</v>
      </c>
      <c r="AG50" s="247">
        <v>417</v>
      </c>
      <c r="AH50" s="244">
        <v>105</v>
      </c>
      <c r="AI50" s="399">
        <v>5</v>
      </c>
      <c r="AJ50" s="288">
        <f t="shared" si="14"/>
        <v>2085</v>
      </c>
      <c r="AK50" s="336">
        <f t="shared" si="15"/>
        <v>18765</v>
      </c>
      <c r="AL50" s="43">
        <v>12</v>
      </c>
      <c r="AM50" s="50">
        <v>1200000</v>
      </c>
      <c r="AN50" s="42">
        <v>0</v>
      </c>
      <c r="AO50" s="42">
        <v>2</v>
      </c>
      <c r="AP50" s="42">
        <v>0</v>
      </c>
      <c r="AQ50" s="301">
        <v>626</v>
      </c>
      <c r="AR50" s="247">
        <v>500</v>
      </c>
      <c r="AS50" s="244">
        <v>125</v>
      </c>
      <c r="AT50" s="399">
        <v>5</v>
      </c>
      <c r="AU50" s="288">
        <f t="shared" si="16"/>
        <v>2500</v>
      </c>
      <c r="AV50" s="336">
        <f t="shared" si="17"/>
        <v>22500</v>
      </c>
      <c r="AW50" s="43">
        <f>1*24</f>
        <v>24</v>
      </c>
      <c r="AX50" s="50">
        <v>1800000</v>
      </c>
      <c r="AY50" s="42">
        <v>0</v>
      </c>
      <c r="AZ50" s="42">
        <v>4</v>
      </c>
      <c r="BA50" s="42">
        <v>0</v>
      </c>
      <c r="BB50" s="301">
        <v>1500</v>
      </c>
      <c r="BC50" s="247">
        <v>667</v>
      </c>
      <c r="BD50" s="244">
        <v>167</v>
      </c>
      <c r="BE50" s="399">
        <v>5</v>
      </c>
      <c r="BF50" s="288">
        <f t="shared" si="18"/>
        <v>3335</v>
      </c>
      <c r="BG50" s="336">
        <f t="shared" si="19"/>
        <v>30015</v>
      </c>
      <c r="BH50" s="43">
        <f>3*24</f>
        <v>72</v>
      </c>
      <c r="BI50" s="50">
        <v>2400000</v>
      </c>
      <c r="BJ50" s="42">
        <v>0</v>
      </c>
      <c r="BK50" s="42">
        <v>0</v>
      </c>
      <c r="BL50" s="42">
        <v>2</v>
      </c>
      <c r="BM50" s="301">
        <v>6003</v>
      </c>
      <c r="BN50" s="247">
        <v>1000</v>
      </c>
      <c r="BO50" s="244">
        <v>250</v>
      </c>
      <c r="BP50" s="399">
        <v>5</v>
      </c>
      <c r="BQ50" s="288">
        <f t="shared" si="29"/>
        <v>5000</v>
      </c>
      <c r="BR50" s="336">
        <f t="shared" si="30"/>
        <v>45000</v>
      </c>
      <c r="BS50" s="43">
        <f>5*24</f>
        <v>120</v>
      </c>
      <c r="BT50" s="50">
        <v>3000000</v>
      </c>
      <c r="BU50" s="42">
        <v>0</v>
      </c>
      <c r="BV50" s="42">
        <v>0</v>
      </c>
      <c r="BW50" s="42">
        <v>5</v>
      </c>
      <c r="BX50" s="301">
        <v>10000</v>
      </c>
      <c r="BY50" s="75">
        <v>63</v>
      </c>
      <c r="BZ50" s="378" t="s">
        <v>43</v>
      </c>
      <c r="CA50" s="236">
        <v>10000</v>
      </c>
      <c r="CB50" s="366">
        <v>49800</v>
      </c>
      <c r="CC50" s="326">
        <v>99600</v>
      </c>
      <c r="CD50" s="326">
        <v>199200</v>
      </c>
      <c r="CE50" s="326">
        <v>398400</v>
      </c>
      <c r="CF50" s="326">
        <v>796800</v>
      </c>
      <c r="CG50" s="326"/>
      <c r="CH50" s="326"/>
      <c r="CI50" s="326"/>
      <c r="CJ50" s="326"/>
      <c r="CK50" s="326"/>
      <c r="CL50" s="415"/>
      <c r="CM50" s="428" t="s">
        <v>43</v>
      </c>
      <c r="CN50" s="394"/>
      <c r="CO50" s="258"/>
      <c r="CP50" s="258"/>
      <c r="CQ50" s="369"/>
      <c r="CR50" s="1"/>
      <c r="CS50" s="1"/>
      <c r="CT50" s="1"/>
      <c r="CU50" s="1"/>
      <c r="CV50" s="1"/>
      <c r="CW50" s="2"/>
      <c r="CX50" s="603"/>
    </row>
    <row r="51" spans="1:102">
      <c r="A51" s="472"/>
      <c r="B51" s="39" t="s">
        <v>131</v>
      </c>
      <c r="C51" s="309" t="s">
        <v>48</v>
      </c>
      <c r="D51" s="129"/>
      <c r="E51" s="66" t="s">
        <v>132</v>
      </c>
      <c r="F51" s="40"/>
      <c r="G51" s="41"/>
      <c r="H51" s="246">
        <v>6</v>
      </c>
      <c r="I51" s="313" t="s">
        <v>270</v>
      </c>
      <c r="J51" s="138">
        <v>4.5</v>
      </c>
      <c r="K51" s="354">
        <v>2.5000000000000001E-2</v>
      </c>
      <c r="L51" s="319">
        <f t="shared" si="11"/>
        <v>4.5132743362831862</v>
      </c>
      <c r="M51" s="251">
        <v>30</v>
      </c>
      <c r="N51" s="373">
        <v>6001</v>
      </c>
      <c r="O51" s="361">
        <v>42224</v>
      </c>
      <c r="P51" s="266" t="s">
        <v>201</v>
      </c>
      <c r="Q51" s="167">
        <v>510</v>
      </c>
      <c r="R51" s="42">
        <v>113</v>
      </c>
      <c r="S51" s="154">
        <v>11475</v>
      </c>
      <c r="T51" s="372" t="s">
        <v>367</v>
      </c>
      <c r="U51" s="252" t="s">
        <v>392</v>
      </c>
      <c r="V51" s="247">
        <v>510</v>
      </c>
      <c r="W51" s="244">
        <v>113</v>
      </c>
      <c r="X51" s="399">
        <v>5</v>
      </c>
      <c r="Y51" s="288">
        <f t="shared" si="12"/>
        <v>2550</v>
      </c>
      <c r="Z51" s="336">
        <f t="shared" si="13"/>
        <v>11475</v>
      </c>
      <c r="AA51" s="43">
        <f>5*24+12</f>
        <v>132</v>
      </c>
      <c r="AB51" s="42">
        <v>0</v>
      </c>
      <c r="AC51" s="42">
        <v>0</v>
      </c>
      <c r="AD51" s="42">
        <v>0</v>
      </c>
      <c r="AE51" s="42">
        <v>0</v>
      </c>
      <c r="AF51" s="334">
        <v>10000</v>
      </c>
      <c r="AG51" s="247">
        <v>600</v>
      </c>
      <c r="AH51" s="244">
        <v>169</v>
      </c>
      <c r="AI51" s="399">
        <v>5</v>
      </c>
      <c r="AJ51" s="288">
        <f t="shared" si="14"/>
        <v>3000</v>
      </c>
      <c r="AK51" s="336">
        <f t="shared" si="15"/>
        <v>13500</v>
      </c>
      <c r="AL51" s="43">
        <f>1*24+9</f>
        <v>33</v>
      </c>
      <c r="AM51" s="50">
        <v>3000000</v>
      </c>
      <c r="AN51" s="42">
        <v>0</v>
      </c>
      <c r="AO51" s="42">
        <v>1</v>
      </c>
      <c r="AP51" s="42">
        <v>0</v>
      </c>
      <c r="AQ51" s="301">
        <v>10000</v>
      </c>
      <c r="AR51" s="247">
        <v>892</v>
      </c>
      <c r="AS51" s="244">
        <v>197</v>
      </c>
      <c r="AT51" s="399">
        <v>5</v>
      </c>
      <c r="AU51" s="288">
        <f t="shared" si="16"/>
        <v>4460</v>
      </c>
      <c r="AV51" s="336">
        <f t="shared" si="17"/>
        <v>20070</v>
      </c>
      <c r="AW51" s="43">
        <f>2*24+18</f>
        <v>66</v>
      </c>
      <c r="AX51" s="50">
        <v>4500000</v>
      </c>
      <c r="AY51" s="42">
        <v>0</v>
      </c>
      <c r="AZ51" s="42">
        <v>2</v>
      </c>
      <c r="BA51" s="42">
        <v>0</v>
      </c>
      <c r="BB51" s="301">
        <v>10000</v>
      </c>
      <c r="BC51" s="247">
        <v>969</v>
      </c>
      <c r="BD51" s="244">
        <v>214</v>
      </c>
      <c r="BE51" s="399">
        <v>5</v>
      </c>
      <c r="BF51" s="288">
        <f t="shared" si="18"/>
        <v>4845</v>
      </c>
      <c r="BG51" s="336">
        <f t="shared" si="19"/>
        <v>21802</v>
      </c>
      <c r="BH51" s="43">
        <f>4*24+3</f>
        <v>99</v>
      </c>
      <c r="BI51" s="50">
        <v>6000000</v>
      </c>
      <c r="BJ51" s="42">
        <v>0</v>
      </c>
      <c r="BK51" s="42">
        <v>3</v>
      </c>
      <c r="BL51" s="42">
        <v>0</v>
      </c>
      <c r="BM51" s="301">
        <v>10000</v>
      </c>
      <c r="BN51" s="247">
        <v>1020</v>
      </c>
      <c r="BO51" s="244">
        <v>226</v>
      </c>
      <c r="BP51" s="399">
        <v>5</v>
      </c>
      <c r="BQ51" s="288">
        <f t="shared" si="29"/>
        <v>5100</v>
      </c>
      <c r="BR51" s="336">
        <f t="shared" si="30"/>
        <v>22950</v>
      </c>
      <c r="BS51" s="43">
        <f>5*24+12</f>
        <v>132</v>
      </c>
      <c r="BT51" s="50">
        <v>7500000</v>
      </c>
      <c r="BU51" s="42">
        <v>0</v>
      </c>
      <c r="BV51" s="42">
        <v>5</v>
      </c>
      <c r="BW51" s="42">
        <v>0</v>
      </c>
      <c r="BX51" s="301">
        <v>10000</v>
      </c>
      <c r="BY51" s="75">
        <v>126</v>
      </c>
      <c r="BZ51" s="378" t="s">
        <v>43</v>
      </c>
      <c r="CA51" s="236">
        <v>10000</v>
      </c>
      <c r="CB51" s="366">
        <v>100000</v>
      </c>
      <c r="CC51" s="326">
        <v>200000</v>
      </c>
      <c r="CD51" s="326">
        <v>400000</v>
      </c>
      <c r="CE51" s="326">
        <v>800000</v>
      </c>
      <c r="CF51" s="326"/>
      <c r="CG51" s="326"/>
      <c r="CH51" s="326"/>
      <c r="CI51" s="326"/>
      <c r="CJ51" s="326"/>
      <c r="CK51" s="326"/>
      <c r="CL51" s="415"/>
      <c r="CM51" s="428" t="s">
        <v>43</v>
      </c>
      <c r="CN51" s="394"/>
      <c r="CO51" s="258"/>
      <c r="CP51" s="258"/>
      <c r="CQ51" s="369"/>
      <c r="CR51" s="1"/>
      <c r="CS51" s="1"/>
      <c r="CT51" s="1"/>
      <c r="CU51" s="1"/>
      <c r="CV51" s="1"/>
      <c r="CW51" s="2"/>
      <c r="CX51" s="603"/>
    </row>
    <row r="52" spans="1:102">
      <c r="A52" s="472"/>
      <c r="B52" s="39" t="s">
        <v>156</v>
      </c>
      <c r="C52" s="309" t="s">
        <v>48</v>
      </c>
      <c r="D52" s="129"/>
      <c r="E52" s="66"/>
      <c r="F52" s="40"/>
      <c r="G52" s="41" t="s">
        <v>155</v>
      </c>
      <c r="H52" s="246">
        <v>6</v>
      </c>
      <c r="I52" s="313" t="s">
        <v>270</v>
      </c>
      <c r="J52" s="138">
        <v>9</v>
      </c>
      <c r="K52" s="354">
        <v>2.5000000000000001E-2</v>
      </c>
      <c r="L52" s="319">
        <f t="shared" si="11"/>
        <v>4.5217391304347823</v>
      </c>
      <c r="M52" s="251">
        <v>30</v>
      </c>
      <c r="N52" s="373">
        <v>6006</v>
      </c>
      <c r="O52" s="361">
        <v>42266</v>
      </c>
      <c r="P52" s="266" t="s">
        <v>201</v>
      </c>
      <c r="Q52" s="167">
        <v>520</v>
      </c>
      <c r="R52" s="42">
        <v>115</v>
      </c>
      <c r="S52" s="154">
        <v>23400</v>
      </c>
      <c r="T52" s="372" t="s">
        <v>368</v>
      </c>
      <c r="U52" s="252" t="s">
        <v>385</v>
      </c>
      <c r="V52" s="247">
        <v>520</v>
      </c>
      <c r="W52" s="244">
        <v>115</v>
      </c>
      <c r="X52" s="399">
        <v>5</v>
      </c>
      <c r="Y52" s="288">
        <f t="shared" si="12"/>
        <v>2600</v>
      </c>
      <c r="Z52" s="336">
        <f t="shared" si="13"/>
        <v>23400</v>
      </c>
      <c r="AA52" s="43">
        <v>4</v>
      </c>
      <c r="AB52" s="42">
        <v>0</v>
      </c>
      <c r="AC52" s="42">
        <v>0</v>
      </c>
      <c r="AD52" s="42">
        <v>0</v>
      </c>
      <c r="AE52" s="42">
        <v>0</v>
      </c>
      <c r="AF52" s="334">
        <v>10000</v>
      </c>
      <c r="AG52" s="247">
        <v>780</v>
      </c>
      <c r="AH52" s="244">
        <v>172</v>
      </c>
      <c r="AI52" s="399">
        <v>5</v>
      </c>
      <c r="AJ52" s="288">
        <f t="shared" si="14"/>
        <v>3900</v>
      </c>
      <c r="AK52" s="336">
        <f t="shared" si="15"/>
        <v>35100</v>
      </c>
      <c r="AL52" s="43">
        <f>1*24</f>
        <v>24</v>
      </c>
      <c r="AM52" s="50">
        <v>2160000</v>
      </c>
      <c r="AN52" s="42">
        <v>0</v>
      </c>
      <c r="AO52" s="42">
        <v>2</v>
      </c>
      <c r="AP52" s="42">
        <v>0</v>
      </c>
      <c r="AQ52" s="301">
        <v>10000</v>
      </c>
      <c r="AR52" s="247">
        <v>907</v>
      </c>
      <c r="AS52" s="244">
        <v>200</v>
      </c>
      <c r="AT52" s="399">
        <v>5</v>
      </c>
      <c r="AU52" s="288">
        <f t="shared" si="16"/>
        <v>4535</v>
      </c>
      <c r="AV52" s="336">
        <f t="shared" si="17"/>
        <v>40815</v>
      </c>
      <c r="AW52" s="43">
        <f>2*24+6</f>
        <v>54</v>
      </c>
      <c r="AX52" s="50">
        <v>3240000</v>
      </c>
      <c r="AY52" s="42">
        <v>0</v>
      </c>
      <c r="AZ52" s="42">
        <v>4</v>
      </c>
      <c r="BA52" s="42">
        <v>0</v>
      </c>
      <c r="BB52" s="301">
        <v>10000</v>
      </c>
      <c r="BC52" s="247">
        <v>988</v>
      </c>
      <c r="BD52" s="244">
        <v>218</v>
      </c>
      <c r="BE52" s="399">
        <v>5</v>
      </c>
      <c r="BF52" s="288">
        <f t="shared" si="18"/>
        <v>4940</v>
      </c>
      <c r="BG52" s="336">
        <f t="shared" si="19"/>
        <v>44460</v>
      </c>
      <c r="BH52" s="43">
        <f>4*24+6</f>
        <v>102</v>
      </c>
      <c r="BI52" s="50">
        <v>4320000</v>
      </c>
      <c r="BJ52" s="42">
        <v>0</v>
      </c>
      <c r="BK52" s="42">
        <v>6</v>
      </c>
      <c r="BL52" s="42">
        <v>0</v>
      </c>
      <c r="BM52" s="301">
        <v>10000</v>
      </c>
      <c r="BN52" s="247">
        <v>1040</v>
      </c>
      <c r="BO52" s="244">
        <v>230</v>
      </c>
      <c r="BP52" s="399">
        <v>5</v>
      </c>
      <c r="BQ52" s="288">
        <f t="shared" si="29"/>
        <v>5200</v>
      </c>
      <c r="BR52" s="336">
        <f t="shared" si="30"/>
        <v>46800</v>
      </c>
      <c r="BS52" s="43">
        <f>8*24</f>
        <v>192</v>
      </c>
      <c r="BT52" s="50">
        <v>5400000</v>
      </c>
      <c r="BU52" s="42">
        <v>0</v>
      </c>
      <c r="BV52" s="42">
        <v>12</v>
      </c>
      <c r="BW52" s="42">
        <v>0</v>
      </c>
      <c r="BX52" s="1025">
        <v>10000</v>
      </c>
      <c r="BY52" s="1026">
        <v>103</v>
      </c>
      <c r="BZ52" s="378" t="s">
        <v>43</v>
      </c>
      <c r="CA52" s="236">
        <v>10000</v>
      </c>
      <c r="CB52" s="366">
        <v>140000</v>
      </c>
      <c r="CC52" s="326">
        <v>280000</v>
      </c>
      <c r="CD52" s="326">
        <v>560000</v>
      </c>
      <c r="CE52" s="326"/>
      <c r="CF52" s="326"/>
      <c r="CG52" s="326"/>
      <c r="CH52" s="326"/>
      <c r="CI52" s="326"/>
      <c r="CJ52" s="326"/>
      <c r="CK52" s="326"/>
      <c r="CL52" s="415"/>
      <c r="CM52" s="428" t="s">
        <v>43</v>
      </c>
      <c r="CN52" s="394"/>
      <c r="CO52" s="258"/>
      <c r="CP52" s="258"/>
      <c r="CQ52" s="369"/>
      <c r="CR52" s="1"/>
      <c r="CS52" s="1"/>
      <c r="CT52" s="1"/>
      <c r="CU52" s="1"/>
      <c r="CV52" s="1"/>
      <c r="CW52" s="2"/>
      <c r="CX52" s="603"/>
    </row>
    <row r="53" spans="1:102">
      <c r="A53" s="472"/>
      <c r="B53" s="39" t="s">
        <v>169</v>
      </c>
      <c r="C53" s="309" t="s">
        <v>48</v>
      </c>
      <c r="D53" s="129"/>
      <c r="E53" s="66" t="s">
        <v>168</v>
      </c>
      <c r="F53" s="40"/>
      <c r="G53" s="41"/>
      <c r="H53" s="246">
        <v>6</v>
      </c>
      <c r="I53" s="313" t="s">
        <v>270</v>
      </c>
      <c r="J53" s="138">
        <v>9</v>
      </c>
      <c r="K53" s="354">
        <v>2.5000000000000001E-2</v>
      </c>
      <c r="L53" s="319">
        <f t="shared" si="11"/>
        <v>4.615384615384615</v>
      </c>
      <c r="M53" s="251">
        <v>30</v>
      </c>
      <c r="N53" s="373">
        <v>6011</v>
      </c>
      <c r="O53" s="361">
        <v>42280</v>
      </c>
      <c r="P53" s="266" t="s">
        <v>201</v>
      </c>
      <c r="Q53" s="167">
        <v>540</v>
      </c>
      <c r="R53" s="42">
        <v>117</v>
      </c>
      <c r="S53" s="154">
        <v>24300</v>
      </c>
      <c r="T53" s="372" t="s">
        <v>369</v>
      </c>
      <c r="U53" s="252" t="s">
        <v>386</v>
      </c>
      <c r="V53" s="247">
        <v>540</v>
      </c>
      <c r="W53" s="244">
        <v>117</v>
      </c>
      <c r="X53" s="399">
        <v>5</v>
      </c>
      <c r="Y53" s="288">
        <f t="shared" si="12"/>
        <v>2700</v>
      </c>
      <c r="Z53" s="336">
        <f t="shared" si="13"/>
        <v>24300</v>
      </c>
      <c r="AA53" s="43">
        <v>2</v>
      </c>
      <c r="AB53" s="42">
        <v>0</v>
      </c>
      <c r="AC53" s="42">
        <v>0</v>
      </c>
      <c r="AD53" s="42">
        <v>0</v>
      </c>
      <c r="AE53" s="42">
        <v>0</v>
      </c>
      <c r="AF53" s="334">
        <v>10000</v>
      </c>
      <c r="AG53" s="247">
        <v>810</v>
      </c>
      <c r="AH53" s="244">
        <v>176</v>
      </c>
      <c r="AI53" s="399">
        <v>5</v>
      </c>
      <c r="AJ53" s="288">
        <f t="shared" si="14"/>
        <v>4050</v>
      </c>
      <c r="AK53" s="336">
        <f t="shared" si="15"/>
        <v>36450</v>
      </c>
      <c r="AL53" s="43">
        <v>24</v>
      </c>
      <c r="AM53" s="50">
        <v>2200000</v>
      </c>
      <c r="AN53" s="42">
        <v>0</v>
      </c>
      <c r="AO53" s="42">
        <v>2</v>
      </c>
      <c r="AP53" s="42">
        <v>0</v>
      </c>
      <c r="AQ53" s="301">
        <v>10000</v>
      </c>
      <c r="AR53" s="247">
        <v>943</v>
      </c>
      <c r="AS53" s="244">
        <v>205</v>
      </c>
      <c r="AT53" s="399">
        <v>5</v>
      </c>
      <c r="AU53" s="288">
        <f t="shared" si="16"/>
        <v>4715</v>
      </c>
      <c r="AV53" s="336">
        <f t="shared" si="17"/>
        <v>42435</v>
      </c>
      <c r="AW53" s="43">
        <f>2*24+8</f>
        <v>56</v>
      </c>
      <c r="AX53" s="50">
        <v>3300000</v>
      </c>
      <c r="AY53" s="42">
        <v>0</v>
      </c>
      <c r="AZ53" s="42">
        <v>4</v>
      </c>
      <c r="BA53" s="42">
        <v>0</v>
      </c>
      <c r="BB53" s="301">
        <v>10000</v>
      </c>
      <c r="BC53" s="247">
        <v>1026</v>
      </c>
      <c r="BD53" s="244">
        <v>223</v>
      </c>
      <c r="BE53" s="399">
        <v>5</v>
      </c>
      <c r="BF53" s="288">
        <f t="shared" si="18"/>
        <v>5130</v>
      </c>
      <c r="BG53" s="336">
        <f t="shared" si="19"/>
        <v>46170</v>
      </c>
      <c r="BH53" s="43">
        <f>4*24+6</f>
        <v>102</v>
      </c>
      <c r="BI53" s="50">
        <v>4400000</v>
      </c>
      <c r="BJ53" s="42">
        <v>0</v>
      </c>
      <c r="BK53" s="42">
        <v>6</v>
      </c>
      <c r="BL53" s="42">
        <v>0</v>
      </c>
      <c r="BM53" s="301">
        <v>10000</v>
      </c>
      <c r="BN53" s="247">
        <v>1080</v>
      </c>
      <c r="BO53" s="244">
        <v>234</v>
      </c>
      <c r="BP53" s="399">
        <v>5</v>
      </c>
      <c r="BQ53" s="288">
        <f t="shared" si="29"/>
        <v>5400</v>
      </c>
      <c r="BR53" s="336">
        <f t="shared" si="30"/>
        <v>48600</v>
      </c>
      <c r="BS53" s="43">
        <f>8*24</f>
        <v>192</v>
      </c>
      <c r="BT53" s="50">
        <v>5500000</v>
      </c>
      <c r="BU53" s="42">
        <v>0</v>
      </c>
      <c r="BV53" s="42">
        <v>12</v>
      </c>
      <c r="BW53" s="42">
        <v>0</v>
      </c>
      <c r="BX53" s="301">
        <v>10000</v>
      </c>
      <c r="BY53" s="75">
        <v>103</v>
      </c>
      <c r="BZ53" s="378" t="s">
        <v>43</v>
      </c>
      <c r="CA53" s="236">
        <v>10000</v>
      </c>
      <c r="CB53" s="366">
        <v>150000</v>
      </c>
      <c r="CC53" s="326">
        <v>300000</v>
      </c>
      <c r="CD53" s="326">
        <v>600000</v>
      </c>
      <c r="CE53" s="326"/>
      <c r="CF53" s="326"/>
      <c r="CG53" s="326"/>
      <c r="CH53" s="326"/>
      <c r="CI53" s="326"/>
      <c r="CJ53" s="326"/>
      <c r="CK53" s="326"/>
      <c r="CL53" s="415"/>
      <c r="CM53" s="428" t="s">
        <v>43</v>
      </c>
      <c r="CN53" s="394"/>
      <c r="CO53" s="258"/>
      <c r="CP53" s="258"/>
      <c r="CQ53" s="369"/>
      <c r="CR53" s="1"/>
      <c r="CS53" s="1"/>
      <c r="CT53" s="1"/>
      <c r="CU53" s="1"/>
      <c r="CV53" s="1"/>
      <c r="CW53" s="2"/>
      <c r="CX53" s="603"/>
    </row>
    <row r="54" spans="1:102">
      <c r="A54" s="472"/>
      <c r="B54" s="39" t="s">
        <v>188</v>
      </c>
      <c r="C54" s="309" t="s">
        <v>48</v>
      </c>
      <c r="D54" s="129"/>
      <c r="E54" s="66"/>
      <c r="F54" s="40" t="s">
        <v>187</v>
      </c>
      <c r="G54" s="41" t="s">
        <v>187</v>
      </c>
      <c r="H54" s="246">
        <v>6</v>
      </c>
      <c r="I54" s="313" t="s">
        <v>270</v>
      </c>
      <c r="J54" s="138">
        <v>9</v>
      </c>
      <c r="K54" s="354">
        <v>2.5000000000000001E-2</v>
      </c>
      <c r="L54" s="319">
        <f t="shared" si="11"/>
        <v>4.7457627118644066</v>
      </c>
      <c r="M54" s="251">
        <v>30</v>
      </c>
      <c r="N54" s="373">
        <v>6016</v>
      </c>
      <c r="O54" s="361">
        <v>42315</v>
      </c>
      <c r="P54" s="266" t="s">
        <v>202</v>
      </c>
      <c r="Q54" s="167">
        <v>1120</v>
      </c>
      <c r="R54" s="42">
        <v>236</v>
      </c>
      <c r="S54" s="154">
        <v>60480</v>
      </c>
      <c r="T54" s="372" t="s">
        <v>370</v>
      </c>
      <c r="U54" s="252" t="s">
        <v>387</v>
      </c>
      <c r="V54" s="247">
        <v>374</v>
      </c>
      <c r="W54" s="244">
        <v>79</v>
      </c>
      <c r="X54" s="399">
        <v>5</v>
      </c>
      <c r="Y54" s="288">
        <f t="shared" si="12"/>
        <v>1870</v>
      </c>
      <c r="Z54" s="336">
        <f t="shared" si="13"/>
        <v>16830</v>
      </c>
      <c r="AA54" s="43">
        <v>2.5</v>
      </c>
      <c r="AB54" s="42">
        <v>0</v>
      </c>
      <c r="AC54" s="42">
        <v>0</v>
      </c>
      <c r="AD54" s="42">
        <v>0</v>
      </c>
      <c r="AE54" s="42">
        <v>0</v>
      </c>
      <c r="AF54" s="334">
        <v>10000</v>
      </c>
      <c r="AG54" s="247">
        <v>467</v>
      </c>
      <c r="AH54" s="244">
        <v>99</v>
      </c>
      <c r="AI54" s="399">
        <v>5</v>
      </c>
      <c r="AJ54" s="288">
        <f t="shared" si="14"/>
        <v>2335</v>
      </c>
      <c r="AK54" s="336">
        <f t="shared" si="15"/>
        <v>21015</v>
      </c>
      <c r="AL54" s="43">
        <f>24+8</f>
        <v>32</v>
      </c>
      <c r="AM54" s="50">
        <v>2240000</v>
      </c>
      <c r="AN54" s="42">
        <v>0</v>
      </c>
      <c r="AO54" s="42">
        <v>2</v>
      </c>
      <c r="AP54" s="42">
        <v>0</v>
      </c>
      <c r="AQ54" s="301">
        <v>10000</v>
      </c>
      <c r="AR54" s="247">
        <v>560</v>
      </c>
      <c r="AS54" s="244">
        <v>118</v>
      </c>
      <c r="AT54" s="399">
        <v>5</v>
      </c>
      <c r="AU54" s="288">
        <f t="shared" si="16"/>
        <v>2800</v>
      </c>
      <c r="AV54" s="336">
        <f t="shared" si="17"/>
        <v>25200</v>
      </c>
      <c r="AW54" s="43">
        <f>24*3</f>
        <v>72</v>
      </c>
      <c r="AX54" s="50">
        <v>3360000</v>
      </c>
      <c r="AY54" s="42">
        <v>0</v>
      </c>
      <c r="AZ54" s="42">
        <v>4</v>
      </c>
      <c r="BA54" s="42">
        <v>0</v>
      </c>
      <c r="BB54" s="301">
        <v>10000</v>
      </c>
      <c r="BC54" s="247">
        <v>747</v>
      </c>
      <c r="BD54" s="244">
        <v>158</v>
      </c>
      <c r="BE54" s="399">
        <v>5</v>
      </c>
      <c r="BF54" s="288">
        <f t="shared" si="18"/>
        <v>3735</v>
      </c>
      <c r="BG54" s="336">
        <f t="shared" si="19"/>
        <v>33615</v>
      </c>
      <c r="BH54" s="43">
        <f>5*24</f>
        <v>120</v>
      </c>
      <c r="BI54" s="50">
        <v>4480000</v>
      </c>
      <c r="BJ54" s="42">
        <v>0</v>
      </c>
      <c r="BK54" s="42">
        <v>6</v>
      </c>
      <c r="BL54" s="42">
        <v>0</v>
      </c>
      <c r="BM54" s="276">
        <v>10000</v>
      </c>
      <c r="BN54" s="247">
        <v>1120</v>
      </c>
      <c r="BO54" s="244">
        <v>236</v>
      </c>
      <c r="BP54" s="399">
        <v>6</v>
      </c>
      <c r="BQ54" s="288">
        <f t="shared" si="29"/>
        <v>6720</v>
      </c>
      <c r="BR54" s="336">
        <f t="shared" si="30"/>
        <v>60480</v>
      </c>
      <c r="BS54" s="43">
        <f>9*24</f>
        <v>216</v>
      </c>
      <c r="BT54" s="50">
        <v>5600000</v>
      </c>
      <c r="BU54" s="42">
        <v>0</v>
      </c>
      <c r="BV54" s="42">
        <v>12</v>
      </c>
      <c r="BW54" s="42">
        <v>0</v>
      </c>
      <c r="BX54" s="276">
        <v>10000</v>
      </c>
      <c r="BY54" s="75"/>
      <c r="BZ54" s="378"/>
      <c r="CA54" s="236">
        <v>10000</v>
      </c>
      <c r="CB54" s="366">
        <v>250000</v>
      </c>
      <c r="CC54" s="326">
        <v>500000</v>
      </c>
      <c r="CD54" s="326">
        <v>1000000</v>
      </c>
      <c r="CE54" s="326"/>
      <c r="CF54" s="326"/>
      <c r="CG54" s="326"/>
      <c r="CH54" s="326"/>
      <c r="CI54" s="326"/>
      <c r="CJ54" s="326"/>
      <c r="CK54" s="326"/>
      <c r="CL54" s="415"/>
      <c r="CM54" s="428" t="s">
        <v>43</v>
      </c>
      <c r="CN54" s="394"/>
      <c r="CO54" s="258"/>
      <c r="CP54" s="258"/>
      <c r="CQ54" s="369"/>
      <c r="CR54" s="1"/>
      <c r="CS54" s="1"/>
      <c r="CT54" s="1"/>
      <c r="CU54" s="1"/>
      <c r="CV54" s="1"/>
      <c r="CW54" s="2"/>
      <c r="CX54" s="603"/>
    </row>
    <row r="55" spans="1:102">
      <c r="A55" s="472"/>
      <c r="B55" s="39" t="s">
        <v>212</v>
      </c>
      <c r="C55" s="309" t="s">
        <v>48</v>
      </c>
      <c r="D55" s="129"/>
      <c r="E55" s="66" t="s">
        <v>210</v>
      </c>
      <c r="F55" s="40"/>
      <c r="G55" s="41"/>
      <c r="H55" s="246">
        <v>6</v>
      </c>
      <c r="I55" s="313" t="s">
        <v>270</v>
      </c>
      <c r="J55" s="138">
        <v>9</v>
      </c>
      <c r="K55" s="354">
        <v>2.5000000000000001E-2</v>
      </c>
      <c r="L55" s="319">
        <f t="shared" si="11"/>
        <v>4.7029288702928866</v>
      </c>
      <c r="M55" s="251">
        <v>30</v>
      </c>
      <c r="N55" s="373">
        <v>6021</v>
      </c>
      <c r="O55" s="361">
        <v>42343</v>
      </c>
      <c r="P55" s="266" t="s">
        <v>206</v>
      </c>
      <c r="Q55" s="167">
        <v>1124</v>
      </c>
      <c r="R55" s="42">
        <v>239</v>
      </c>
      <c r="S55" s="154">
        <v>60696</v>
      </c>
      <c r="T55" s="372" t="s">
        <v>371</v>
      </c>
      <c r="U55" s="252" t="s">
        <v>388</v>
      </c>
      <c r="V55" s="247">
        <v>375</v>
      </c>
      <c r="W55" s="244">
        <v>80</v>
      </c>
      <c r="X55" s="399">
        <v>6</v>
      </c>
      <c r="Y55" s="288">
        <f t="shared" si="12"/>
        <v>2250</v>
      </c>
      <c r="Z55" s="336">
        <f t="shared" si="13"/>
        <v>20250</v>
      </c>
      <c r="AA55" s="43">
        <v>3</v>
      </c>
      <c r="AB55" s="42">
        <v>0</v>
      </c>
      <c r="AC55" s="42">
        <v>0</v>
      </c>
      <c r="AD55" s="42">
        <v>0</v>
      </c>
      <c r="AE55" s="42">
        <v>0</v>
      </c>
      <c r="AF55" s="334">
        <v>10000</v>
      </c>
      <c r="AG55" s="247">
        <v>469</v>
      </c>
      <c r="AH55" s="244">
        <v>100</v>
      </c>
      <c r="AI55" s="399">
        <v>6</v>
      </c>
      <c r="AJ55" s="288">
        <f t="shared" si="14"/>
        <v>2814</v>
      </c>
      <c r="AK55" s="336">
        <f t="shared" si="15"/>
        <v>25326</v>
      </c>
      <c r="AL55" s="43">
        <f>24+12</f>
        <v>36</v>
      </c>
      <c r="AM55" s="50">
        <v>2280000</v>
      </c>
      <c r="AN55" s="42">
        <v>0</v>
      </c>
      <c r="AO55" s="42">
        <v>3</v>
      </c>
      <c r="AP55" s="42">
        <v>0</v>
      </c>
      <c r="AQ55" s="276">
        <v>10000</v>
      </c>
      <c r="AR55" s="307">
        <v>562</v>
      </c>
      <c r="AS55" s="261">
        <v>120</v>
      </c>
      <c r="AT55" s="399">
        <v>6</v>
      </c>
      <c r="AU55" s="409">
        <f t="shared" si="16"/>
        <v>3372</v>
      </c>
      <c r="AV55" s="347">
        <f t="shared" si="17"/>
        <v>30348</v>
      </c>
      <c r="AW55" s="617">
        <v>96</v>
      </c>
      <c r="AX55" s="618">
        <f>2280000*348/232</f>
        <v>3420000</v>
      </c>
      <c r="AY55" s="389">
        <v>0</v>
      </c>
      <c r="AZ55" s="389">
        <v>5</v>
      </c>
      <c r="BA55" s="389">
        <v>0</v>
      </c>
      <c r="BB55" s="276">
        <v>10000</v>
      </c>
      <c r="BC55" s="307">
        <v>750</v>
      </c>
      <c r="BD55" s="261">
        <v>160</v>
      </c>
      <c r="BE55" s="399">
        <v>6</v>
      </c>
      <c r="BF55" s="409">
        <f t="shared" si="18"/>
        <v>4500</v>
      </c>
      <c r="BG55" s="347">
        <f t="shared" si="19"/>
        <v>40500</v>
      </c>
      <c r="BH55" s="617">
        <v>144</v>
      </c>
      <c r="BI55" s="618">
        <v>4560000</v>
      </c>
      <c r="BJ55" s="389">
        <v>0</v>
      </c>
      <c r="BK55" s="389">
        <v>8</v>
      </c>
      <c r="BL55" s="389">
        <v>0</v>
      </c>
      <c r="BM55" s="276">
        <v>10000</v>
      </c>
      <c r="BN55" s="247">
        <v>1124</v>
      </c>
      <c r="BO55" s="244">
        <v>239</v>
      </c>
      <c r="BP55" s="399">
        <v>6</v>
      </c>
      <c r="BQ55" s="288">
        <f t="shared" si="29"/>
        <v>6744</v>
      </c>
      <c r="BR55" s="336">
        <f t="shared" si="30"/>
        <v>60696</v>
      </c>
      <c r="BS55" s="617">
        <v>216</v>
      </c>
      <c r="BT55" s="618">
        <v>5700000</v>
      </c>
      <c r="BU55" s="389">
        <v>0</v>
      </c>
      <c r="BV55" s="389">
        <v>10</v>
      </c>
      <c r="BW55" s="389">
        <v>0</v>
      </c>
      <c r="BX55" s="276">
        <v>10000</v>
      </c>
      <c r="BY55" s="365">
        <v>135</v>
      </c>
      <c r="BZ55" s="378" t="s">
        <v>43</v>
      </c>
      <c r="CA55" s="236">
        <v>10000</v>
      </c>
      <c r="CB55" s="366">
        <v>300000</v>
      </c>
      <c r="CC55" s="326">
        <v>600000</v>
      </c>
      <c r="CD55" s="326"/>
      <c r="CE55" s="326"/>
      <c r="CF55" s="326"/>
      <c r="CG55" s="326"/>
      <c r="CH55" s="326"/>
      <c r="CI55" s="326"/>
      <c r="CJ55" s="326"/>
      <c r="CK55" s="326"/>
      <c r="CL55" s="415"/>
      <c r="CM55" s="428" t="s">
        <v>43</v>
      </c>
      <c r="CN55" s="394"/>
      <c r="CO55" s="258"/>
      <c r="CP55" s="258"/>
      <c r="CQ55" s="369"/>
      <c r="CR55" s="1"/>
      <c r="CS55" s="1"/>
      <c r="CT55" s="1"/>
      <c r="CU55" s="1"/>
      <c r="CV55" s="1"/>
      <c r="CW55" s="2"/>
      <c r="CX55" s="603"/>
    </row>
    <row r="56" spans="1:102">
      <c r="A56" s="472"/>
      <c r="B56" s="39" t="s">
        <v>229</v>
      </c>
      <c r="C56" s="309" t="s">
        <v>48</v>
      </c>
      <c r="D56" s="129"/>
      <c r="E56" s="66" t="s">
        <v>43</v>
      </c>
      <c r="F56" s="40"/>
      <c r="G56" s="41"/>
      <c r="H56" s="246">
        <v>6</v>
      </c>
      <c r="I56" s="313" t="s">
        <v>270</v>
      </c>
      <c r="J56" s="138">
        <v>9</v>
      </c>
      <c r="K56" s="329">
        <v>2.5000000000000001E-2</v>
      </c>
      <c r="L56" s="319">
        <f t="shared" si="11"/>
        <v>4.6570247933884295</v>
      </c>
      <c r="M56" s="251">
        <v>30</v>
      </c>
      <c r="N56" s="373">
        <v>6025</v>
      </c>
      <c r="O56" s="361">
        <v>42364</v>
      </c>
      <c r="P56" s="266" t="s">
        <v>206</v>
      </c>
      <c r="Q56" s="167">
        <v>1127</v>
      </c>
      <c r="R56" s="42">
        <v>242</v>
      </c>
      <c r="S56" s="154">
        <v>60858</v>
      </c>
      <c r="T56" s="372" t="s">
        <v>372</v>
      </c>
      <c r="U56" s="252" t="s">
        <v>427</v>
      </c>
      <c r="V56" s="247">
        <v>376</v>
      </c>
      <c r="W56" s="244">
        <v>81</v>
      </c>
      <c r="X56" s="399">
        <v>6</v>
      </c>
      <c r="Y56" s="288">
        <f t="shared" si="12"/>
        <v>2256</v>
      </c>
      <c r="Z56" s="336">
        <f t="shared" si="13"/>
        <v>20304</v>
      </c>
      <c r="AA56" s="43">
        <v>3</v>
      </c>
      <c r="AB56" s="42">
        <v>0</v>
      </c>
      <c r="AC56" s="42">
        <v>0</v>
      </c>
      <c r="AD56" s="42">
        <v>0</v>
      </c>
      <c r="AE56" s="42">
        <v>0</v>
      </c>
      <c r="AF56" s="414">
        <v>10000</v>
      </c>
      <c r="AG56" s="307">
        <v>470</v>
      </c>
      <c r="AH56" s="261">
        <v>101</v>
      </c>
      <c r="AI56" s="399">
        <v>6</v>
      </c>
      <c r="AJ56" s="409">
        <f t="shared" si="14"/>
        <v>2820</v>
      </c>
      <c r="AK56" s="347">
        <f t="shared" si="15"/>
        <v>25380</v>
      </c>
      <c r="AL56" s="43"/>
      <c r="AM56" s="50"/>
      <c r="AN56" s="42"/>
      <c r="AO56" s="42"/>
      <c r="AP56" s="42"/>
      <c r="AQ56" s="276">
        <v>10000</v>
      </c>
      <c r="AR56" s="307">
        <v>564</v>
      </c>
      <c r="AS56" s="261">
        <v>121</v>
      </c>
      <c r="AT56" s="399">
        <v>6</v>
      </c>
      <c r="AU56" s="409">
        <f t="shared" si="16"/>
        <v>3384</v>
      </c>
      <c r="AV56" s="347">
        <f t="shared" si="17"/>
        <v>30456</v>
      </c>
      <c r="AW56" s="43"/>
      <c r="AX56" s="50"/>
      <c r="AY56" s="42"/>
      <c r="AZ56" s="42"/>
      <c r="BA56" s="42"/>
      <c r="BB56" s="276">
        <v>10000</v>
      </c>
      <c r="BC56" s="307">
        <v>752</v>
      </c>
      <c r="BD56" s="261">
        <v>162</v>
      </c>
      <c r="BE56" s="399">
        <v>6</v>
      </c>
      <c r="BF56" s="409">
        <f t="shared" si="18"/>
        <v>4512</v>
      </c>
      <c r="BG56" s="347">
        <f t="shared" si="19"/>
        <v>40608</v>
      </c>
      <c r="BH56" s="43"/>
      <c r="BI56" s="50"/>
      <c r="BJ56" s="42"/>
      <c r="BK56" s="42"/>
      <c r="BL56" s="42"/>
      <c r="BM56" s="276">
        <v>10000</v>
      </c>
      <c r="BN56" s="247">
        <v>1127</v>
      </c>
      <c r="BO56" s="244">
        <v>242</v>
      </c>
      <c r="BP56" s="399">
        <v>6</v>
      </c>
      <c r="BQ56" s="288">
        <f t="shared" si="29"/>
        <v>6762</v>
      </c>
      <c r="BR56" s="336">
        <f t="shared" si="30"/>
        <v>60858</v>
      </c>
      <c r="BS56" s="43"/>
      <c r="BT56" s="50"/>
      <c r="BU56" s="42"/>
      <c r="BV56" s="42"/>
      <c r="BW56" s="42"/>
      <c r="BX56" s="276">
        <v>10000</v>
      </c>
      <c r="BY56" s="75"/>
      <c r="BZ56" s="378"/>
      <c r="CA56" s="236">
        <v>10000</v>
      </c>
      <c r="CB56" s="366">
        <v>330000</v>
      </c>
      <c r="CC56" s="326">
        <v>660000</v>
      </c>
      <c r="CD56" s="326"/>
      <c r="CE56" s="326"/>
      <c r="CF56" s="326"/>
      <c r="CG56" s="326"/>
      <c r="CH56" s="326"/>
      <c r="CI56" s="326"/>
      <c r="CJ56" s="326"/>
      <c r="CK56" s="326"/>
      <c r="CL56" s="415"/>
      <c r="CM56" s="428" t="s">
        <v>43</v>
      </c>
      <c r="CN56" s="394"/>
      <c r="CO56" s="258"/>
      <c r="CP56" s="258"/>
      <c r="CQ56" s="369"/>
      <c r="CR56" s="1"/>
      <c r="CS56" s="1"/>
      <c r="CT56" s="1"/>
      <c r="CU56" s="1"/>
      <c r="CV56" s="1"/>
      <c r="CW56" s="2"/>
      <c r="CX56" s="603"/>
    </row>
    <row r="57" spans="1:102">
      <c r="A57" s="472"/>
      <c r="B57" s="39" t="s">
        <v>243</v>
      </c>
      <c r="C57" s="309" t="s">
        <v>48</v>
      </c>
      <c r="D57" s="129" t="s">
        <v>242</v>
      </c>
      <c r="E57" s="66" t="s">
        <v>43</v>
      </c>
      <c r="F57" s="40"/>
      <c r="G57" s="41"/>
      <c r="H57" s="246">
        <v>6</v>
      </c>
      <c r="I57" s="313" t="s">
        <v>270</v>
      </c>
      <c r="J57" s="138">
        <v>9</v>
      </c>
      <c r="K57" s="254">
        <v>2.5000000000000001E-2</v>
      </c>
      <c r="L57" s="319">
        <f t="shared" si="11"/>
        <v>8.75</v>
      </c>
      <c r="M57" s="251">
        <v>30</v>
      </c>
      <c r="N57" s="373">
        <v>6031</v>
      </c>
      <c r="O57" s="361">
        <v>42370</v>
      </c>
      <c r="P57" s="266" t="s">
        <v>206</v>
      </c>
      <c r="Q57" s="167">
        <v>2625</v>
      </c>
      <c r="R57" s="42">
        <v>300</v>
      </c>
      <c r="S57" s="154">
        <v>189000</v>
      </c>
      <c r="T57" s="372" t="s">
        <v>373</v>
      </c>
      <c r="U57" s="252" t="s">
        <v>389</v>
      </c>
      <c r="V57" s="247">
        <v>875</v>
      </c>
      <c r="W57" s="244">
        <v>100</v>
      </c>
      <c r="X57" s="399">
        <v>8</v>
      </c>
      <c r="Y57" s="288">
        <f t="shared" si="12"/>
        <v>7000</v>
      </c>
      <c r="Z57" s="336">
        <f t="shared" si="13"/>
        <v>63000</v>
      </c>
      <c r="AA57" s="43">
        <v>3</v>
      </c>
      <c r="AB57" s="42">
        <v>0</v>
      </c>
      <c r="AC57" s="42">
        <v>0</v>
      </c>
      <c r="AD57" s="42">
        <v>0</v>
      </c>
      <c r="AE57" s="42">
        <v>0</v>
      </c>
      <c r="AF57" s="334">
        <v>10000</v>
      </c>
      <c r="AG57" s="247">
        <v>1094</v>
      </c>
      <c r="AH57" s="244">
        <v>125</v>
      </c>
      <c r="AI57" s="399">
        <v>8</v>
      </c>
      <c r="AJ57" s="288">
        <f t="shared" si="14"/>
        <v>8752</v>
      </c>
      <c r="AK57" s="336">
        <f t="shared" si="15"/>
        <v>78768</v>
      </c>
      <c r="AL57" s="43">
        <f>1*24+14</f>
        <v>38</v>
      </c>
      <c r="AM57" s="50">
        <v>3600000</v>
      </c>
      <c r="AN57" s="42">
        <v>0</v>
      </c>
      <c r="AO57" s="42">
        <v>4</v>
      </c>
      <c r="AP57" s="42">
        <v>0</v>
      </c>
      <c r="AQ57" s="301">
        <v>10000</v>
      </c>
      <c r="AR57" s="247">
        <v>1313</v>
      </c>
      <c r="AS57" s="244">
        <v>150</v>
      </c>
      <c r="AT57" s="399">
        <v>8</v>
      </c>
      <c r="AU57" s="288">
        <f t="shared" si="16"/>
        <v>10504</v>
      </c>
      <c r="AV57" s="336">
        <f t="shared" si="17"/>
        <v>94536</v>
      </c>
      <c r="AW57" s="43">
        <f>4*24+4</f>
        <v>100</v>
      </c>
      <c r="AX57" s="50">
        <v>5400000</v>
      </c>
      <c r="AY57" s="42">
        <v>0</v>
      </c>
      <c r="AZ57" s="42">
        <v>6</v>
      </c>
      <c r="BA57" s="42">
        <v>0</v>
      </c>
      <c r="BB57" s="301">
        <v>10000</v>
      </c>
      <c r="BC57" s="247">
        <v>1750</v>
      </c>
      <c r="BD57" s="244">
        <v>200</v>
      </c>
      <c r="BE57" s="399">
        <v>8</v>
      </c>
      <c r="BF57" s="288">
        <f t="shared" si="18"/>
        <v>14000</v>
      </c>
      <c r="BG57" s="336">
        <f t="shared" si="19"/>
        <v>126000</v>
      </c>
      <c r="BH57" s="43">
        <f>6*24+12</f>
        <v>156</v>
      </c>
      <c r="BI57" s="50">
        <v>7200000</v>
      </c>
      <c r="BJ57" s="42">
        <v>0</v>
      </c>
      <c r="BK57" s="42">
        <v>12</v>
      </c>
      <c r="BL57" s="42">
        <v>0</v>
      </c>
      <c r="BM57" s="301">
        <v>10000</v>
      </c>
      <c r="BN57" s="247">
        <v>2625</v>
      </c>
      <c r="BO57" s="244">
        <v>300</v>
      </c>
      <c r="BP57" s="399">
        <v>8</v>
      </c>
      <c r="BQ57" s="288">
        <f t="shared" si="29"/>
        <v>21000</v>
      </c>
      <c r="BR57" s="336">
        <f t="shared" si="30"/>
        <v>189000</v>
      </c>
      <c r="BS57" s="43">
        <f>10*24</f>
        <v>240</v>
      </c>
      <c r="BT57" s="50">
        <v>9000000</v>
      </c>
      <c r="BU57" s="42">
        <v>0</v>
      </c>
      <c r="BV57" s="42">
        <v>18</v>
      </c>
      <c r="BW57" s="42">
        <v>0</v>
      </c>
      <c r="BX57" s="1025">
        <v>10000</v>
      </c>
      <c r="BY57" s="75"/>
      <c r="BZ57" s="378"/>
      <c r="CA57" s="236">
        <v>10000</v>
      </c>
      <c r="CB57" s="366">
        <v>600000</v>
      </c>
      <c r="CC57" s="326">
        <v>1200000</v>
      </c>
      <c r="CD57" s="326"/>
      <c r="CE57" s="326"/>
      <c r="CF57" s="326"/>
      <c r="CG57" s="326"/>
      <c r="CH57" s="326"/>
      <c r="CI57" s="326"/>
      <c r="CJ57" s="326"/>
      <c r="CK57" s="326"/>
      <c r="CL57" s="415"/>
      <c r="CM57" s="428" t="s">
        <v>43</v>
      </c>
      <c r="CN57" s="394"/>
      <c r="CO57" s="258"/>
      <c r="CP57" s="258"/>
      <c r="CQ57" s="369"/>
      <c r="CR57" s="1"/>
      <c r="CS57" s="1"/>
      <c r="CT57" s="1"/>
      <c r="CU57" s="1"/>
      <c r="CV57" s="1"/>
      <c r="CW57" s="2"/>
      <c r="CX57" s="603"/>
    </row>
    <row r="58" spans="1:102">
      <c r="A58" s="472"/>
      <c r="B58" s="39" t="s">
        <v>246</v>
      </c>
      <c r="C58" s="309" t="s">
        <v>48</v>
      </c>
      <c r="D58" s="129" t="s">
        <v>43</v>
      </c>
      <c r="E58" s="66" t="s">
        <v>43</v>
      </c>
      <c r="F58" s="40"/>
      <c r="G58" s="41"/>
      <c r="H58" s="246">
        <v>6</v>
      </c>
      <c r="I58" s="313" t="s">
        <v>270</v>
      </c>
      <c r="J58" s="138">
        <v>9</v>
      </c>
      <c r="K58" s="1155">
        <v>2.5000000000000001E-2</v>
      </c>
      <c r="L58" s="319">
        <f t="shared" si="11"/>
        <v>8.67741935483871</v>
      </c>
      <c r="M58" s="251">
        <v>30</v>
      </c>
      <c r="N58" s="373">
        <v>6034</v>
      </c>
      <c r="O58" s="361">
        <v>42373</v>
      </c>
      <c r="P58" s="266" t="s">
        <v>206</v>
      </c>
      <c r="Q58" s="167">
        <v>2690</v>
      </c>
      <c r="R58" s="42">
        <v>310</v>
      </c>
      <c r="S58" s="154">
        <v>193680</v>
      </c>
      <c r="T58" s="372" t="s">
        <v>374</v>
      </c>
      <c r="U58" s="252" t="s">
        <v>389</v>
      </c>
      <c r="V58" s="247">
        <v>897</v>
      </c>
      <c r="W58" s="244">
        <v>104</v>
      </c>
      <c r="X58" s="399">
        <v>8</v>
      </c>
      <c r="Y58" s="288">
        <f t="shared" si="12"/>
        <v>7176</v>
      </c>
      <c r="Z58" s="336">
        <f t="shared" si="13"/>
        <v>64584</v>
      </c>
      <c r="AA58" s="43">
        <v>3</v>
      </c>
      <c r="AB58" s="42">
        <v>0</v>
      </c>
      <c r="AC58" s="42">
        <v>0</v>
      </c>
      <c r="AD58" s="42">
        <v>0</v>
      </c>
      <c r="AE58" s="42">
        <v>0</v>
      </c>
      <c r="AF58" s="1154">
        <v>10000</v>
      </c>
      <c r="AG58" s="247">
        <v>1121</v>
      </c>
      <c r="AH58" s="244">
        <v>130</v>
      </c>
      <c r="AI58" s="399">
        <v>8</v>
      </c>
      <c r="AJ58" s="288">
        <f t="shared" si="14"/>
        <v>8968</v>
      </c>
      <c r="AK58" s="336">
        <f t="shared" si="15"/>
        <v>80712</v>
      </c>
      <c r="AL58" s="43">
        <f>1*24+14</f>
        <v>38</v>
      </c>
      <c r="AM58" s="50">
        <v>3680000</v>
      </c>
      <c r="AN58" s="42">
        <v>0</v>
      </c>
      <c r="AO58" s="42">
        <v>4</v>
      </c>
      <c r="AP58" s="42">
        <v>0</v>
      </c>
      <c r="AQ58" s="276">
        <v>10000</v>
      </c>
      <c r="AR58" s="247">
        <v>1345</v>
      </c>
      <c r="AS58" s="244">
        <v>155</v>
      </c>
      <c r="AT58" s="399">
        <v>8</v>
      </c>
      <c r="AU58" s="288">
        <f t="shared" si="16"/>
        <v>10760</v>
      </c>
      <c r="AV58" s="336">
        <f t="shared" si="17"/>
        <v>96840</v>
      </c>
      <c r="AW58" s="43">
        <f>4*24+4</f>
        <v>100</v>
      </c>
      <c r="AX58" s="50">
        <v>5520000</v>
      </c>
      <c r="AY58" s="42">
        <v>0</v>
      </c>
      <c r="AZ58" s="42">
        <v>6</v>
      </c>
      <c r="BA58" s="42">
        <v>0</v>
      </c>
      <c r="BB58" s="276">
        <v>10000</v>
      </c>
      <c r="BC58" s="247">
        <v>1794</v>
      </c>
      <c r="BD58" s="244">
        <v>207</v>
      </c>
      <c r="BE58" s="399">
        <v>8</v>
      </c>
      <c r="BF58" s="288">
        <f t="shared" si="18"/>
        <v>14352</v>
      </c>
      <c r="BG58" s="336">
        <f t="shared" si="19"/>
        <v>129168</v>
      </c>
      <c r="BH58" s="43">
        <f>6*24+12</f>
        <v>156</v>
      </c>
      <c r="BI58" s="50">
        <v>7360000</v>
      </c>
      <c r="BJ58" s="42">
        <v>0</v>
      </c>
      <c r="BK58" s="42">
        <v>12</v>
      </c>
      <c r="BL58" s="42">
        <v>0</v>
      </c>
      <c r="BM58" s="276">
        <v>10000</v>
      </c>
      <c r="BN58" s="247">
        <v>2690</v>
      </c>
      <c r="BO58" s="244">
        <v>310</v>
      </c>
      <c r="BP58" s="399">
        <v>8</v>
      </c>
      <c r="BQ58" s="288">
        <f t="shared" si="29"/>
        <v>21520</v>
      </c>
      <c r="BR58" s="336">
        <f t="shared" si="30"/>
        <v>193680</v>
      </c>
      <c r="BS58" s="43">
        <f>10*24</f>
        <v>240</v>
      </c>
      <c r="BT58" s="50">
        <v>9200000</v>
      </c>
      <c r="BU58" s="42">
        <v>0</v>
      </c>
      <c r="BV58" s="42">
        <v>18</v>
      </c>
      <c r="BW58" s="42">
        <v>0</v>
      </c>
      <c r="BX58" s="276">
        <v>10000</v>
      </c>
      <c r="BY58" s="75"/>
      <c r="BZ58" s="378"/>
      <c r="CA58" s="236">
        <v>10000</v>
      </c>
      <c r="CB58" s="366">
        <v>650000</v>
      </c>
      <c r="CC58" s="326">
        <v>1300000</v>
      </c>
      <c r="CD58" s="326"/>
      <c r="CE58" s="326"/>
      <c r="CF58" s="326"/>
      <c r="CG58" s="326"/>
      <c r="CH58" s="326"/>
      <c r="CI58" s="326"/>
      <c r="CJ58" s="326"/>
      <c r="CK58" s="326"/>
      <c r="CL58" s="415"/>
      <c r="CM58" s="428" t="s">
        <v>43</v>
      </c>
      <c r="CN58" s="394"/>
      <c r="CO58" s="258"/>
      <c r="CP58" s="258"/>
      <c r="CQ58" s="369"/>
      <c r="CR58" s="1"/>
      <c r="CS58" s="1"/>
      <c r="CT58" s="1"/>
      <c r="CU58" s="1"/>
      <c r="CV58" s="1"/>
      <c r="CW58" s="2"/>
      <c r="CX58" s="603"/>
    </row>
    <row r="59" spans="1:102">
      <c r="A59" s="472"/>
      <c r="B59" s="39" t="s">
        <v>256</v>
      </c>
      <c r="C59" s="309" t="s">
        <v>48</v>
      </c>
      <c r="D59" s="129" t="s">
        <v>43</v>
      </c>
      <c r="E59" s="66" t="s">
        <v>43</v>
      </c>
      <c r="F59" s="40"/>
      <c r="G59" s="41"/>
      <c r="H59" s="246">
        <v>6</v>
      </c>
      <c r="I59" s="313" t="s">
        <v>270</v>
      </c>
      <c r="J59" s="138">
        <v>9</v>
      </c>
      <c r="K59" s="329">
        <v>2.5000000000000001E-2</v>
      </c>
      <c r="L59" s="319">
        <f t="shared" si="11"/>
        <v>8.7859424920127793</v>
      </c>
      <c r="M59" s="251">
        <v>30</v>
      </c>
      <c r="N59" s="373">
        <v>6038</v>
      </c>
      <c r="O59" s="361">
        <v>42385</v>
      </c>
      <c r="P59" s="266" t="s">
        <v>206</v>
      </c>
      <c r="Q59" s="167">
        <v>2750</v>
      </c>
      <c r="R59" s="42">
        <v>313</v>
      </c>
      <c r="S59" s="154">
        <v>198000</v>
      </c>
      <c r="T59" s="372" t="s">
        <v>375</v>
      </c>
      <c r="U59" s="252" t="s">
        <v>390</v>
      </c>
      <c r="V59" s="247">
        <v>917</v>
      </c>
      <c r="W59" s="244">
        <v>105</v>
      </c>
      <c r="X59" s="399">
        <v>8</v>
      </c>
      <c r="Y59" s="288">
        <f t="shared" si="12"/>
        <v>7336</v>
      </c>
      <c r="Z59" s="336">
        <f t="shared" si="13"/>
        <v>66024</v>
      </c>
      <c r="AA59" s="43">
        <v>3</v>
      </c>
      <c r="AB59" s="42">
        <v>0</v>
      </c>
      <c r="AC59" s="42">
        <v>0</v>
      </c>
      <c r="AD59" s="42">
        <v>0</v>
      </c>
      <c r="AE59" s="42">
        <v>0</v>
      </c>
      <c r="AF59" s="334">
        <v>10000</v>
      </c>
      <c r="AG59" s="247">
        <v>1146</v>
      </c>
      <c r="AH59" s="244">
        <v>131</v>
      </c>
      <c r="AI59" s="399">
        <v>8</v>
      </c>
      <c r="AJ59" s="288">
        <f t="shared" si="14"/>
        <v>9168</v>
      </c>
      <c r="AK59" s="336">
        <f t="shared" si="15"/>
        <v>82512</v>
      </c>
      <c r="AL59" s="43">
        <f>1*24+14</f>
        <v>38</v>
      </c>
      <c r="AM59" s="50">
        <v>3720000</v>
      </c>
      <c r="AN59" s="42">
        <v>0</v>
      </c>
      <c r="AO59" s="42">
        <v>4</v>
      </c>
      <c r="AP59" s="42">
        <v>0</v>
      </c>
      <c r="AQ59" s="301">
        <v>10000</v>
      </c>
      <c r="AR59" s="247">
        <v>1375</v>
      </c>
      <c r="AS59" s="244">
        <v>157</v>
      </c>
      <c r="AT59" s="399">
        <v>8</v>
      </c>
      <c r="AU59" s="288">
        <f t="shared" si="16"/>
        <v>11000</v>
      </c>
      <c r="AV59" s="336">
        <f t="shared" si="17"/>
        <v>99000</v>
      </c>
      <c r="AW59" s="460">
        <f>4*24+4</f>
        <v>100</v>
      </c>
      <c r="AX59" s="50">
        <v>5580000</v>
      </c>
      <c r="AY59" s="42">
        <v>0</v>
      </c>
      <c r="AZ59" s="42">
        <v>6</v>
      </c>
      <c r="BA59" s="42">
        <v>0</v>
      </c>
      <c r="BB59" s="301">
        <v>10000</v>
      </c>
      <c r="BC59" s="247">
        <v>1834</v>
      </c>
      <c r="BD59" s="244">
        <v>209</v>
      </c>
      <c r="BE59" s="399">
        <v>8</v>
      </c>
      <c r="BF59" s="288">
        <f t="shared" si="18"/>
        <v>14672</v>
      </c>
      <c r="BG59" s="336">
        <f t="shared" si="19"/>
        <v>132048</v>
      </c>
      <c r="BH59" s="460">
        <f>6*24+12</f>
        <v>156</v>
      </c>
      <c r="BI59" s="50">
        <v>7440000</v>
      </c>
      <c r="BJ59" s="459">
        <v>0</v>
      </c>
      <c r="BK59" s="459">
        <v>12</v>
      </c>
      <c r="BL59" s="459">
        <v>0</v>
      </c>
      <c r="BM59" s="276">
        <v>10000</v>
      </c>
      <c r="BN59" s="247">
        <v>2750</v>
      </c>
      <c r="BO59" s="244">
        <v>313</v>
      </c>
      <c r="BP59" s="399">
        <v>8</v>
      </c>
      <c r="BQ59" s="288">
        <f t="shared" si="29"/>
        <v>22000</v>
      </c>
      <c r="BR59" s="336">
        <f t="shared" si="30"/>
        <v>198000</v>
      </c>
      <c r="BS59" s="460">
        <f>10*24</f>
        <v>240</v>
      </c>
      <c r="BT59" s="50">
        <v>9300000</v>
      </c>
      <c r="BU59" s="42">
        <v>0</v>
      </c>
      <c r="BV59" s="42">
        <v>18</v>
      </c>
      <c r="BW59" s="42">
        <v>0</v>
      </c>
      <c r="BX59" s="1025">
        <v>10000</v>
      </c>
      <c r="BY59" s="75"/>
      <c r="BZ59" s="378"/>
      <c r="CA59" s="236">
        <v>10000</v>
      </c>
      <c r="CB59" s="366">
        <v>700000</v>
      </c>
      <c r="CC59" s="326">
        <v>1400000</v>
      </c>
      <c r="CD59" s="326"/>
      <c r="CE59" s="326"/>
      <c r="CF59" s="326"/>
      <c r="CG59" s="326"/>
      <c r="CH59" s="326"/>
      <c r="CI59" s="326"/>
      <c r="CJ59" s="326"/>
      <c r="CK59" s="326"/>
      <c r="CL59" s="415"/>
      <c r="CM59" s="428" t="s">
        <v>43</v>
      </c>
      <c r="CN59" s="394"/>
      <c r="CO59" s="258"/>
      <c r="CP59" s="258"/>
      <c r="CQ59" s="369"/>
      <c r="CR59" s="1"/>
      <c r="CS59" s="1"/>
      <c r="CT59" s="1"/>
      <c r="CU59" s="1"/>
      <c r="CV59" s="1"/>
      <c r="CW59" s="2"/>
      <c r="CX59" s="603"/>
    </row>
    <row r="60" spans="1:102" s="444" customFormat="1">
      <c r="A60" s="472"/>
      <c r="B60" s="456" t="s">
        <v>345</v>
      </c>
      <c r="C60" s="309" t="s">
        <v>48</v>
      </c>
      <c r="D60" s="129" t="s">
        <v>309</v>
      </c>
      <c r="E60" s="466" t="s">
        <v>308</v>
      </c>
      <c r="F60" s="457"/>
      <c r="G60" s="458"/>
      <c r="H60" s="246">
        <v>6</v>
      </c>
      <c r="I60" s="313" t="s">
        <v>270</v>
      </c>
      <c r="J60" s="138">
        <v>9</v>
      </c>
      <c r="K60" s="329">
        <v>2.5000000000000001E-2</v>
      </c>
      <c r="L60" s="319">
        <f t="shared" si="11"/>
        <v>8.8607594936708853</v>
      </c>
      <c r="M60" s="251">
        <v>30</v>
      </c>
      <c r="N60" s="373">
        <v>6041</v>
      </c>
      <c r="O60" s="361">
        <v>42406</v>
      </c>
      <c r="P60" s="266" t="s">
        <v>206</v>
      </c>
      <c r="Q60" s="167">
        <v>2800</v>
      </c>
      <c r="R60" s="459">
        <v>316</v>
      </c>
      <c r="S60" s="154">
        <v>201600</v>
      </c>
      <c r="T60" s="372" t="s">
        <v>376</v>
      </c>
      <c r="U60" s="252" t="s">
        <v>391</v>
      </c>
      <c r="V60" s="346">
        <v>934</v>
      </c>
      <c r="W60" s="381">
        <v>106</v>
      </c>
      <c r="X60" s="330">
        <v>8</v>
      </c>
      <c r="Y60" s="288">
        <f t="shared" si="12"/>
        <v>7472</v>
      </c>
      <c r="Z60" s="336">
        <f t="shared" si="13"/>
        <v>67248</v>
      </c>
      <c r="AA60" s="460">
        <v>3</v>
      </c>
      <c r="AB60" s="459">
        <v>0</v>
      </c>
      <c r="AC60" s="459">
        <v>0</v>
      </c>
      <c r="AD60" s="459">
        <v>0</v>
      </c>
      <c r="AE60" s="459">
        <v>0</v>
      </c>
      <c r="AF60" s="1154">
        <v>10000</v>
      </c>
      <c r="AG60" s="376">
        <v>1167</v>
      </c>
      <c r="AH60" s="351">
        <v>132</v>
      </c>
      <c r="AI60" s="331">
        <v>8</v>
      </c>
      <c r="AJ60" s="291">
        <f t="shared" si="14"/>
        <v>9336</v>
      </c>
      <c r="AK60" s="400">
        <f t="shared" si="15"/>
        <v>84024</v>
      </c>
      <c r="AL60" s="460">
        <f>1*24+14</f>
        <v>38</v>
      </c>
      <c r="AM60" s="461">
        <v>4000000</v>
      </c>
      <c r="AN60" s="459">
        <v>0</v>
      </c>
      <c r="AO60" s="459">
        <v>5</v>
      </c>
      <c r="AP60" s="459">
        <v>0</v>
      </c>
      <c r="AQ60" s="1025">
        <v>10000</v>
      </c>
      <c r="AR60" s="376">
        <v>1400</v>
      </c>
      <c r="AS60" s="351">
        <v>158</v>
      </c>
      <c r="AT60" s="331">
        <v>8</v>
      </c>
      <c r="AU60" s="291">
        <f t="shared" si="16"/>
        <v>11200</v>
      </c>
      <c r="AV60" s="400">
        <f t="shared" si="17"/>
        <v>100800</v>
      </c>
      <c r="AW60" s="617">
        <f>4*24+4</f>
        <v>100</v>
      </c>
      <c r="AX60" s="618">
        <f>8000000*558/744</f>
        <v>6000000</v>
      </c>
      <c r="AY60" s="389">
        <v>0</v>
      </c>
      <c r="AZ60" s="389">
        <v>10</v>
      </c>
      <c r="BA60" s="389">
        <v>0</v>
      </c>
      <c r="BB60" s="1025">
        <v>10000</v>
      </c>
      <c r="BC60" s="376">
        <v>1867</v>
      </c>
      <c r="BD60" s="351">
        <v>211</v>
      </c>
      <c r="BE60" s="331">
        <v>8</v>
      </c>
      <c r="BF60" s="291">
        <f t="shared" si="18"/>
        <v>14936</v>
      </c>
      <c r="BG60" s="400">
        <f t="shared" si="19"/>
        <v>134424</v>
      </c>
      <c r="BH60" s="460">
        <f>6*24+12</f>
        <v>156</v>
      </c>
      <c r="BI60" s="461">
        <v>8000000</v>
      </c>
      <c r="BJ60" s="459">
        <v>0</v>
      </c>
      <c r="BK60" s="459">
        <v>15</v>
      </c>
      <c r="BL60" s="459">
        <v>0</v>
      </c>
      <c r="BM60" s="1025">
        <v>10000</v>
      </c>
      <c r="BN60" s="376">
        <v>2800</v>
      </c>
      <c r="BO60" s="351">
        <v>316</v>
      </c>
      <c r="BP60" s="331">
        <v>8</v>
      </c>
      <c r="BQ60" s="291">
        <f t="shared" si="29"/>
        <v>22400</v>
      </c>
      <c r="BR60" s="400">
        <f t="shared" si="30"/>
        <v>201600</v>
      </c>
      <c r="BS60" s="460">
        <f>10*24</f>
        <v>240</v>
      </c>
      <c r="BT60" s="461">
        <v>10000000</v>
      </c>
      <c r="BU60" s="459">
        <v>0</v>
      </c>
      <c r="BV60" s="459">
        <v>20</v>
      </c>
      <c r="BW60" s="459">
        <v>0</v>
      </c>
      <c r="BX60" s="1025">
        <v>10000</v>
      </c>
      <c r="BY60" s="470"/>
      <c r="BZ60" s="378"/>
      <c r="CA60" s="236">
        <v>10000</v>
      </c>
      <c r="CB60" s="366">
        <v>900000</v>
      </c>
      <c r="CC60" s="326">
        <v>1800000</v>
      </c>
      <c r="CD60" s="326"/>
      <c r="CE60" s="326"/>
      <c r="CF60" s="326"/>
      <c r="CG60" s="326"/>
      <c r="CH60" s="326"/>
      <c r="CI60" s="326"/>
      <c r="CJ60" s="326"/>
      <c r="CK60" s="326"/>
      <c r="CL60" s="415"/>
      <c r="CM60" s="428" t="s">
        <v>43</v>
      </c>
      <c r="CN60" s="394"/>
      <c r="CO60" s="258"/>
      <c r="CP60" s="258"/>
      <c r="CQ60" s="369"/>
      <c r="CR60" s="1"/>
      <c r="CS60" s="1"/>
      <c r="CT60" s="1"/>
      <c r="CU60" s="1"/>
      <c r="CV60" s="1"/>
      <c r="CW60" s="2"/>
      <c r="CX60" s="603"/>
    </row>
    <row r="61" spans="1:102" s="444" customFormat="1">
      <c r="A61" s="472"/>
      <c r="B61" s="456" t="s">
        <v>705</v>
      </c>
      <c r="C61" s="309" t="s">
        <v>48</v>
      </c>
      <c r="D61" s="129"/>
      <c r="E61" s="466"/>
      <c r="F61" s="457"/>
      <c r="G61" s="458" t="s">
        <v>43</v>
      </c>
      <c r="H61" s="246">
        <v>7</v>
      </c>
      <c r="I61" s="313" t="s">
        <v>706</v>
      </c>
      <c r="J61" s="138">
        <v>12</v>
      </c>
      <c r="K61" s="254">
        <v>2.5000000000000001E-2</v>
      </c>
      <c r="L61" s="319">
        <f t="shared" si="11"/>
        <v>5.75</v>
      </c>
      <c r="M61" s="251">
        <v>100</v>
      </c>
      <c r="N61" s="373">
        <v>534</v>
      </c>
      <c r="O61" s="361">
        <v>42411</v>
      </c>
      <c r="P61" s="266" t="s">
        <v>206</v>
      </c>
      <c r="Q61" s="167">
        <v>1150</v>
      </c>
      <c r="R61" s="459">
        <v>200</v>
      </c>
      <c r="S61" s="154">
        <v>138000</v>
      </c>
      <c r="T61" s="372" t="s">
        <v>709</v>
      </c>
      <c r="U61" s="252" t="s">
        <v>715</v>
      </c>
      <c r="V61" s="376">
        <v>384</v>
      </c>
      <c r="W61" s="351">
        <v>67</v>
      </c>
      <c r="X61" s="331">
        <v>10</v>
      </c>
      <c r="Y61" s="291">
        <f t="shared" si="12"/>
        <v>3840</v>
      </c>
      <c r="Z61" s="400">
        <f t="shared" si="13"/>
        <v>46080</v>
      </c>
      <c r="AA61" s="617">
        <v>1.5</v>
      </c>
      <c r="AB61" s="389">
        <v>0</v>
      </c>
      <c r="AC61" s="389">
        <v>0</v>
      </c>
      <c r="AD61" s="389">
        <v>0</v>
      </c>
      <c r="AE61" s="389">
        <v>0</v>
      </c>
      <c r="AF61" s="414">
        <v>144</v>
      </c>
      <c r="AG61" s="376">
        <v>480</v>
      </c>
      <c r="AH61" s="351">
        <v>84</v>
      </c>
      <c r="AI61" s="331">
        <v>10</v>
      </c>
      <c r="AJ61" s="291">
        <f t="shared" si="14"/>
        <v>4800</v>
      </c>
      <c r="AK61" s="400">
        <f t="shared" si="15"/>
        <v>57600</v>
      </c>
      <c r="AL61" s="1039">
        <v>9</v>
      </c>
      <c r="AM61" s="461">
        <v>3200000</v>
      </c>
      <c r="AN61" s="459">
        <v>0</v>
      </c>
      <c r="AO61" s="459">
        <v>5</v>
      </c>
      <c r="AP61" s="459">
        <v>0</v>
      </c>
      <c r="AQ61" s="276">
        <v>1080</v>
      </c>
      <c r="AR61" s="376">
        <v>575</v>
      </c>
      <c r="AS61" s="351">
        <v>100</v>
      </c>
      <c r="AT61" s="331">
        <v>10</v>
      </c>
      <c r="AU61" s="291">
        <f t="shared" si="16"/>
        <v>5750</v>
      </c>
      <c r="AV61" s="400">
        <f t="shared" si="17"/>
        <v>69000</v>
      </c>
      <c r="AW61" s="1039">
        <v>18</v>
      </c>
      <c r="AX61" s="461">
        <v>4800000</v>
      </c>
      <c r="AY61" s="459">
        <v>0</v>
      </c>
      <c r="AZ61" s="459">
        <v>10</v>
      </c>
      <c r="BA61" s="459">
        <v>0</v>
      </c>
      <c r="BB61" s="276">
        <v>2587</v>
      </c>
      <c r="BC61" s="346">
        <v>767</v>
      </c>
      <c r="BD61" s="381">
        <v>134</v>
      </c>
      <c r="BE61" s="330">
        <v>10</v>
      </c>
      <c r="BF61" s="288">
        <f t="shared" si="18"/>
        <v>7670</v>
      </c>
      <c r="BG61" s="336">
        <f t="shared" si="19"/>
        <v>92040</v>
      </c>
      <c r="BH61" s="460">
        <f>1*24+12</f>
        <v>36</v>
      </c>
      <c r="BI61" s="461">
        <v>6400000</v>
      </c>
      <c r="BJ61" s="459">
        <v>0</v>
      </c>
      <c r="BK61" s="459">
        <v>0</v>
      </c>
      <c r="BL61" s="459">
        <v>5</v>
      </c>
      <c r="BM61" s="276">
        <v>6903</v>
      </c>
      <c r="BN61" s="376">
        <v>1150</v>
      </c>
      <c r="BO61" s="351">
        <v>200</v>
      </c>
      <c r="BP61" s="331">
        <v>10</v>
      </c>
      <c r="BQ61" s="291">
        <f t="shared" si="29"/>
        <v>11500</v>
      </c>
      <c r="BR61" s="400">
        <f t="shared" si="30"/>
        <v>138000</v>
      </c>
      <c r="BS61" s="460">
        <f>3*24</f>
        <v>72</v>
      </c>
      <c r="BT61" s="461">
        <v>8000000</v>
      </c>
      <c r="BU61" s="459">
        <v>0</v>
      </c>
      <c r="BV61" s="459">
        <v>0</v>
      </c>
      <c r="BW61" s="459">
        <v>10</v>
      </c>
      <c r="BX61" s="276">
        <v>10000</v>
      </c>
      <c r="BY61" s="470"/>
      <c r="BZ61" s="378"/>
      <c r="CA61" s="236"/>
      <c r="CB61" s="366"/>
      <c r="CC61" s="326"/>
      <c r="CD61" s="326"/>
      <c r="CE61" s="326"/>
      <c r="CF61" s="326"/>
      <c r="CG61" s="326"/>
      <c r="CH61" s="326"/>
      <c r="CI61" s="326"/>
      <c r="CJ61" s="326"/>
      <c r="CK61" s="326"/>
      <c r="CL61" s="415"/>
      <c r="CM61" s="428" t="s">
        <v>712</v>
      </c>
      <c r="CN61" s="394"/>
      <c r="CO61" s="258"/>
      <c r="CP61" s="258"/>
      <c r="CQ61" s="369"/>
      <c r="CR61" s="1"/>
      <c r="CS61" s="1"/>
      <c r="CT61" s="1"/>
      <c r="CU61" s="1"/>
      <c r="CV61" s="1"/>
      <c r="CW61" s="2"/>
      <c r="CX61" s="603"/>
    </row>
    <row r="62" spans="1:102">
      <c r="A62" s="472"/>
      <c r="B62" s="34" t="s">
        <v>11</v>
      </c>
      <c r="C62" s="437" t="s">
        <v>7</v>
      </c>
      <c r="D62" s="130"/>
      <c r="E62" s="67"/>
      <c r="F62" s="35" t="s">
        <v>57</v>
      </c>
      <c r="G62" s="36"/>
      <c r="H62" s="398">
        <v>1</v>
      </c>
      <c r="I62" s="327" t="s">
        <v>268</v>
      </c>
      <c r="J62" s="139">
        <v>2</v>
      </c>
      <c r="K62" s="324">
        <v>0.1</v>
      </c>
      <c r="L62" s="405">
        <f>IF(ISBLANK(Q62),"",Q62/R62)</f>
        <v>0.86956521739130432</v>
      </c>
      <c r="M62" s="302">
        <v>30</v>
      </c>
      <c r="N62" s="270">
        <v>20</v>
      </c>
      <c r="O62" s="367" t="s">
        <v>306</v>
      </c>
      <c r="P62" s="430" t="s">
        <v>201</v>
      </c>
      <c r="Q62" s="168">
        <v>100</v>
      </c>
      <c r="R62" s="37">
        <v>115</v>
      </c>
      <c r="S62" s="155">
        <v>600</v>
      </c>
      <c r="T62" s="315" t="s">
        <v>394</v>
      </c>
      <c r="U62" s="395" t="s">
        <v>306</v>
      </c>
      <c r="V62" s="284">
        <v>100</v>
      </c>
      <c r="W62" s="255">
        <v>115</v>
      </c>
      <c r="X62" s="303">
        <v>3</v>
      </c>
      <c r="Y62" s="408">
        <f>IF(ISBLANK(X62), "",INT(V62*X62))</f>
        <v>300</v>
      </c>
      <c r="Z62" s="242">
        <f>IF(ISBLANK(X62),"",INT(Y62*$J62))</f>
        <v>600</v>
      </c>
      <c r="AA62" s="38">
        <f>3/60/60</f>
        <v>8.3333333333333339E-4</v>
      </c>
      <c r="AB62" s="37">
        <v>1000</v>
      </c>
      <c r="AC62" s="37">
        <v>0</v>
      </c>
      <c r="AD62" s="37">
        <v>0</v>
      </c>
      <c r="AE62" s="37">
        <v>0</v>
      </c>
      <c r="AF62" s="317">
        <v>25</v>
      </c>
      <c r="AG62" s="284">
        <v>150</v>
      </c>
      <c r="AH62" s="255">
        <v>172</v>
      </c>
      <c r="AI62" s="303">
        <v>3</v>
      </c>
      <c r="AJ62" s="408">
        <f>IF(ISBLANK(AI62), "",INT(AG62*AI62))</f>
        <v>450</v>
      </c>
      <c r="AK62" s="242">
        <f>IF(ISBLANK(AI62),"",INT(AJ62*$J62))</f>
        <v>900</v>
      </c>
      <c r="AL62" s="38">
        <f>5/60</f>
        <v>8.3333333333333329E-2</v>
      </c>
      <c r="AM62" s="51">
        <v>3000</v>
      </c>
      <c r="AN62" s="37">
        <v>0</v>
      </c>
      <c r="AO62" s="37">
        <v>0</v>
      </c>
      <c r="AP62" s="37">
        <v>0</v>
      </c>
      <c r="AQ62" s="412">
        <v>7</v>
      </c>
      <c r="AR62" s="284">
        <v>175</v>
      </c>
      <c r="AS62" s="255">
        <v>201</v>
      </c>
      <c r="AT62" s="303">
        <v>3</v>
      </c>
      <c r="AU62" s="408">
        <f>IF(ISBLANK(AT62), "",INT(AR62*AT62))</f>
        <v>525</v>
      </c>
      <c r="AV62" s="242">
        <f>IF(ISBLANK(AT62),"",INT(AU62*$J62))</f>
        <v>1050</v>
      </c>
      <c r="AW62" s="38">
        <v>0.5</v>
      </c>
      <c r="AX62" s="51">
        <v>6000</v>
      </c>
      <c r="AY62" s="37">
        <v>1</v>
      </c>
      <c r="AZ62" s="37">
        <v>0</v>
      </c>
      <c r="BA62" s="37">
        <v>0</v>
      </c>
      <c r="BB62" s="412">
        <v>26</v>
      </c>
      <c r="BC62" s="284">
        <v>190</v>
      </c>
      <c r="BD62" s="255">
        <v>218</v>
      </c>
      <c r="BE62" s="303">
        <v>3</v>
      </c>
      <c r="BF62" s="408">
        <f>IF(ISBLANK(BE62), "",INT(BC62*BE62))</f>
        <v>570</v>
      </c>
      <c r="BG62" s="242">
        <f>IF(ISBLANK(BE62),"",INT(BF62*$J62))</f>
        <v>1140</v>
      </c>
      <c r="BH62" s="38">
        <v>1</v>
      </c>
      <c r="BI62" s="51">
        <v>9000</v>
      </c>
      <c r="BJ62" s="37">
        <v>0</v>
      </c>
      <c r="BK62" s="37">
        <v>0</v>
      </c>
      <c r="BL62" s="37">
        <v>0</v>
      </c>
      <c r="BM62" s="412">
        <v>57</v>
      </c>
      <c r="BN62" s="284">
        <v>200</v>
      </c>
      <c r="BO62" s="255">
        <v>230</v>
      </c>
      <c r="BP62" s="303">
        <v>3</v>
      </c>
      <c r="BQ62" s="408">
        <f t="shared" si="29"/>
        <v>600</v>
      </c>
      <c r="BR62" s="242">
        <f t="shared" si="30"/>
        <v>1200</v>
      </c>
      <c r="BS62" s="38">
        <v>2</v>
      </c>
      <c r="BT62" s="51">
        <v>12000</v>
      </c>
      <c r="BU62" s="37">
        <v>0</v>
      </c>
      <c r="BV62" s="37">
        <v>1</v>
      </c>
      <c r="BW62" s="37">
        <v>0</v>
      </c>
      <c r="BX62" s="412">
        <v>80</v>
      </c>
      <c r="BY62" s="74">
        <v>1</v>
      </c>
      <c r="BZ62" s="285" t="s">
        <v>43</v>
      </c>
      <c r="CA62" s="382"/>
      <c r="CB62" s="289"/>
      <c r="CC62" s="296"/>
      <c r="CD62" s="296"/>
      <c r="CE62" s="296"/>
      <c r="CF62" s="296"/>
      <c r="CG62" s="296"/>
      <c r="CH62" s="296"/>
      <c r="CI62" s="296"/>
      <c r="CJ62" s="296"/>
      <c r="CK62" s="296"/>
      <c r="CL62" s="333"/>
      <c r="CM62" s="353" t="s">
        <v>308</v>
      </c>
      <c r="CN62" s="320">
        <v>2</v>
      </c>
      <c r="CO62" s="367">
        <v>2</v>
      </c>
      <c r="CP62" s="367">
        <v>12</v>
      </c>
      <c r="CQ62" s="310">
        <v>22</v>
      </c>
      <c r="CR62" s="1"/>
      <c r="CS62" s="1"/>
      <c r="CT62" s="1"/>
      <c r="CU62" s="1"/>
      <c r="CV62" s="1"/>
      <c r="CW62" s="2"/>
      <c r="CX62" s="603"/>
    </row>
    <row r="63" spans="1:102">
      <c r="A63" s="472"/>
      <c r="B63" s="34" t="s">
        <v>62</v>
      </c>
      <c r="C63" s="437" t="s">
        <v>7</v>
      </c>
      <c r="D63" s="130"/>
      <c r="E63" s="67" t="s">
        <v>0</v>
      </c>
      <c r="F63" s="35"/>
      <c r="G63" s="36"/>
      <c r="H63" s="398">
        <v>1</v>
      </c>
      <c r="I63" s="327" t="s">
        <v>268</v>
      </c>
      <c r="J63" s="139">
        <v>1</v>
      </c>
      <c r="K63" s="324">
        <v>0.13250000000000001</v>
      </c>
      <c r="L63" s="405">
        <f t="shared" si="11"/>
        <v>0.55555555555555558</v>
      </c>
      <c r="M63" s="302">
        <v>30</v>
      </c>
      <c r="N63" s="270">
        <v>8</v>
      </c>
      <c r="O63" s="367" t="s">
        <v>306</v>
      </c>
      <c r="P63" s="430" t="s">
        <v>201</v>
      </c>
      <c r="Q63" s="168">
        <v>70</v>
      </c>
      <c r="R63" s="37">
        <v>126</v>
      </c>
      <c r="S63" s="155">
        <v>420</v>
      </c>
      <c r="T63" s="315" t="s">
        <v>422</v>
      </c>
      <c r="U63" s="395" t="s">
        <v>306</v>
      </c>
      <c r="V63" s="284">
        <v>70</v>
      </c>
      <c r="W63" s="255">
        <v>126</v>
      </c>
      <c r="X63" s="303">
        <v>6</v>
      </c>
      <c r="Y63" s="408">
        <f t="shared" ref="Y63:Y93" si="31">IF(ISBLANK(X63), "",INT(V63*X63))</f>
        <v>420</v>
      </c>
      <c r="Z63" s="242">
        <f t="shared" ref="Z63:Z93" si="32">IF(ISBLANK(X63),"",INT(Y63*$J63))</f>
        <v>420</v>
      </c>
      <c r="AA63" s="38">
        <f>3/60/60</f>
        <v>8.3333333333333339E-4</v>
      </c>
      <c r="AB63" s="37">
        <v>800</v>
      </c>
      <c r="AC63" s="37">
        <v>0</v>
      </c>
      <c r="AD63" s="37">
        <v>0</v>
      </c>
      <c r="AE63" s="37">
        <v>0</v>
      </c>
      <c r="AF63" s="317">
        <v>25</v>
      </c>
      <c r="AG63" s="284">
        <v>105</v>
      </c>
      <c r="AH63" s="255">
        <v>189</v>
      </c>
      <c r="AI63" s="303">
        <v>6</v>
      </c>
      <c r="AJ63" s="408">
        <f>IF(ISBLANK(AI63), "",INT(AG63*AI63))</f>
        <v>630</v>
      </c>
      <c r="AK63" s="242">
        <f>IF(ISBLANK(AI63),"",INT(AJ63*$J63))</f>
        <v>630</v>
      </c>
      <c r="AL63" s="38">
        <f>5/60</f>
        <v>8.3333333333333329E-2</v>
      </c>
      <c r="AM63" s="51">
        <v>3000</v>
      </c>
      <c r="AN63" s="37">
        <v>0</v>
      </c>
      <c r="AO63" s="37">
        <v>0</v>
      </c>
      <c r="AP63" s="37">
        <v>0</v>
      </c>
      <c r="AQ63" s="412">
        <v>6</v>
      </c>
      <c r="AR63" s="284">
        <v>122</v>
      </c>
      <c r="AS63" s="255">
        <v>220</v>
      </c>
      <c r="AT63" s="303">
        <v>6</v>
      </c>
      <c r="AU63" s="408">
        <f>IF(ISBLANK(AT63), "",INT(AR63*AT63))</f>
        <v>732</v>
      </c>
      <c r="AV63" s="242">
        <f>IF(ISBLANK(AT63),"",INT(AU63*$J63))</f>
        <v>732</v>
      </c>
      <c r="AW63" s="38">
        <v>0.5</v>
      </c>
      <c r="AX63" s="51">
        <v>6000</v>
      </c>
      <c r="AY63" s="37">
        <v>1</v>
      </c>
      <c r="AZ63" s="37">
        <v>0</v>
      </c>
      <c r="BA63" s="37">
        <v>0</v>
      </c>
      <c r="BB63" s="412">
        <v>48</v>
      </c>
      <c r="BC63" s="284">
        <v>133</v>
      </c>
      <c r="BD63" s="255">
        <v>239</v>
      </c>
      <c r="BE63" s="303">
        <v>7</v>
      </c>
      <c r="BF63" s="408">
        <f t="shared" si="18"/>
        <v>931</v>
      </c>
      <c r="BG63" s="242">
        <f t="shared" si="19"/>
        <v>931</v>
      </c>
      <c r="BH63" s="38">
        <v>1</v>
      </c>
      <c r="BI63" s="51">
        <v>9000</v>
      </c>
      <c r="BJ63" s="37">
        <v>0</v>
      </c>
      <c r="BK63" s="37">
        <v>0</v>
      </c>
      <c r="BL63" s="37">
        <v>0</v>
      </c>
      <c r="BM63" s="412">
        <v>123</v>
      </c>
      <c r="BN63" s="284">
        <v>140</v>
      </c>
      <c r="BO63" s="255">
        <v>252</v>
      </c>
      <c r="BP63" s="303">
        <v>7</v>
      </c>
      <c r="BQ63" s="408">
        <f t="shared" ref="BQ63:BQ93" si="33">IF(ISBLANK(BP63), "",INT(BN63*BP63))</f>
        <v>980</v>
      </c>
      <c r="BR63" s="242">
        <f t="shared" ref="BR63:BR93" si="34">IF(ISBLANK(BP63),"",INT(BQ63*$J63))</f>
        <v>980</v>
      </c>
      <c r="BS63" s="38">
        <v>2</v>
      </c>
      <c r="BT63" s="51">
        <v>15000</v>
      </c>
      <c r="BU63" s="37">
        <v>0</v>
      </c>
      <c r="BV63" s="37">
        <v>1</v>
      </c>
      <c r="BW63" s="37">
        <v>0</v>
      </c>
      <c r="BX63" s="412">
        <v>173</v>
      </c>
      <c r="BY63" s="74">
        <v>1</v>
      </c>
      <c r="BZ63" s="285" t="s">
        <v>43</v>
      </c>
      <c r="CA63" s="382"/>
      <c r="CB63" s="289"/>
      <c r="CC63" s="296"/>
      <c r="CD63" s="296"/>
      <c r="CE63" s="296"/>
      <c r="CF63" s="296"/>
      <c r="CG63" s="296"/>
      <c r="CH63" s="296"/>
      <c r="CI63" s="296"/>
      <c r="CJ63" s="296"/>
      <c r="CK63" s="296"/>
      <c r="CL63" s="333"/>
      <c r="CM63" s="353" t="s">
        <v>308</v>
      </c>
      <c r="CN63" s="320">
        <v>3</v>
      </c>
      <c r="CO63" s="367">
        <v>3</v>
      </c>
      <c r="CP63" s="367">
        <v>10</v>
      </c>
      <c r="CQ63" s="310">
        <v>21</v>
      </c>
      <c r="CR63" s="1"/>
      <c r="CS63" s="1"/>
      <c r="CT63" s="1"/>
      <c r="CU63" s="1"/>
      <c r="CV63" s="1"/>
      <c r="CW63" s="2"/>
      <c r="CX63" s="603"/>
    </row>
    <row r="64" spans="1:102">
      <c r="A64" s="472"/>
      <c r="B64" s="34" t="s">
        <v>59</v>
      </c>
      <c r="C64" s="437" t="s">
        <v>7</v>
      </c>
      <c r="D64" s="130"/>
      <c r="E64" s="67" t="s">
        <v>0</v>
      </c>
      <c r="F64" s="35"/>
      <c r="G64" s="36"/>
      <c r="H64" s="398">
        <v>1</v>
      </c>
      <c r="I64" s="327" t="s">
        <v>268</v>
      </c>
      <c r="J64" s="139">
        <v>1</v>
      </c>
      <c r="K64" s="324">
        <v>0.13250000000000001</v>
      </c>
      <c r="L64" s="405">
        <f t="shared" si="11"/>
        <v>0.56375838926174493</v>
      </c>
      <c r="M64" s="302">
        <v>30</v>
      </c>
      <c r="N64" s="270">
        <v>10</v>
      </c>
      <c r="O64" s="367" t="s">
        <v>306</v>
      </c>
      <c r="P64" s="430" t="s">
        <v>201</v>
      </c>
      <c r="Q64" s="168">
        <v>84</v>
      </c>
      <c r="R64" s="37">
        <v>149</v>
      </c>
      <c r="S64" s="155">
        <v>504</v>
      </c>
      <c r="T64" s="315" t="s">
        <v>395</v>
      </c>
      <c r="U64" s="395" t="s">
        <v>306</v>
      </c>
      <c r="V64" s="284">
        <v>84</v>
      </c>
      <c r="W64" s="255">
        <v>149</v>
      </c>
      <c r="X64" s="303">
        <v>6</v>
      </c>
      <c r="Y64" s="408">
        <f t="shared" si="31"/>
        <v>504</v>
      </c>
      <c r="Z64" s="242">
        <f t="shared" si="32"/>
        <v>504</v>
      </c>
      <c r="AA64" s="38">
        <f>5/60</f>
        <v>8.3333333333333329E-2</v>
      </c>
      <c r="AB64" s="37">
        <v>2000</v>
      </c>
      <c r="AC64" s="37">
        <v>0</v>
      </c>
      <c r="AD64" s="37">
        <v>0</v>
      </c>
      <c r="AE64" s="37">
        <v>0</v>
      </c>
      <c r="AF64" s="317">
        <v>5</v>
      </c>
      <c r="AG64" s="284">
        <v>126</v>
      </c>
      <c r="AH64" s="255">
        <v>223</v>
      </c>
      <c r="AI64" s="303">
        <v>6</v>
      </c>
      <c r="AJ64" s="408">
        <f t="shared" ref="AJ64:AJ93" si="35">IF(ISBLANK(AI64), "",INT(AG64*AI64))</f>
        <v>756</v>
      </c>
      <c r="AK64" s="242">
        <f t="shared" ref="AK64:AK93" si="36">IF(ISBLANK(AI64),"",INT(AJ64*$J64))</f>
        <v>756</v>
      </c>
      <c r="AL64" s="38">
        <f>5/60</f>
        <v>8.3333333333333329E-2</v>
      </c>
      <c r="AM64" s="51">
        <v>3000</v>
      </c>
      <c r="AN64" s="37">
        <v>0</v>
      </c>
      <c r="AO64" s="37">
        <v>0</v>
      </c>
      <c r="AP64" s="37">
        <v>0</v>
      </c>
      <c r="AQ64" s="412">
        <v>8</v>
      </c>
      <c r="AR64" s="284">
        <v>147</v>
      </c>
      <c r="AS64" s="255">
        <v>260</v>
      </c>
      <c r="AT64" s="303">
        <v>6</v>
      </c>
      <c r="AU64" s="408">
        <f t="shared" ref="AU64:AU93" si="37">IF(ISBLANK(AT64), "",INT(AR64*AT64))</f>
        <v>882</v>
      </c>
      <c r="AV64" s="242">
        <f t="shared" ref="AV64:AV93" si="38">IF(ISBLANK(AT64),"",INT(AU64*$J64))</f>
        <v>882</v>
      </c>
      <c r="AW64" s="38">
        <v>0.5</v>
      </c>
      <c r="AX64" s="51">
        <v>6000</v>
      </c>
      <c r="AY64" s="37">
        <v>1</v>
      </c>
      <c r="AZ64" s="37">
        <v>0</v>
      </c>
      <c r="BA64" s="37">
        <v>0</v>
      </c>
      <c r="BB64" s="412">
        <v>58</v>
      </c>
      <c r="BC64" s="284">
        <v>159</v>
      </c>
      <c r="BD64" s="255">
        <v>283</v>
      </c>
      <c r="BE64" s="303">
        <v>7</v>
      </c>
      <c r="BF64" s="408">
        <f t="shared" si="18"/>
        <v>1113</v>
      </c>
      <c r="BG64" s="242">
        <f t="shared" si="19"/>
        <v>1113</v>
      </c>
      <c r="BH64" s="38">
        <v>1</v>
      </c>
      <c r="BI64" s="51">
        <v>9000</v>
      </c>
      <c r="BJ64" s="37">
        <v>0</v>
      </c>
      <c r="BK64" s="37">
        <v>0</v>
      </c>
      <c r="BL64" s="37">
        <v>0</v>
      </c>
      <c r="BM64" s="412">
        <v>147</v>
      </c>
      <c r="BN64" s="284">
        <v>168</v>
      </c>
      <c r="BO64" s="255">
        <v>298</v>
      </c>
      <c r="BP64" s="303">
        <v>7</v>
      </c>
      <c r="BQ64" s="408">
        <f t="shared" si="33"/>
        <v>1176</v>
      </c>
      <c r="BR64" s="242">
        <f t="shared" si="34"/>
        <v>1176</v>
      </c>
      <c r="BS64" s="38">
        <v>2</v>
      </c>
      <c r="BT64" s="51">
        <v>15000</v>
      </c>
      <c r="BU64" s="37">
        <v>0</v>
      </c>
      <c r="BV64" s="37">
        <v>1</v>
      </c>
      <c r="BW64" s="37">
        <v>0</v>
      </c>
      <c r="BX64" s="412">
        <v>207</v>
      </c>
      <c r="BY64" s="74">
        <v>1</v>
      </c>
      <c r="BZ64" s="285" t="s">
        <v>43</v>
      </c>
      <c r="CA64" s="382"/>
      <c r="CB64" s="289"/>
      <c r="CC64" s="296"/>
      <c r="CD64" s="296"/>
      <c r="CE64" s="296"/>
      <c r="CF64" s="296"/>
      <c r="CG64" s="296"/>
      <c r="CH64" s="296"/>
      <c r="CI64" s="296"/>
      <c r="CJ64" s="296"/>
      <c r="CK64" s="296"/>
      <c r="CL64" s="333"/>
      <c r="CM64" s="353" t="s">
        <v>308</v>
      </c>
      <c r="CN64" s="320">
        <v>4</v>
      </c>
      <c r="CO64" s="367">
        <v>4</v>
      </c>
      <c r="CP64" s="367">
        <v>10</v>
      </c>
      <c r="CQ64" s="310">
        <v>24</v>
      </c>
      <c r="CR64" s="1"/>
      <c r="CS64" s="1"/>
      <c r="CT64" s="1"/>
      <c r="CU64" s="1"/>
      <c r="CV64" s="1"/>
      <c r="CW64" s="2"/>
      <c r="CX64" s="603"/>
    </row>
    <row r="65" spans="1:102">
      <c r="A65" s="472"/>
      <c r="B65" s="34" t="s">
        <v>29</v>
      </c>
      <c r="C65" s="437" t="s">
        <v>12</v>
      </c>
      <c r="D65" s="130"/>
      <c r="E65" s="67" t="s">
        <v>9</v>
      </c>
      <c r="F65" s="35" t="s">
        <v>30</v>
      </c>
      <c r="G65" s="36"/>
      <c r="H65" s="398">
        <v>2</v>
      </c>
      <c r="I65" s="327" t="s">
        <v>268</v>
      </c>
      <c r="J65" s="139">
        <f>52.5/60</f>
        <v>0.875</v>
      </c>
      <c r="K65" s="324">
        <v>0.13250000000000001</v>
      </c>
      <c r="L65" s="405">
        <f>IF(ISBLANK(Q65),"",Q65/R65)</f>
        <v>0.5957446808510638</v>
      </c>
      <c r="M65" s="302">
        <v>30</v>
      </c>
      <c r="N65" s="270">
        <v>27</v>
      </c>
      <c r="O65" s="367" t="s">
        <v>306</v>
      </c>
      <c r="P65" s="430" t="s">
        <v>201</v>
      </c>
      <c r="Q65" s="168">
        <v>112</v>
      </c>
      <c r="R65" s="37">
        <v>188</v>
      </c>
      <c r="S65" s="155">
        <v>784</v>
      </c>
      <c r="T65" s="315" t="s">
        <v>396</v>
      </c>
      <c r="U65" s="395" t="s">
        <v>306</v>
      </c>
      <c r="V65" s="284">
        <v>112</v>
      </c>
      <c r="W65" s="255">
        <v>188</v>
      </c>
      <c r="X65" s="303">
        <v>8</v>
      </c>
      <c r="Y65" s="408">
        <f>IF(ISBLANK(X65), "",INT(V65*X65))</f>
        <v>896</v>
      </c>
      <c r="Z65" s="242">
        <f>IF(ISBLANK(X65),"",INT(Y65*$J65))</f>
        <v>784</v>
      </c>
      <c r="AA65" s="38">
        <v>12</v>
      </c>
      <c r="AB65" s="37">
        <v>60000</v>
      </c>
      <c r="AC65" s="37">
        <v>0</v>
      </c>
      <c r="AD65" s="37">
        <v>0</v>
      </c>
      <c r="AE65" s="37">
        <v>0</v>
      </c>
      <c r="AF65" s="317">
        <v>1424</v>
      </c>
      <c r="AG65" s="284">
        <v>168</v>
      </c>
      <c r="AH65" s="255">
        <v>282</v>
      </c>
      <c r="AI65" s="303">
        <v>8</v>
      </c>
      <c r="AJ65" s="408">
        <f>IF(ISBLANK(AI65), "",INT(AG65*AI65))</f>
        <v>1344</v>
      </c>
      <c r="AK65" s="242">
        <f>IF(ISBLANK(AI65),"",INT(AJ65*$J65))</f>
        <v>1176</v>
      </c>
      <c r="AL65" s="38">
        <v>3</v>
      </c>
      <c r="AM65" s="51">
        <v>60000</v>
      </c>
      <c r="AN65" s="37">
        <v>0</v>
      </c>
      <c r="AO65" s="37">
        <v>0</v>
      </c>
      <c r="AP65" s="37">
        <v>0</v>
      </c>
      <c r="AQ65" s="412">
        <v>534</v>
      </c>
      <c r="AR65" s="284">
        <v>196</v>
      </c>
      <c r="AS65" s="255">
        <v>329</v>
      </c>
      <c r="AT65" s="303">
        <v>9</v>
      </c>
      <c r="AU65" s="408">
        <f>IF(ISBLANK(AT65), "",INT(AR65*AT65))</f>
        <v>1764</v>
      </c>
      <c r="AV65" s="242">
        <f>IF(ISBLANK(AT65),"",INT(AU65*$J65))</f>
        <v>1543</v>
      </c>
      <c r="AW65" s="38">
        <v>6</v>
      </c>
      <c r="AX65" s="51">
        <v>90000</v>
      </c>
      <c r="AY65" s="37">
        <v>1</v>
      </c>
      <c r="AZ65" s="37">
        <v>0</v>
      </c>
      <c r="BA65" s="37">
        <v>0</v>
      </c>
      <c r="BB65" s="412">
        <v>1402</v>
      </c>
      <c r="BC65" s="284">
        <v>212</v>
      </c>
      <c r="BD65" s="255">
        <v>357</v>
      </c>
      <c r="BE65" s="303">
        <v>9</v>
      </c>
      <c r="BF65" s="408">
        <f>IF(ISBLANK(BE65), "",INT(BC65*BE65))</f>
        <v>1908</v>
      </c>
      <c r="BG65" s="242">
        <f>IF(ISBLANK(BE65),"",INT(BF65*$J65))</f>
        <v>1669</v>
      </c>
      <c r="BH65" s="38">
        <v>9</v>
      </c>
      <c r="BI65" s="51">
        <v>120000</v>
      </c>
      <c r="BJ65" s="37">
        <v>0</v>
      </c>
      <c r="BK65" s="37">
        <v>0</v>
      </c>
      <c r="BL65" s="37">
        <v>0</v>
      </c>
      <c r="BM65" s="412">
        <v>2275</v>
      </c>
      <c r="BN65" s="284">
        <v>224</v>
      </c>
      <c r="BO65" s="255">
        <v>376</v>
      </c>
      <c r="BP65" s="303">
        <v>9</v>
      </c>
      <c r="BQ65" s="408">
        <f>IF(ISBLANK(BP65), "",INT(BN65*BP65))</f>
        <v>2016</v>
      </c>
      <c r="BR65" s="242">
        <f>IF(ISBLANK(BP65),"",INT(BQ65*$J65))</f>
        <v>1764</v>
      </c>
      <c r="BS65" s="38">
        <v>12</v>
      </c>
      <c r="BT65" s="51">
        <v>150000</v>
      </c>
      <c r="BU65" s="37">
        <v>0</v>
      </c>
      <c r="BV65" s="37">
        <v>1</v>
      </c>
      <c r="BW65" s="37">
        <v>0</v>
      </c>
      <c r="BX65" s="412">
        <v>3205</v>
      </c>
      <c r="BY65" s="74">
        <v>11</v>
      </c>
      <c r="BZ65" s="285" t="s">
        <v>43</v>
      </c>
      <c r="CA65" s="382"/>
      <c r="CB65" s="289"/>
      <c r="CC65" s="296"/>
      <c r="CD65" s="296"/>
      <c r="CE65" s="296"/>
      <c r="CF65" s="296"/>
      <c r="CG65" s="296"/>
      <c r="CH65" s="296"/>
      <c r="CI65" s="296"/>
      <c r="CJ65" s="296"/>
      <c r="CK65" s="296"/>
      <c r="CL65" s="333"/>
      <c r="CM65" s="353" t="s">
        <v>308</v>
      </c>
      <c r="CN65" s="320">
        <v>13</v>
      </c>
      <c r="CO65" s="367">
        <v>13</v>
      </c>
      <c r="CP65" s="367">
        <v>23</v>
      </c>
      <c r="CQ65" s="310">
        <v>33</v>
      </c>
      <c r="CR65" s="1"/>
      <c r="CS65" s="1"/>
      <c r="CT65" s="1"/>
      <c r="CU65" s="1"/>
      <c r="CV65" s="1"/>
      <c r="CW65" s="2"/>
      <c r="CX65" s="603"/>
    </row>
    <row r="66" spans="1:102">
      <c r="A66" s="472"/>
      <c r="B66" s="34" t="s">
        <v>74</v>
      </c>
      <c r="C66" s="437" t="s">
        <v>12</v>
      </c>
      <c r="D66" s="130"/>
      <c r="E66" s="67" t="s">
        <v>9</v>
      </c>
      <c r="F66" s="35"/>
      <c r="G66" s="36"/>
      <c r="H66" s="398">
        <v>3</v>
      </c>
      <c r="I66" s="327" t="s">
        <v>268</v>
      </c>
      <c r="J66" s="139">
        <v>1.125</v>
      </c>
      <c r="K66" s="324">
        <v>0.13250000000000001</v>
      </c>
      <c r="L66" s="405">
        <f>IF(ISBLANK(Q66),"",Q66/R66)</f>
        <v>0.7857142857142857</v>
      </c>
      <c r="M66" s="302">
        <v>30</v>
      </c>
      <c r="N66" s="270">
        <v>69</v>
      </c>
      <c r="O66" s="367" t="s">
        <v>306</v>
      </c>
      <c r="P66" s="430" t="s">
        <v>201</v>
      </c>
      <c r="Q66" s="168">
        <v>154</v>
      </c>
      <c r="R66" s="37">
        <v>196</v>
      </c>
      <c r="S66" s="155">
        <v>1559</v>
      </c>
      <c r="T66" s="315" t="s">
        <v>397</v>
      </c>
      <c r="U66" s="395" t="s">
        <v>306</v>
      </c>
      <c r="V66" s="284">
        <v>154</v>
      </c>
      <c r="W66" s="255">
        <v>196</v>
      </c>
      <c r="X66" s="303">
        <v>9</v>
      </c>
      <c r="Y66" s="408">
        <f>IF(ISBLANK(X66), "",INT(V66*X66))</f>
        <v>1386</v>
      </c>
      <c r="Z66" s="242">
        <f>IF(ISBLANK(X66),"",INT(Y66*$J66))</f>
        <v>1559</v>
      </c>
      <c r="AA66" s="38">
        <f>24*2+12</f>
        <v>60</v>
      </c>
      <c r="AB66" s="37">
        <v>350000</v>
      </c>
      <c r="AC66" s="37">
        <v>0</v>
      </c>
      <c r="AD66" s="37">
        <v>0</v>
      </c>
      <c r="AE66" s="37">
        <v>0</v>
      </c>
      <c r="AF66" s="317">
        <v>10000</v>
      </c>
      <c r="AG66" s="284">
        <v>231</v>
      </c>
      <c r="AH66" s="255">
        <v>294</v>
      </c>
      <c r="AI66" s="303">
        <v>9</v>
      </c>
      <c r="AJ66" s="408">
        <f>IF(ISBLANK(AI66), "",INT(AG66*AI66))</f>
        <v>2079</v>
      </c>
      <c r="AK66" s="242">
        <f>IF(ISBLANK(AI66),"",INT(AJ66*$J66))</f>
        <v>2338</v>
      </c>
      <c r="AL66" s="38">
        <v>15</v>
      </c>
      <c r="AM66" s="51">
        <v>350000</v>
      </c>
      <c r="AN66" s="37">
        <v>0</v>
      </c>
      <c r="AO66" s="37">
        <v>0</v>
      </c>
      <c r="AP66" s="37">
        <v>0</v>
      </c>
      <c r="AQ66" s="412">
        <v>4132</v>
      </c>
      <c r="AR66" s="284">
        <v>269</v>
      </c>
      <c r="AS66" s="255">
        <v>343</v>
      </c>
      <c r="AT66" s="303">
        <v>10</v>
      </c>
      <c r="AU66" s="408">
        <f>IF(ISBLANK(AT66), "",INT(AR66*AT66))</f>
        <v>2690</v>
      </c>
      <c r="AV66" s="242">
        <f>IF(ISBLANK(AT66),"",INT(AU66*$J66))</f>
        <v>3026</v>
      </c>
      <c r="AW66" s="38">
        <v>30</v>
      </c>
      <c r="AX66" s="51">
        <v>525000</v>
      </c>
      <c r="AY66" s="37">
        <v>1</v>
      </c>
      <c r="AZ66" s="37">
        <v>0</v>
      </c>
      <c r="BA66" s="37">
        <v>0</v>
      </c>
      <c r="BB66" s="412">
        <v>10000</v>
      </c>
      <c r="BC66" s="284">
        <v>292</v>
      </c>
      <c r="BD66" s="255">
        <v>372</v>
      </c>
      <c r="BE66" s="303">
        <v>10</v>
      </c>
      <c r="BF66" s="408">
        <f>IF(ISBLANK(BE66), "",INT(BC66*BE66))</f>
        <v>2920</v>
      </c>
      <c r="BG66" s="242">
        <f>IF(ISBLANK(BE66),"",INT(BF66*$J66))</f>
        <v>3285</v>
      </c>
      <c r="BH66" s="38">
        <f>24+21</f>
        <v>45</v>
      </c>
      <c r="BI66" s="51">
        <v>700000</v>
      </c>
      <c r="BJ66" s="37">
        <v>0</v>
      </c>
      <c r="BK66" s="37">
        <v>0</v>
      </c>
      <c r="BL66" s="37">
        <v>0</v>
      </c>
      <c r="BM66" s="412">
        <v>10000</v>
      </c>
      <c r="BN66" s="284">
        <v>308</v>
      </c>
      <c r="BO66" s="255">
        <v>392</v>
      </c>
      <c r="BP66" s="303">
        <v>10</v>
      </c>
      <c r="BQ66" s="408">
        <f>IF(ISBLANK(BP66), "",INT(BN66*BP66))</f>
        <v>3080</v>
      </c>
      <c r="BR66" s="242">
        <f>IF(ISBLANK(BP66),"",INT(BQ66*$J66))</f>
        <v>3465</v>
      </c>
      <c r="BS66" s="38">
        <f>2*24+12</f>
        <v>60</v>
      </c>
      <c r="BT66" s="51">
        <v>875000</v>
      </c>
      <c r="BU66" s="37">
        <v>0</v>
      </c>
      <c r="BV66" s="37">
        <v>1</v>
      </c>
      <c r="BW66" s="37">
        <v>0</v>
      </c>
      <c r="BX66" s="412">
        <v>10000</v>
      </c>
      <c r="BY66" s="74">
        <v>57</v>
      </c>
      <c r="BZ66" s="285" t="s">
        <v>43</v>
      </c>
      <c r="CA66" s="382"/>
      <c r="CB66" s="289"/>
      <c r="CC66" s="296"/>
      <c r="CD66" s="296"/>
      <c r="CE66" s="296"/>
      <c r="CF66" s="296"/>
      <c r="CG66" s="296"/>
      <c r="CH66" s="296"/>
      <c r="CI66" s="296"/>
      <c r="CJ66" s="296"/>
      <c r="CK66" s="296"/>
      <c r="CL66" s="333"/>
      <c r="CM66" s="353" t="s">
        <v>308</v>
      </c>
      <c r="CN66" s="320">
        <v>22</v>
      </c>
      <c r="CO66" s="367">
        <v>22</v>
      </c>
      <c r="CP66" s="367">
        <v>32</v>
      </c>
      <c r="CQ66" s="310">
        <v>42</v>
      </c>
      <c r="CR66" s="1"/>
      <c r="CS66" s="1"/>
      <c r="CT66" s="1"/>
      <c r="CU66" s="1"/>
      <c r="CV66" s="1"/>
      <c r="CW66" s="2"/>
      <c r="CX66" s="603"/>
    </row>
    <row r="67" spans="1:102">
      <c r="A67" s="472"/>
      <c r="B67" s="34" t="s">
        <v>31</v>
      </c>
      <c r="C67" s="437" t="s">
        <v>7</v>
      </c>
      <c r="D67" s="130" t="s">
        <v>109</v>
      </c>
      <c r="E67" s="67" t="s">
        <v>0</v>
      </c>
      <c r="F67" s="35"/>
      <c r="G67" s="36"/>
      <c r="H67" s="398">
        <v>2</v>
      </c>
      <c r="I67" s="327" t="s">
        <v>268</v>
      </c>
      <c r="J67" s="139">
        <v>1</v>
      </c>
      <c r="K67" s="324">
        <v>0.13250000000000001</v>
      </c>
      <c r="L67" s="405">
        <f>IF(ISBLANK(Q67),"",Q67/R67)</f>
        <v>0.69090909090909092</v>
      </c>
      <c r="M67" s="302">
        <v>30</v>
      </c>
      <c r="N67" s="270">
        <v>42</v>
      </c>
      <c r="O67" s="367" t="s">
        <v>306</v>
      </c>
      <c r="P67" s="430" t="s">
        <v>201</v>
      </c>
      <c r="Q67" s="168">
        <v>266</v>
      </c>
      <c r="R67" s="37">
        <v>385</v>
      </c>
      <c r="S67" s="155">
        <v>4522</v>
      </c>
      <c r="T67" s="315" t="s">
        <v>398</v>
      </c>
      <c r="U67" s="395" t="s">
        <v>306</v>
      </c>
      <c r="V67" s="284">
        <v>266</v>
      </c>
      <c r="W67" s="255">
        <v>385</v>
      </c>
      <c r="X67" s="303">
        <v>17</v>
      </c>
      <c r="Y67" s="408">
        <f>IF(ISBLANK(X67), "",INT(V67*X67))</f>
        <v>4522</v>
      </c>
      <c r="Z67" s="242">
        <f>IF(ISBLANK(X67),"",INT(Y67*$J67))</f>
        <v>4522</v>
      </c>
      <c r="AA67" s="38">
        <v>24</v>
      </c>
      <c r="AB67" s="37">
        <v>1000000</v>
      </c>
      <c r="AC67" s="37">
        <v>0</v>
      </c>
      <c r="AD67" s="37">
        <v>0</v>
      </c>
      <c r="AE67" s="37">
        <v>0</v>
      </c>
      <c r="AF67" s="317">
        <v>10000</v>
      </c>
      <c r="AG67" s="284">
        <v>399</v>
      </c>
      <c r="AH67" s="255">
        <v>577</v>
      </c>
      <c r="AI67" s="303">
        <v>18</v>
      </c>
      <c r="AJ67" s="408">
        <f>IF(ISBLANK(AI67), "",INT(AG67*AI67))</f>
        <v>7182</v>
      </c>
      <c r="AK67" s="242">
        <f>IF(ISBLANK(AI67),"",INT(AJ67*$J67))</f>
        <v>7182</v>
      </c>
      <c r="AL67" s="38">
        <v>6</v>
      </c>
      <c r="AM67" s="51">
        <v>1000000</v>
      </c>
      <c r="AN67" s="37">
        <v>0</v>
      </c>
      <c r="AO67" s="37">
        <v>0</v>
      </c>
      <c r="AP67" s="37">
        <v>0</v>
      </c>
      <c r="AQ67" s="412">
        <v>5709</v>
      </c>
      <c r="AR67" s="284">
        <v>465</v>
      </c>
      <c r="AS67" s="255">
        <v>673</v>
      </c>
      <c r="AT67" s="303">
        <v>19</v>
      </c>
      <c r="AU67" s="408">
        <f>IF(ISBLANK(AT67), "",INT(AR67*AT67))</f>
        <v>8835</v>
      </c>
      <c r="AV67" s="242">
        <f>IF(ISBLANK(AT67),"",INT(AU67*$J67))</f>
        <v>8835</v>
      </c>
      <c r="AW67" s="38">
        <v>12</v>
      </c>
      <c r="AX67" s="51">
        <v>1500000</v>
      </c>
      <c r="AY67" s="37">
        <v>1</v>
      </c>
      <c r="AZ67" s="37">
        <v>0</v>
      </c>
      <c r="BA67" s="37">
        <v>0</v>
      </c>
      <c r="BB67" s="412">
        <v>10000</v>
      </c>
      <c r="BC67" s="284">
        <v>505</v>
      </c>
      <c r="BD67" s="255">
        <v>731</v>
      </c>
      <c r="BE67" s="303">
        <v>20</v>
      </c>
      <c r="BF67" s="408">
        <f>IF(ISBLANK(BE67), "",INT(BC67*BE67))</f>
        <v>10100</v>
      </c>
      <c r="BG67" s="242">
        <f>IF(ISBLANK(BE67),"",INT(BF67*$J67))</f>
        <v>10100</v>
      </c>
      <c r="BH67" s="38">
        <v>18</v>
      </c>
      <c r="BI67" s="51">
        <v>2000000</v>
      </c>
      <c r="BJ67" s="37">
        <v>0</v>
      </c>
      <c r="BK67" s="37">
        <v>0</v>
      </c>
      <c r="BL67" s="37">
        <v>0</v>
      </c>
      <c r="BM67" s="412">
        <v>10000</v>
      </c>
      <c r="BN67" s="284">
        <v>532</v>
      </c>
      <c r="BO67" s="255">
        <v>770</v>
      </c>
      <c r="BP67" s="303">
        <v>20</v>
      </c>
      <c r="BQ67" s="408">
        <f>IF(ISBLANK(BP67), "",INT(BN67*BP67))</f>
        <v>10640</v>
      </c>
      <c r="BR67" s="242">
        <f>IF(ISBLANK(BP67),"",INT(BQ67*$J67))</f>
        <v>10640</v>
      </c>
      <c r="BS67" s="38">
        <v>24</v>
      </c>
      <c r="BT67" s="51">
        <v>2500000</v>
      </c>
      <c r="BU67" s="37">
        <v>0</v>
      </c>
      <c r="BV67" s="37">
        <v>1</v>
      </c>
      <c r="BW67" s="37">
        <v>0</v>
      </c>
      <c r="BX67" s="412">
        <v>10000</v>
      </c>
      <c r="BY67" s="74">
        <v>23</v>
      </c>
      <c r="BZ67" s="285" t="s">
        <v>43</v>
      </c>
      <c r="CA67" s="382"/>
      <c r="CB67" s="289"/>
      <c r="CC67" s="296"/>
      <c r="CD67" s="296"/>
      <c r="CE67" s="296"/>
      <c r="CF67" s="296"/>
      <c r="CG67" s="296"/>
      <c r="CH67" s="296"/>
      <c r="CI67" s="296"/>
      <c r="CJ67" s="296"/>
      <c r="CK67" s="296"/>
      <c r="CL67" s="333"/>
      <c r="CM67" s="353" t="s">
        <v>308</v>
      </c>
      <c r="CN67" s="320">
        <v>26</v>
      </c>
      <c r="CO67" s="367"/>
      <c r="CP67" s="367"/>
      <c r="CQ67" s="310"/>
      <c r="CR67" s="1"/>
      <c r="CS67" s="1"/>
      <c r="CT67" s="1"/>
      <c r="CU67" s="1"/>
      <c r="CV67" s="1"/>
      <c r="CW67" s="2"/>
      <c r="CX67" s="603"/>
    </row>
    <row r="68" spans="1:102">
      <c r="A68" s="472"/>
      <c r="B68" s="34" t="s">
        <v>144</v>
      </c>
      <c r="C68" s="437" t="s">
        <v>52</v>
      </c>
      <c r="D68" s="130"/>
      <c r="E68" s="67" t="s">
        <v>43</v>
      </c>
      <c r="F68" s="35"/>
      <c r="G68" s="36"/>
      <c r="H68" s="398">
        <v>3</v>
      </c>
      <c r="I68" s="327" t="s">
        <v>268</v>
      </c>
      <c r="J68" s="139">
        <v>1.25</v>
      </c>
      <c r="K68" s="324">
        <v>0.13250000000000001</v>
      </c>
      <c r="L68" s="405">
        <f>IF(ISBLANK(Q68),"",Q68/R68)</f>
        <v>0.88383838383838387</v>
      </c>
      <c r="M68" s="302">
        <v>30</v>
      </c>
      <c r="N68" s="270">
        <v>51</v>
      </c>
      <c r="O68" s="367" t="s">
        <v>306</v>
      </c>
      <c r="P68" s="430" t="s">
        <v>201</v>
      </c>
      <c r="Q68" s="168">
        <v>175</v>
      </c>
      <c r="R68" s="37">
        <v>198</v>
      </c>
      <c r="S68" s="155">
        <v>1968</v>
      </c>
      <c r="T68" s="315" t="s">
        <v>399</v>
      </c>
      <c r="U68" s="395" t="s">
        <v>306</v>
      </c>
      <c r="V68" s="284">
        <v>175</v>
      </c>
      <c r="W68" s="255">
        <v>198</v>
      </c>
      <c r="X68" s="303">
        <v>9</v>
      </c>
      <c r="Y68" s="408">
        <f>IF(ISBLANK(X68), "",INT(V68*X68))</f>
        <v>1575</v>
      </c>
      <c r="Z68" s="242">
        <f>IF(ISBLANK(X68),"",INT(Y68*$J68))</f>
        <v>1968</v>
      </c>
      <c r="AA68" s="38">
        <f>6*24</f>
        <v>144</v>
      </c>
      <c r="AB68" s="37">
        <v>1300000</v>
      </c>
      <c r="AC68" s="37">
        <v>0</v>
      </c>
      <c r="AD68" s="37">
        <v>0</v>
      </c>
      <c r="AE68" s="37">
        <v>0</v>
      </c>
      <c r="AF68" s="317">
        <v>10000</v>
      </c>
      <c r="AG68" s="284">
        <v>262</v>
      </c>
      <c r="AH68" s="255">
        <v>297</v>
      </c>
      <c r="AI68" s="303">
        <v>9</v>
      </c>
      <c r="AJ68" s="408">
        <f>IF(ISBLANK(AI68), "",INT(AG68*AI68))</f>
        <v>2358</v>
      </c>
      <c r="AK68" s="242">
        <f>IF(ISBLANK(AI68),"",INT(AJ68*$J68))</f>
        <v>2947</v>
      </c>
      <c r="AL68" s="38">
        <f>24+12</f>
        <v>36</v>
      </c>
      <c r="AM68" s="51">
        <v>1300000</v>
      </c>
      <c r="AN68" s="37">
        <v>0</v>
      </c>
      <c r="AO68" s="37">
        <v>0</v>
      </c>
      <c r="AP68" s="37">
        <v>0</v>
      </c>
      <c r="AQ68" s="412">
        <v>10000</v>
      </c>
      <c r="AR68" s="284">
        <v>306</v>
      </c>
      <c r="AS68" s="255">
        <v>346</v>
      </c>
      <c r="AT68" s="303">
        <v>10</v>
      </c>
      <c r="AU68" s="408">
        <f>IF(ISBLANK(AT68), "",INT(AR68*AT68))</f>
        <v>3060</v>
      </c>
      <c r="AV68" s="242">
        <f>IF(ISBLANK(AT68),"",INT(AU68*$J68))</f>
        <v>3825</v>
      </c>
      <c r="AW68" s="38">
        <f>3*24</f>
        <v>72</v>
      </c>
      <c r="AX68" s="51">
        <v>1950000</v>
      </c>
      <c r="AY68" s="37">
        <v>1</v>
      </c>
      <c r="AZ68" s="37">
        <v>0</v>
      </c>
      <c r="BA68" s="37">
        <v>0</v>
      </c>
      <c r="BB68" s="412">
        <v>10000</v>
      </c>
      <c r="BC68" s="284">
        <v>332</v>
      </c>
      <c r="BD68" s="255">
        <v>376</v>
      </c>
      <c r="BE68" s="303">
        <v>10</v>
      </c>
      <c r="BF68" s="408">
        <f>IF(ISBLANK(BE68), "",INT(BC68*BE68))</f>
        <v>3320</v>
      </c>
      <c r="BG68" s="242">
        <f>IF(ISBLANK(BE68),"",INT(BF68*$J68))</f>
        <v>4150</v>
      </c>
      <c r="BH68" s="38">
        <f>4*24+12</f>
        <v>108</v>
      </c>
      <c r="BI68" s="51">
        <v>2600000</v>
      </c>
      <c r="BJ68" s="37">
        <v>0</v>
      </c>
      <c r="BK68" s="37">
        <v>0</v>
      </c>
      <c r="BL68" s="37">
        <v>0</v>
      </c>
      <c r="BM68" s="412">
        <v>10000</v>
      </c>
      <c r="BN68" s="284">
        <v>350</v>
      </c>
      <c r="BO68" s="255">
        <v>396</v>
      </c>
      <c r="BP68" s="303">
        <v>10</v>
      </c>
      <c r="BQ68" s="408">
        <f>IF(ISBLANK(BP68), "",INT(BN68*BP68))</f>
        <v>3500</v>
      </c>
      <c r="BR68" s="242">
        <f>IF(ISBLANK(BP68),"",INT(BQ68*$J68))</f>
        <v>4375</v>
      </c>
      <c r="BS68" s="38">
        <f>6*24</f>
        <v>144</v>
      </c>
      <c r="BT68" s="51">
        <v>3250000</v>
      </c>
      <c r="BU68" s="37">
        <v>0</v>
      </c>
      <c r="BV68" s="37">
        <v>1</v>
      </c>
      <c r="BW68" s="37">
        <v>0</v>
      </c>
      <c r="BX68" s="412">
        <v>10000</v>
      </c>
      <c r="BY68" s="74">
        <v>137</v>
      </c>
      <c r="BZ68" s="285" t="s">
        <v>43</v>
      </c>
      <c r="CA68" s="382"/>
      <c r="CB68" s="289"/>
      <c r="CC68" s="296"/>
      <c r="CD68" s="296"/>
      <c r="CE68" s="296"/>
      <c r="CF68" s="296"/>
      <c r="CG68" s="296"/>
      <c r="CH68" s="296"/>
      <c r="CI68" s="296"/>
      <c r="CJ68" s="296"/>
      <c r="CK68" s="296"/>
      <c r="CL68" s="333"/>
      <c r="CM68" s="353" t="s">
        <v>308</v>
      </c>
      <c r="CN68" s="320">
        <v>38</v>
      </c>
      <c r="CO68" s="367">
        <v>38</v>
      </c>
      <c r="CP68" s="367">
        <v>48</v>
      </c>
      <c r="CQ68" s="310">
        <v>58</v>
      </c>
      <c r="CR68" s="1"/>
      <c r="CS68" s="1"/>
      <c r="CT68" s="1"/>
      <c r="CU68" s="1"/>
      <c r="CV68" s="1"/>
      <c r="CW68" s="2"/>
      <c r="CX68" s="603"/>
    </row>
    <row r="69" spans="1:102">
      <c r="A69" s="472"/>
      <c r="B69" s="34" t="s">
        <v>86</v>
      </c>
      <c r="C69" s="437" t="s">
        <v>52</v>
      </c>
      <c r="D69" s="130"/>
      <c r="E69" s="67" t="s">
        <v>43</v>
      </c>
      <c r="F69" s="35"/>
      <c r="G69" s="36"/>
      <c r="H69" s="398">
        <v>3</v>
      </c>
      <c r="I69" s="327" t="s">
        <v>268</v>
      </c>
      <c r="J69" s="139">
        <v>1.375</v>
      </c>
      <c r="K69" s="324">
        <v>0.13250000000000001</v>
      </c>
      <c r="L69" s="405">
        <f>IF(ISBLANK(Q69),"",Q69/R69)</f>
        <v>1.05</v>
      </c>
      <c r="M69" s="302">
        <v>30</v>
      </c>
      <c r="N69" s="270">
        <v>58</v>
      </c>
      <c r="O69" s="367" t="s">
        <v>306</v>
      </c>
      <c r="P69" s="430" t="s">
        <v>201</v>
      </c>
      <c r="Q69" s="168">
        <v>210</v>
      </c>
      <c r="R69" s="37">
        <v>200</v>
      </c>
      <c r="S69" s="155">
        <v>2887</v>
      </c>
      <c r="T69" s="315" t="s">
        <v>400</v>
      </c>
      <c r="U69" s="395" t="s">
        <v>306</v>
      </c>
      <c r="V69" s="284">
        <v>210</v>
      </c>
      <c r="W69" s="255">
        <v>200</v>
      </c>
      <c r="X69" s="303">
        <v>10</v>
      </c>
      <c r="Y69" s="408">
        <f>IF(ISBLANK(X69), "",INT(V69*X69))</f>
        <v>2100</v>
      </c>
      <c r="Z69" s="242">
        <f>IF(ISBLANK(X69),"",INT(Y69*$J69))</f>
        <v>2887</v>
      </c>
      <c r="AA69" s="38">
        <f>9*24</f>
        <v>216</v>
      </c>
      <c r="AB69" s="37">
        <v>4500000</v>
      </c>
      <c r="AC69" s="37">
        <v>0</v>
      </c>
      <c r="AD69" s="37">
        <v>0</v>
      </c>
      <c r="AE69" s="37">
        <v>0</v>
      </c>
      <c r="AF69" s="317">
        <v>10000</v>
      </c>
      <c r="AG69" s="284">
        <v>315</v>
      </c>
      <c r="AH69" s="255">
        <v>300</v>
      </c>
      <c r="AI69" s="303">
        <v>11</v>
      </c>
      <c r="AJ69" s="408">
        <f>IF(ISBLANK(AI69), "",INT(AG69*AI69))</f>
        <v>3465</v>
      </c>
      <c r="AK69" s="242">
        <f>IF(ISBLANK(AI69),"",INT(AJ69*$J69))</f>
        <v>4764</v>
      </c>
      <c r="AL69" s="38">
        <f>2*24+6</f>
        <v>54</v>
      </c>
      <c r="AM69" s="51">
        <v>4500000</v>
      </c>
      <c r="AN69" s="37">
        <v>0</v>
      </c>
      <c r="AO69" s="37">
        <v>0</v>
      </c>
      <c r="AP69" s="37">
        <v>0</v>
      </c>
      <c r="AQ69" s="412">
        <v>10000</v>
      </c>
      <c r="AR69" s="284">
        <v>367</v>
      </c>
      <c r="AS69" s="255">
        <v>350</v>
      </c>
      <c r="AT69" s="303">
        <v>11</v>
      </c>
      <c r="AU69" s="408">
        <f>IF(ISBLANK(AT69), "",INT(AR69*AT69))</f>
        <v>4037</v>
      </c>
      <c r="AV69" s="242">
        <f>IF(ISBLANK(AT69),"",INT(AU69*$J69))</f>
        <v>5550</v>
      </c>
      <c r="AW69" s="38">
        <f>4*24+12</f>
        <v>108</v>
      </c>
      <c r="AX69" s="51">
        <v>6750000</v>
      </c>
      <c r="AY69" s="37">
        <v>1</v>
      </c>
      <c r="AZ69" s="37">
        <v>0</v>
      </c>
      <c r="BA69" s="37">
        <v>0</v>
      </c>
      <c r="BB69" s="412">
        <v>10000</v>
      </c>
      <c r="BC69" s="284">
        <v>399</v>
      </c>
      <c r="BD69" s="255">
        <v>380</v>
      </c>
      <c r="BE69" s="303">
        <v>11</v>
      </c>
      <c r="BF69" s="408">
        <f>IF(ISBLANK(BE69), "",INT(BC69*BE69))</f>
        <v>4389</v>
      </c>
      <c r="BG69" s="242">
        <f>IF(ISBLANK(BE69),"",INT(BF69*$J69))</f>
        <v>6034</v>
      </c>
      <c r="BH69" s="38">
        <f>6*24+18</f>
        <v>162</v>
      </c>
      <c r="BI69" s="51">
        <v>9000000</v>
      </c>
      <c r="BJ69" s="37">
        <v>0</v>
      </c>
      <c r="BK69" s="37">
        <v>0</v>
      </c>
      <c r="BL69" s="37">
        <v>0</v>
      </c>
      <c r="BM69" s="412">
        <v>10000</v>
      </c>
      <c r="BN69" s="284">
        <v>420</v>
      </c>
      <c r="BO69" s="255">
        <v>400</v>
      </c>
      <c r="BP69" s="303">
        <v>12</v>
      </c>
      <c r="BQ69" s="408">
        <f>IF(ISBLANK(BP69), "",INT(BN69*BP69))</f>
        <v>5040</v>
      </c>
      <c r="BR69" s="242">
        <f>IF(ISBLANK(BP69),"",INT(BQ69*$J69))</f>
        <v>6930</v>
      </c>
      <c r="BS69" s="38">
        <f>9*24</f>
        <v>216</v>
      </c>
      <c r="BT69" s="51">
        <v>11250000</v>
      </c>
      <c r="BU69" s="37">
        <v>0</v>
      </c>
      <c r="BV69" s="37">
        <v>1</v>
      </c>
      <c r="BW69" s="37">
        <v>0</v>
      </c>
      <c r="BX69" s="412">
        <v>10000</v>
      </c>
      <c r="BY69" s="74">
        <v>206</v>
      </c>
      <c r="BZ69" s="285" t="s">
        <v>43</v>
      </c>
      <c r="CA69" s="382"/>
      <c r="CB69" s="289"/>
      <c r="CC69" s="296"/>
      <c r="CD69" s="296"/>
      <c r="CE69" s="296"/>
      <c r="CF69" s="296"/>
      <c r="CG69" s="296"/>
      <c r="CH69" s="296"/>
      <c r="CI69" s="296"/>
      <c r="CJ69" s="296"/>
      <c r="CK69" s="296"/>
      <c r="CL69" s="333"/>
      <c r="CM69" s="353" t="s">
        <v>308</v>
      </c>
      <c r="CN69" s="320">
        <v>58</v>
      </c>
      <c r="CO69" s="367">
        <v>58</v>
      </c>
      <c r="CP69" s="367">
        <v>68</v>
      </c>
      <c r="CQ69" s="310">
        <v>78</v>
      </c>
      <c r="CR69" s="1"/>
      <c r="CS69" s="1"/>
      <c r="CT69" s="1"/>
      <c r="CU69" s="1"/>
      <c r="CV69" s="1"/>
      <c r="CW69" s="2"/>
      <c r="CX69" s="603"/>
    </row>
    <row r="70" spans="1:102">
      <c r="A70" s="472"/>
      <c r="B70" s="34" t="s">
        <v>50</v>
      </c>
      <c r="C70" s="437" t="s">
        <v>12</v>
      </c>
      <c r="D70" s="130"/>
      <c r="E70" s="67" t="s">
        <v>9</v>
      </c>
      <c r="F70" s="35"/>
      <c r="G70" s="36"/>
      <c r="H70" s="398">
        <v>3</v>
      </c>
      <c r="I70" s="327" t="s">
        <v>283</v>
      </c>
      <c r="J70" s="139">
        <v>2</v>
      </c>
      <c r="K70" s="324">
        <v>0.15</v>
      </c>
      <c r="L70" s="405">
        <f t="shared" si="11"/>
        <v>0.87301587301587302</v>
      </c>
      <c r="M70" s="302">
        <v>30</v>
      </c>
      <c r="N70" s="270">
        <v>19</v>
      </c>
      <c r="O70" s="367" t="s">
        <v>306</v>
      </c>
      <c r="P70" s="430" t="s">
        <v>201</v>
      </c>
      <c r="Q70" s="168">
        <v>110</v>
      </c>
      <c r="R70" s="37">
        <v>126</v>
      </c>
      <c r="S70" s="155">
        <v>660</v>
      </c>
      <c r="T70" s="315" t="s">
        <v>401</v>
      </c>
      <c r="U70" s="395" t="s">
        <v>306</v>
      </c>
      <c r="V70" s="284">
        <v>110</v>
      </c>
      <c r="W70" s="255">
        <v>126</v>
      </c>
      <c r="X70" s="303">
        <v>3</v>
      </c>
      <c r="Y70" s="408">
        <f t="shared" si="31"/>
        <v>330</v>
      </c>
      <c r="Z70" s="242">
        <f t="shared" si="32"/>
        <v>660</v>
      </c>
      <c r="AA70" s="38">
        <v>2.5</v>
      </c>
      <c r="AB70" s="37">
        <v>0</v>
      </c>
      <c r="AC70" s="37">
        <v>0</v>
      </c>
      <c r="AD70" s="37">
        <v>0</v>
      </c>
      <c r="AE70" s="37">
        <v>0</v>
      </c>
      <c r="AF70" s="317">
        <v>123</v>
      </c>
      <c r="AG70" s="284">
        <v>165</v>
      </c>
      <c r="AH70" s="255">
        <v>189</v>
      </c>
      <c r="AI70" s="303">
        <v>3</v>
      </c>
      <c r="AJ70" s="408">
        <f t="shared" si="35"/>
        <v>495</v>
      </c>
      <c r="AK70" s="242">
        <f t="shared" si="36"/>
        <v>990</v>
      </c>
      <c r="AL70" s="38">
        <f>45/60</f>
        <v>0.75</v>
      </c>
      <c r="AM70" s="51">
        <v>10000</v>
      </c>
      <c r="AN70" s="37">
        <v>0</v>
      </c>
      <c r="AO70" s="37">
        <v>0</v>
      </c>
      <c r="AP70" s="37">
        <v>0</v>
      </c>
      <c r="AQ70" s="412">
        <v>47</v>
      </c>
      <c r="AR70" s="284">
        <v>192</v>
      </c>
      <c r="AS70" s="255">
        <v>220</v>
      </c>
      <c r="AT70" s="303">
        <v>3</v>
      </c>
      <c r="AU70" s="408">
        <f t="shared" si="37"/>
        <v>576</v>
      </c>
      <c r="AV70" s="242">
        <f t="shared" si="38"/>
        <v>1152</v>
      </c>
      <c r="AW70" s="38">
        <v>2</v>
      </c>
      <c r="AX70" s="51">
        <v>20000</v>
      </c>
      <c r="AY70" s="37">
        <v>0</v>
      </c>
      <c r="AZ70" s="37">
        <v>1</v>
      </c>
      <c r="BA70" s="37">
        <v>0</v>
      </c>
      <c r="BB70" s="412">
        <v>108</v>
      </c>
      <c r="BC70" s="284">
        <v>209</v>
      </c>
      <c r="BD70" s="255">
        <v>239</v>
      </c>
      <c r="BE70" s="303">
        <v>3</v>
      </c>
      <c r="BF70" s="408">
        <f t="shared" si="18"/>
        <v>627</v>
      </c>
      <c r="BG70" s="242">
        <f t="shared" si="19"/>
        <v>1254</v>
      </c>
      <c r="BH70" s="38">
        <v>2</v>
      </c>
      <c r="BI70" s="51">
        <v>30000</v>
      </c>
      <c r="BJ70" s="37">
        <v>0</v>
      </c>
      <c r="BK70" s="37">
        <v>0</v>
      </c>
      <c r="BL70" s="37">
        <v>0</v>
      </c>
      <c r="BM70" s="412">
        <v>177</v>
      </c>
      <c r="BN70" s="284">
        <v>220</v>
      </c>
      <c r="BO70" s="255">
        <v>252</v>
      </c>
      <c r="BP70" s="303">
        <v>3</v>
      </c>
      <c r="BQ70" s="408">
        <f t="shared" si="33"/>
        <v>660</v>
      </c>
      <c r="BR70" s="242">
        <f t="shared" si="34"/>
        <v>1320</v>
      </c>
      <c r="BS70" s="38">
        <v>3</v>
      </c>
      <c r="BT70" s="51">
        <v>40000</v>
      </c>
      <c r="BU70" s="37">
        <v>0</v>
      </c>
      <c r="BV70" s="37">
        <v>0</v>
      </c>
      <c r="BW70" s="37">
        <v>1</v>
      </c>
      <c r="BX70" s="412">
        <v>247</v>
      </c>
      <c r="BY70" s="74">
        <v>3</v>
      </c>
      <c r="BZ70" s="285" t="s">
        <v>43</v>
      </c>
      <c r="CA70" s="382">
        <v>360</v>
      </c>
      <c r="CB70" s="289">
        <v>1100</v>
      </c>
      <c r="CC70" s="296">
        <v>3000</v>
      </c>
      <c r="CD70" s="296">
        <v>6000</v>
      </c>
      <c r="CE70" s="296">
        <v>18000</v>
      </c>
      <c r="CF70" s="296">
        <v>36000</v>
      </c>
      <c r="CG70" s="296">
        <v>72000</v>
      </c>
      <c r="CH70" s="296">
        <v>144000</v>
      </c>
      <c r="CI70" s="296">
        <v>288000</v>
      </c>
      <c r="CJ70" s="296">
        <v>576000</v>
      </c>
      <c r="CK70" s="296"/>
      <c r="CL70" s="333"/>
      <c r="CM70" s="353" t="s">
        <v>43</v>
      </c>
      <c r="CN70" s="320"/>
      <c r="CO70" s="367"/>
      <c r="CP70" s="367"/>
      <c r="CQ70" s="310"/>
      <c r="CR70" s="1"/>
      <c r="CS70" s="1"/>
      <c r="CT70" s="1"/>
      <c r="CU70" s="1"/>
      <c r="CV70" s="1"/>
      <c r="CW70" s="2"/>
      <c r="CX70" s="603"/>
    </row>
    <row r="71" spans="1:102">
      <c r="A71" s="472"/>
      <c r="B71" s="34" t="s">
        <v>51</v>
      </c>
      <c r="C71" s="437" t="s">
        <v>7</v>
      </c>
      <c r="D71" s="130"/>
      <c r="E71" s="67" t="s">
        <v>0</v>
      </c>
      <c r="F71" s="35"/>
      <c r="G71" s="36"/>
      <c r="H71" s="398">
        <v>3</v>
      </c>
      <c r="I71" s="327" t="s">
        <v>283</v>
      </c>
      <c r="J71" s="139">
        <f>52.5/60</f>
        <v>0.875</v>
      </c>
      <c r="K71" s="324">
        <v>0.15</v>
      </c>
      <c r="L71" s="405">
        <f t="shared" si="11"/>
        <v>0.58974358974358976</v>
      </c>
      <c r="M71" s="302">
        <v>30</v>
      </c>
      <c r="N71" s="270">
        <v>22</v>
      </c>
      <c r="O71" s="367" t="s">
        <v>306</v>
      </c>
      <c r="P71" s="430" t="s">
        <v>201</v>
      </c>
      <c r="Q71" s="168">
        <v>115</v>
      </c>
      <c r="R71" s="37">
        <v>195</v>
      </c>
      <c r="S71" s="155">
        <v>805</v>
      </c>
      <c r="T71" s="315" t="s">
        <v>959</v>
      </c>
      <c r="U71" s="395" t="s">
        <v>306</v>
      </c>
      <c r="V71" s="284">
        <v>115</v>
      </c>
      <c r="W71" s="255">
        <v>195</v>
      </c>
      <c r="X71" s="303">
        <v>8</v>
      </c>
      <c r="Y71" s="408">
        <f t="shared" si="31"/>
        <v>920</v>
      </c>
      <c r="Z71" s="242">
        <f t="shared" si="32"/>
        <v>805</v>
      </c>
      <c r="AA71" s="38">
        <v>3</v>
      </c>
      <c r="AB71" s="37">
        <v>0</v>
      </c>
      <c r="AC71" s="37">
        <v>0</v>
      </c>
      <c r="AD71" s="37">
        <v>0</v>
      </c>
      <c r="AE71" s="37">
        <v>0</v>
      </c>
      <c r="AF71" s="317">
        <v>414</v>
      </c>
      <c r="AG71" s="284">
        <v>172</v>
      </c>
      <c r="AH71" s="255">
        <v>292</v>
      </c>
      <c r="AI71" s="303">
        <v>8</v>
      </c>
      <c r="AJ71" s="408">
        <f t="shared" si="35"/>
        <v>1376</v>
      </c>
      <c r="AK71" s="242">
        <f t="shared" si="36"/>
        <v>1204</v>
      </c>
      <c r="AL71" s="38">
        <f>45/60</f>
        <v>0.75</v>
      </c>
      <c r="AM71" s="51">
        <v>15000</v>
      </c>
      <c r="AN71" s="37">
        <v>0</v>
      </c>
      <c r="AO71" s="37">
        <v>0</v>
      </c>
      <c r="AP71" s="37">
        <v>0</v>
      </c>
      <c r="AQ71" s="412">
        <v>154</v>
      </c>
      <c r="AR71" s="284">
        <v>201</v>
      </c>
      <c r="AS71" s="255">
        <v>341</v>
      </c>
      <c r="AT71" s="303">
        <v>9</v>
      </c>
      <c r="AU71" s="408">
        <f t="shared" si="37"/>
        <v>1809</v>
      </c>
      <c r="AV71" s="242">
        <f t="shared" si="38"/>
        <v>1582</v>
      </c>
      <c r="AW71" s="38">
        <v>2</v>
      </c>
      <c r="AX71" s="51">
        <v>25000</v>
      </c>
      <c r="AY71" s="37">
        <v>0</v>
      </c>
      <c r="AZ71" s="37">
        <v>1</v>
      </c>
      <c r="BA71" s="37">
        <v>0</v>
      </c>
      <c r="BB71" s="412">
        <v>407</v>
      </c>
      <c r="BC71" s="284">
        <v>218</v>
      </c>
      <c r="BD71" s="255">
        <v>370</v>
      </c>
      <c r="BE71" s="303">
        <v>9</v>
      </c>
      <c r="BF71" s="408">
        <f t="shared" si="18"/>
        <v>1962</v>
      </c>
      <c r="BG71" s="242">
        <f t="shared" si="19"/>
        <v>1716</v>
      </c>
      <c r="BH71" s="38">
        <v>3</v>
      </c>
      <c r="BI71" s="51">
        <v>35000</v>
      </c>
      <c r="BJ71" s="37">
        <v>0</v>
      </c>
      <c r="BK71" s="37">
        <v>0</v>
      </c>
      <c r="BL71" s="37">
        <v>0</v>
      </c>
      <c r="BM71" s="412">
        <v>662</v>
      </c>
      <c r="BN71" s="284">
        <v>230</v>
      </c>
      <c r="BO71" s="255">
        <v>390</v>
      </c>
      <c r="BP71" s="303">
        <v>9</v>
      </c>
      <c r="BQ71" s="408">
        <f t="shared" si="33"/>
        <v>2070</v>
      </c>
      <c r="BR71" s="242">
        <f t="shared" si="34"/>
        <v>1811</v>
      </c>
      <c r="BS71" s="38">
        <v>3</v>
      </c>
      <c r="BT71" s="51">
        <v>45000</v>
      </c>
      <c r="BU71" s="37">
        <v>0</v>
      </c>
      <c r="BV71" s="37">
        <v>0</v>
      </c>
      <c r="BW71" s="37">
        <v>1</v>
      </c>
      <c r="BX71" s="412">
        <v>931</v>
      </c>
      <c r="BY71" s="74">
        <v>3</v>
      </c>
      <c r="BZ71" s="285" t="s">
        <v>43</v>
      </c>
      <c r="CA71" s="382">
        <v>600</v>
      </c>
      <c r="CB71" s="289">
        <v>1800</v>
      </c>
      <c r="CC71" s="296">
        <v>3500</v>
      </c>
      <c r="CD71" s="296">
        <v>7000</v>
      </c>
      <c r="CE71" s="296">
        <v>21000</v>
      </c>
      <c r="CF71" s="296">
        <v>42000</v>
      </c>
      <c r="CG71" s="296">
        <v>84000</v>
      </c>
      <c r="CH71" s="296">
        <v>168000</v>
      </c>
      <c r="CI71" s="296">
        <v>336000</v>
      </c>
      <c r="CJ71" s="296">
        <v>672000</v>
      </c>
      <c r="CK71" s="296"/>
      <c r="CL71" s="333"/>
      <c r="CM71" s="353" t="s">
        <v>43</v>
      </c>
      <c r="CN71" s="320"/>
      <c r="CO71" s="367"/>
      <c r="CP71" s="367"/>
      <c r="CQ71" s="310"/>
      <c r="CR71" s="1"/>
      <c r="CS71" s="1"/>
      <c r="CT71" s="1"/>
      <c r="CU71" s="1"/>
      <c r="CV71" s="1"/>
      <c r="CW71" s="2"/>
      <c r="CX71" s="603"/>
    </row>
    <row r="72" spans="1:102">
      <c r="A72" s="472"/>
      <c r="B72" s="34" t="s">
        <v>73</v>
      </c>
      <c r="C72" s="437" t="s">
        <v>7</v>
      </c>
      <c r="D72" s="130"/>
      <c r="E72" s="67" t="s">
        <v>0</v>
      </c>
      <c r="F72" s="35"/>
      <c r="G72" s="36"/>
      <c r="H72" s="398">
        <v>3</v>
      </c>
      <c r="I72" s="327" t="s">
        <v>283</v>
      </c>
      <c r="J72" s="139">
        <f>52.5/60</f>
        <v>0.875</v>
      </c>
      <c r="K72" s="324">
        <v>0.15</v>
      </c>
      <c r="L72" s="405">
        <f t="shared" si="11"/>
        <v>0.59708737864077666</v>
      </c>
      <c r="M72" s="302">
        <v>30</v>
      </c>
      <c r="N72" s="270">
        <v>25</v>
      </c>
      <c r="O72" s="367" t="s">
        <v>306</v>
      </c>
      <c r="P72" s="430" t="s">
        <v>201</v>
      </c>
      <c r="Q72" s="168">
        <v>123</v>
      </c>
      <c r="R72" s="37">
        <v>206</v>
      </c>
      <c r="S72" s="155">
        <v>861</v>
      </c>
      <c r="T72" s="315" t="s">
        <v>403</v>
      </c>
      <c r="U72" s="395" t="s">
        <v>306</v>
      </c>
      <c r="V72" s="284">
        <v>123</v>
      </c>
      <c r="W72" s="255">
        <v>206</v>
      </c>
      <c r="X72" s="303">
        <v>8</v>
      </c>
      <c r="Y72" s="408">
        <f t="shared" si="31"/>
        <v>984</v>
      </c>
      <c r="Z72" s="242">
        <f t="shared" si="32"/>
        <v>861</v>
      </c>
      <c r="AA72" s="38">
        <v>3.5</v>
      </c>
      <c r="AB72" s="37">
        <v>0</v>
      </c>
      <c r="AC72" s="37">
        <v>0</v>
      </c>
      <c r="AD72" s="37">
        <v>0</v>
      </c>
      <c r="AE72" s="37">
        <v>0</v>
      </c>
      <c r="AF72" s="317">
        <v>516</v>
      </c>
      <c r="AG72" s="284">
        <v>184</v>
      </c>
      <c r="AH72" s="255">
        <v>309</v>
      </c>
      <c r="AI72" s="303">
        <v>8</v>
      </c>
      <c r="AJ72" s="408">
        <f t="shared" si="35"/>
        <v>1472</v>
      </c>
      <c r="AK72" s="242">
        <f t="shared" si="36"/>
        <v>1288</v>
      </c>
      <c r="AL72" s="38">
        <v>1</v>
      </c>
      <c r="AM72" s="51">
        <v>20000</v>
      </c>
      <c r="AN72" s="37">
        <v>0</v>
      </c>
      <c r="AO72" s="37">
        <v>0</v>
      </c>
      <c r="AP72" s="37">
        <v>0</v>
      </c>
      <c r="AQ72" s="412">
        <v>196</v>
      </c>
      <c r="AR72" s="284">
        <v>215</v>
      </c>
      <c r="AS72" s="255">
        <v>360</v>
      </c>
      <c r="AT72" s="303">
        <v>9</v>
      </c>
      <c r="AU72" s="408">
        <f t="shared" si="37"/>
        <v>1935</v>
      </c>
      <c r="AV72" s="242">
        <f t="shared" si="38"/>
        <v>1693</v>
      </c>
      <c r="AW72" s="38">
        <v>2</v>
      </c>
      <c r="AX72" s="51">
        <v>30000</v>
      </c>
      <c r="AY72" s="37">
        <v>0</v>
      </c>
      <c r="AZ72" s="37">
        <v>1</v>
      </c>
      <c r="BA72" s="37">
        <v>0</v>
      </c>
      <c r="BB72" s="412">
        <v>507</v>
      </c>
      <c r="BC72" s="284">
        <v>233</v>
      </c>
      <c r="BD72" s="255">
        <v>391</v>
      </c>
      <c r="BE72" s="303">
        <v>9</v>
      </c>
      <c r="BF72" s="408">
        <f t="shared" si="18"/>
        <v>2097</v>
      </c>
      <c r="BG72" s="242">
        <f t="shared" si="19"/>
        <v>1834</v>
      </c>
      <c r="BH72" s="38">
        <v>3</v>
      </c>
      <c r="BI72" s="51">
        <v>40000</v>
      </c>
      <c r="BJ72" s="37">
        <v>0</v>
      </c>
      <c r="BK72" s="37">
        <v>0</v>
      </c>
      <c r="BL72" s="37">
        <v>0</v>
      </c>
      <c r="BM72" s="412">
        <v>830</v>
      </c>
      <c r="BN72" s="284">
        <v>246</v>
      </c>
      <c r="BO72" s="255">
        <v>412</v>
      </c>
      <c r="BP72" s="303">
        <v>9</v>
      </c>
      <c r="BQ72" s="408">
        <f t="shared" si="33"/>
        <v>2214</v>
      </c>
      <c r="BR72" s="242">
        <f t="shared" si="34"/>
        <v>1937</v>
      </c>
      <c r="BS72" s="38">
        <v>4</v>
      </c>
      <c r="BT72" s="51">
        <v>50000</v>
      </c>
      <c r="BU72" s="37">
        <v>0</v>
      </c>
      <c r="BV72" s="37">
        <v>0</v>
      </c>
      <c r="BW72" s="37">
        <v>1</v>
      </c>
      <c r="BX72" s="412">
        <v>1162</v>
      </c>
      <c r="BY72" s="74">
        <v>4</v>
      </c>
      <c r="BZ72" s="285" t="s">
        <v>43</v>
      </c>
      <c r="CA72" s="382">
        <v>1000</v>
      </c>
      <c r="CB72" s="289">
        <v>3000</v>
      </c>
      <c r="CC72" s="296">
        <v>6000</v>
      </c>
      <c r="CD72" s="296">
        <v>12000</v>
      </c>
      <c r="CE72" s="296">
        <v>24000</v>
      </c>
      <c r="CF72" s="296">
        <v>48000</v>
      </c>
      <c r="CG72" s="296">
        <v>96000</v>
      </c>
      <c r="CH72" s="296">
        <v>192000</v>
      </c>
      <c r="CI72" s="296">
        <v>384000</v>
      </c>
      <c r="CJ72" s="296">
        <v>768000</v>
      </c>
      <c r="CK72" s="296"/>
      <c r="CL72" s="333"/>
      <c r="CM72" s="353" t="s">
        <v>43</v>
      </c>
      <c r="CN72" s="320"/>
      <c r="CO72" s="367"/>
      <c r="CP72" s="367"/>
      <c r="CQ72" s="310"/>
      <c r="CR72" s="1"/>
      <c r="CS72" s="1"/>
      <c r="CT72" s="1"/>
      <c r="CU72" s="1"/>
      <c r="CV72" s="1"/>
      <c r="CW72" s="2"/>
      <c r="CX72" s="603"/>
    </row>
    <row r="73" spans="1:102">
      <c r="A73" s="472"/>
      <c r="B73" s="34" t="s">
        <v>152</v>
      </c>
      <c r="C73" s="437" t="s">
        <v>52</v>
      </c>
      <c r="D73" s="130"/>
      <c r="E73" s="67" t="s">
        <v>43</v>
      </c>
      <c r="F73" s="35"/>
      <c r="G73" s="36"/>
      <c r="H73" s="398">
        <v>7</v>
      </c>
      <c r="I73" s="327" t="s">
        <v>269</v>
      </c>
      <c r="J73" s="139">
        <v>0.5</v>
      </c>
      <c r="K73" s="324">
        <v>0.15</v>
      </c>
      <c r="L73" s="405">
        <f>IF(ISBLANK(Q73),"",Q73/R73)</f>
        <v>1</v>
      </c>
      <c r="M73" s="302">
        <v>30</v>
      </c>
      <c r="N73" s="270">
        <v>7003</v>
      </c>
      <c r="O73" s="243">
        <v>42184</v>
      </c>
      <c r="P73" s="430" t="s">
        <v>201</v>
      </c>
      <c r="Q73" s="168">
        <v>220</v>
      </c>
      <c r="R73" s="37">
        <v>220</v>
      </c>
      <c r="S73" s="155">
        <v>660</v>
      </c>
      <c r="T73" s="315" t="s">
        <v>404</v>
      </c>
      <c r="U73" s="395" t="s">
        <v>306</v>
      </c>
      <c r="V73" s="284">
        <v>220</v>
      </c>
      <c r="W73" s="255">
        <v>220</v>
      </c>
      <c r="X73" s="303">
        <v>6</v>
      </c>
      <c r="Y73" s="408">
        <f>IF(ISBLANK(X73), "",INT(V73*X73))</f>
        <v>1320</v>
      </c>
      <c r="Z73" s="242">
        <f>IF(ISBLANK(X73),"",INT(Y73*$J73))</f>
        <v>660</v>
      </c>
      <c r="AA73" s="38">
        <f>7*24</f>
        <v>168</v>
      </c>
      <c r="AB73" s="37">
        <v>0</v>
      </c>
      <c r="AC73" s="37">
        <v>0</v>
      </c>
      <c r="AD73" s="37">
        <v>0</v>
      </c>
      <c r="AE73" s="37">
        <v>0</v>
      </c>
      <c r="AF73" s="317">
        <v>10000</v>
      </c>
      <c r="AG73" s="284">
        <v>330</v>
      </c>
      <c r="AH73" s="255">
        <v>330</v>
      </c>
      <c r="AI73" s="303">
        <v>6</v>
      </c>
      <c r="AJ73" s="408">
        <f>IF(ISBLANK(AI73), "",INT(AG73*AI73))</f>
        <v>1980</v>
      </c>
      <c r="AK73" s="242">
        <f>IF(ISBLANK(AI73),"",INT(AJ73*$J73))</f>
        <v>990</v>
      </c>
      <c r="AL73" s="38">
        <f>1*24+18</f>
        <v>42</v>
      </c>
      <c r="AM73" s="51">
        <v>1000000</v>
      </c>
      <c r="AN73" s="37">
        <v>0</v>
      </c>
      <c r="AO73" s="37">
        <v>0</v>
      </c>
      <c r="AP73" s="37">
        <v>1</v>
      </c>
      <c r="AQ73" s="412">
        <v>10000</v>
      </c>
      <c r="AR73" s="284">
        <v>385</v>
      </c>
      <c r="AS73" s="255">
        <v>385</v>
      </c>
      <c r="AT73" s="303">
        <v>6</v>
      </c>
      <c r="AU73" s="408">
        <f>IF(ISBLANK(AT73), "",INT(AR73*AT73))</f>
        <v>2310</v>
      </c>
      <c r="AV73" s="242">
        <f>IF(ISBLANK(AT73),"",INT(AU73*$J73))</f>
        <v>1155</v>
      </c>
      <c r="AW73" s="38">
        <f>3*24+12</f>
        <v>84</v>
      </c>
      <c r="AX73" s="51">
        <v>1500000</v>
      </c>
      <c r="AY73" s="37">
        <v>0</v>
      </c>
      <c r="AZ73" s="37">
        <v>0</v>
      </c>
      <c r="BA73" s="37">
        <v>2</v>
      </c>
      <c r="BB73" s="412">
        <v>10000</v>
      </c>
      <c r="BC73" s="284">
        <v>418</v>
      </c>
      <c r="BD73" s="255">
        <v>418</v>
      </c>
      <c r="BE73" s="303">
        <v>6</v>
      </c>
      <c r="BF73" s="408">
        <f>IF(ISBLANK(BE73), "",INT(BC73*BE73))</f>
        <v>2508</v>
      </c>
      <c r="BG73" s="242">
        <f>IF(ISBLANK(BE73),"",INT(BF73*$J73))</f>
        <v>1254</v>
      </c>
      <c r="BH73" s="38">
        <f>5*24+6</f>
        <v>126</v>
      </c>
      <c r="BI73" s="51">
        <v>2000000</v>
      </c>
      <c r="BJ73" s="37">
        <v>0</v>
      </c>
      <c r="BK73" s="37">
        <v>0</v>
      </c>
      <c r="BL73" s="37">
        <v>3</v>
      </c>
      <c r="BM73" s="412">
        <v>10000</v>
      </c>
      <c r="BN73" s="284">
        <v>440</v>
      </c>
      <c r="BO73" s="255">
        <v>440</v>
      </c>
      <c r="BP73" s="303">
        <v>6</v>
      </c>
      <c r="BQ73" s="408">
        <f>IF(ISBLANK(BP73), "",INT(BN73*BP73))</f>
        <v>2640</v>
      </c>
      <c r="BR73" s="242">
        <f>IF(ISBLANK(BP73),"",INT(BQ73*$J73))</f>
        <v>1320</v>
      </c>
      <c r="BS73" s="38">
        <f>7*24</f>
        <v>168</v>
      </c>
      <c r="BT73" s="51">
        <v>2500000</v>
      </c>
      <c r="BU73" s="37">
        <v>0</v>
      </c>
      <c r="BV73" s="37">
        <v>0</v>
      </c>
      <c r="BW73" s="37">
        <v>5</v>
      </c>
      <c r="BX73" s="412">
        <v>10000</v>
      </c>
      <c r="BY73" s="74">
        <v>160</v>
      </c>
      <c r="BZ73" s="285" t="s">
        <v>43</v>
      </c>
      <c r="CA73" s="382">
        <v>10000</v>
      </c>
      <c r="CB73" s="289">
        <v>150000</v>
      </c>
      <c r="CC73" s="296">
        <v>300000</v>
      </c>
      <c r="CD73" s="296">
        <v>600000</v>
      </c>
      <c r="CE73" s="296"/>
      <c r="CF73" s="296"/>
      <c r="CG73" s="296"/>
      <c r="CH73" s="296"/>
      <c r="CI73" s="296"/>
      <c r="CJ73" s="296"/>
      <c r="CK73" s="296"/>
      <c r="CL73" s="333"/>
      <c r="CM73" s="353" t="s">
        <v>43</v>
      </c>
      <c r="CN73" s="320"/>
      <c r="CO73" s="367"/>
      <c r="CP73" s="367"/>
      <c r="CQ73" s="310"/>
      <c r="CR73" s="1"/>
      <c r="CS73" s="1"/>
      <c r="CT73" s="1"/>
      <c r="CU73" s="1"/>
      <c r="CV73" s="1"/>
      <c r="CW73" s="2"/>
      <c r="CX73" s="603"/>
    </row>
    <row r="74" spans="1:102">
      <c r="A74" s="472"/>
      <c r="B74" s="34" t="s">
        <v>116</v>
      </c>
      <c r="C74" s="437" t="s">
        <v>52</v>
      </c>
      <c r="D74" s="130"/>
      <c r="E74" s="67"/>
      <c r="F74" s="35" t="s">
        <v>117</v>
      </c>
      <c r="G74" s="36"/>
      <c r="H74" s="398">
        <v>7</v>
      </c>
      <c r="I74" s="327" t="s">
        <v>269</v>
      </c>
      <c r="J74" s="139">
        <v>0.5</v>
      </c>
      <c r="K74" s="324">
        <v>0.13250000000000001</v>
      </c>
      <c r="L74" s="405">
        <f>IF(ISBLANK(Q74),"",Q74/R74)</f>
        <v>1</v>
      </c>
      <c r="M74" s="302">
        <v>30</v>
      </c>
      <c r="N74" s="270">
        <v>7008</v>
      </c>
      <c r="O74" s="243">
        <v>42184</v>
      </c>
      <c r="P74" s="430" t="s">
        <v>201</v>
      </c>
      <c r="Q74" s="168">
        <v>242</v>
      </c>
      <c r="R74" s="37">
        <v>242</v>
      </c>
      <c r="S74" s="155">
        <v>726</v>
      </c>
      <c r="T74" s="315" t="s">
        <v>405</v>
      </c>
      <c r="U74" s="395" t="s">
        <v>306</v>
      </c>
      <c r="V74" s="284">
        <v>242</v>
      </c>
      <c r="W74" s="255">
        <v>242</v>
      </c>
      <c r="X74" s="303">
        <v>6</v>
      </c>
      <c r="Y74" s="408">
        <f>IF(ISBLANK(X74), "",INT(V74*X74))</f>
        <v>1452</v>
      </c>
      <c r="Z74" s="242">
        <f>IF(ISBLANK(X74),"",INT(Y74*$J74))</f>
        <v>726</v>
      </c>
      <c r="AA74" s="38">
        <f>8*24</f>
        <v>192</v>
      </c>
      <c r="AB74" s="37">
        <v>0</v>
      </c>
      <c r="AC74" s="37">
        <v>0</v>
      </c>
      <c r="AD74" s="37">
        <v>0</v>
      </c>
      <c r="AE74" s="37">
        <v>0</v>
      </c>
      <c r="AF74" s="317">
        <v>10000</v>
      </c>
      <c r="AG74" s="284">
        <v>363</v>
      </c>
      <c r="AH74" s="255">
        <v>363</v>
      </c>
      <c r="AI74" s="303">
        <v>6</v>
      </c>
      <c r="AJ74" s="408">
        <f>IF(ISBLANK(AI74), "",INT(AG74*AI74))</f>
        <v>2178</v>
      </c>
      <c r="AK74" s="242">
        <f>IF(ISBLANK(AI74),"",INT(AJ74*$J74))</f>
        <v>1089</v>
      </c>
      <c r="AL74" s="38">
        <f>2*24</f>
        <v>48</v>
      </c>
      <c r="AM74" s="51">
        <v>2300000</v>
      </c>
      <c r="AN74" s="37">
        <v>0</v>
      </c>
      <c r="AO74" s="37">
        <v>0</v>
      </c>
      <c r="AP74" s="37">
        <v>1</v>
      </c>
      <c r="AQ74" s="412">
        <v>10000</v>
      </c>
      <c r="AR74" s="284">
        <v>424</v>
      </c>
      <c r="AS74" s="255">
        <v>424</v>
      </c>
      <c r="AT74" s="303">
        <v>6</v>
      </c>
      <c r="AU74" s="408">
        <f>IF(ISBLANK(AT74), "",INT(AR74*AT74))</f>
        <v>2544</v>
      </c>
      <c r="AV74" s="242">
        <f>IF(ISBLANK(AT74),"",INT(AU74*$J74))</f>
        <v>1272</v>
      </c>
      <c r="AW74" s="38">
        <f>4*24</f>
        <v>96</v>
      </c>
      <c r="AX74" s="51">
        <v>3500000</v>
      </c>
      <c r="AY74" s="37">
        <v>0</v>
      </c>
      <c r="AZ74" s="37">
        <v>0</v>
      </c>
      <c r="BA74" s="37">
        <v>2</v>
      </c>
      <c r="BB74" s="412">
        <v>10000</v>
      </c>
      <c r="BC74" s="284">
        <v>459</v>
      </c>
      <c r="BD74" s="255">
        <v>459</v>
      </c>
      <c r="BE74" s="303">
        <v>6</v>
      </c>
      <c r="BF74" s="408">
        <f>IF(ISBLANK(BE74), "",INT(BC74*BE74))</f>
        <v>2754</v>
      </c>
      <c r="BG74" s="242">
        <f>IF(ISBLANK(BE74),"",INT(BF74*$J74))</f>
        <v>1377</v>
      </c>
      <c r="BH74" s="38">
        <f>6*24</f>
        <v>144</v>
      </c>
      <c r="BI74" s="51">
        <v>4700000</v>
      </c>
      <c r="BJ74" s="37">
        <v>0</v>
      </c>
      <c r="BK74" s="37">
        <v>0</v>
      </c>
      <c r="BL74" s="37">
        <v>3</v>
      </c>
      <c r="BM74" s="412">
        <v>10000</v>
      </c>
      <c r="BN74" s="284">
        <v>484</v>
      </c>
      <c r="BO74" s="255">
        <v>484</v>
      </c>
      <c r="BP74" s="303">
        <v>6</v>
      </c>
      <c r="BQ74" s="408">
        <f>IF(ISBLANK(BP74), "",INT(BN74*BP74))</f>
        <v>2904</v>
      </c>
      <c r="BR74" s="242">
        <f>IF(ISBLANK(BP74),"",INT(BQ74*$J74))</f>
        <v>1452</v>
      </c>
      <c r="BS74" s="38">
        <f>8*24</f>
        <v>192</v>
      </c>
      <c r="BT74" s="51">
        <v>5800000</v>
      </c>
      <c r="BU74" s="37">
        <v>0</v>
      </c>
      <c r="BV74" s="37">
        <v>0</v>
      </c>
      <c r="BW74" s="37">
        <v>5</v>
      </c>
      <c r="BX74" s="412">
        <v>10000</v>
      </c>
      <c r="BY74" s="74">
        <v>183</v>
      </c>
      <c r="BZ74" s="285" t="s">
        <v>43</v>
      </c>
      <c r="CA74" s="382">
        <v>10000</v>
      </c>
      <c r="CB74" s="289">
        <v>350000</v>
      </c>
      <c r="CC74" s="296">
        <v>700000</v>
      </c>
      <c r="CD74" s="296"/>
      <c r="CE74" s="296"/>
      <c r="CF74" s="296"/>
      <c r="CG74" s="296"/>
      <c r="CH74" s="296"/>
      <c r="CI74" s="296"/>
      <c r="CJ74" s="296"/>
      <c r="CK74" s="296"/>
      <c r="CL74" s="333"/>
      <c r="CM74" s="353" t="s">
        <v>43</v>
      </c>
      <c r="CN74" s="320"/>
      <c r="CO74" s="367"/>
      <c r="CP74" s="367"/>
      <c r="CQ74" s="310"/>
      <c r="CR74" s="1"/>
      <c r="CS74" s="1"/>
      <c r="CT74" s="1"/>
      <c r="CU74" s="1"/>
      <c r="CV74" s="1"/>
      <c r="CW74" s="2"/>
      <c r="CX74" s="603"/>
    </row>
    <row r="75" spans="1:102">
      <c r="A75" s="472"/>
      <c r="B75" s="34" t="s">
        <v>215</v>
      </c>
      <c r="C75" s="437" t="s">
        <v>52</v>
      </c>
      <c r="D75" s="130"/>
      <c r="E75" s="67" t="s">
        <v>216</v>
      </c>
      <c r="F75" s="35"/>
      <c r="G75" s="36"/>
      <c r="H75" s="398">
        <v>7</v>
      </c>
      <c r="I75" s="327" t="s">
        <v>269</v>
      </c>
      <c r="J75" s="139">
        <v>3</v>
      </c>
      <c r="K75" s="324">
        <v>0.15</v>
      </c>
      <c r="L75" s="405">
        <f>IF(ISBLANK(Q75),"",Q75/R75)</f>
        <v>2</v>
      </c>
      <c r="M75" s="302">
        <v>30</v>
      </c>
      <c r="N75" s="270">
        <v>7012</v>
      </c>
      <c r="O75" s="243">
        <v>42348</v>
      </c>
      <c r="P75" s="430" t="s">
        <v>206</v>
      </c>
      <c r="Q75" s="364">
        <v>1000</v>
      </c>
      <c r="R75" s="368">
        <v>500</v>
      </c>
      <c r="S75" s="436">
        <v>30000</v>
      </c>
      <c r="T75" s="315" t="s">
        <v>406</v>
      </c>
      <c r="U75" s="395" t="s">
        <v>306</v>
      </c>
      <c r="V75" s="284">
        <v>334</v>
      </c>
      <c r="W75" s="255">
        <v>167</v>
      </c>
      <c r="X75" s="303">
        <v>9</v>
      </c>
      <c r="Y75" s="408">
        <f>IF(ISBLANK(X75), "",INT(V75*X75))</f>
        <v>3006</v>
      </c>
      <c r="Z75" s="242">
        <f>IF(ISBLANK(X75),"",INT(Y75*$J75))</f>
        <v>9018</v>
      </c>
      <c r="AA75" s="38">
        <v>6</v>
      </c>
      <c r="AB75" s="37">
        <v>0</v>
      </c>
      <c r="AC75" s="37">
        <v>0</v>
      </c>
      <c r="AD75" s="37">
        <v>0</v>
      </c>
      <c r="AE75" s="37">
        <v>0</v>
      </c>
      <c r="AF75" s="317">
        <v>10000</v>
      </c>
      <c r="AG75" s="284">
        <v>417</v>
      </c>
      <c r="AH75" s="255">
        <v>209</v>
      </c>
      <c r="AI75" s="303">
        <v>9</v>
      </c>
      <c r="AJ75" s="408">
        <f>IF(ISBLANK(AI75), "",INT(AG75*AI75))</f>
        <v>3753</v>
      </c>
      <c r="AK75" s="242">
        <f>IF(ISBLANK(AI75),"",INT(AJ75*$J75))</f>
        <v>11259</v>
      </c>
      <c r="AL75" s="38">
        <f>2*24</f>
        <v>48</v>
      </c>
      <c r="AM75" s="51">
        <v>2800000</v>
      </c>
      <c r="AN75" s="37">
        <v>0</v>
      </c>
      <c r="AO75" s="37">
        <v>0</v>
      </c>
      <c r="AP75" s="37">
        <v>3</v>
      </c>
      <c r="AQ75" s="434">
        <v>10000</v>
      </c>
      <c r="AR75" s="416">
        <v>500</v>
      </c>
      <c r="AS75" s="240">
        <v>250</v>
      </c>
      <c r="AT75" s="267">
        <v>9</v>
      </c>
      <c r="AU75" s="293">
        <f>IF(ISBLANK(AT75), "",INT(AR75*AT75))</f>
        <v>4500</v>
      </c>
      <c r="AV75" s="248">
        <f>IF(ISBLANK(AT75),"",INT(AU75*$J75))</f>
        <v>13500</v>
      </c>
      <c r="AW75" s="612">
        <v>96</v>
      </c>
      <c r="AX75" s="613">
        <v>4200000</v>
      </c>
      <c r="AY75" s="368">
        <v>0</v>
      </c>
      <c r="AZ75" s="368">
        <v>0</v>
      </c>
      <c r="BA75" s="368">
        <v>5</v>
      </c>
      <c r="BB75" s="434">
        <v>10000</v>
      </c>
      <c r="BC75" s="416">
        <v>667</v>
      </c>
      <c r="BD75" s="240">
        <v>334</v>
      </c>
      <c r="BE75" s="267">
        <v>9</v>
      </c>
      <c r="BF75" s="293">
        <f>IF(ISBLANK(BE75), "",INT(BC75*BE75))</f>
        <v>6003</v>
      </c>
      <c r="BG75" s="248">
        <f>IF(ISBLANK(BE75),"",INT(BF75*$J75))</f>
        <v>18009</v>
      </c>
      <c r="BH75" s="38"/>
      <c r="BI75" s="51"/>
      <c r="BJ75" s="37"/>
      <c r="BK75" s="37"/>
      <c r="BL75" s="37"/>
      <c r="BM75" s="434">
        <v>10000</v>
      </c>
      <c r="BN75" s="416">
        <v>1000</v>
      </c>
      <c r="BO75" s="240">
        <v>500</v>
      </c>
      <c r="BP75" s="267">
        <v>10</v>
      </c>
      <c r="BQ75" s="293">
        <f>IF(ISBLANK(BP75), "",INT(BN75*BP75))</f>
        <v>10000</v>
      </c>
      <c r="BR75" s="248">
        <f>IF(ISBLANK(BP75),"",INT(BQ75*$J75))</f>
        <v>30000</v>
      </c>
      <c r="BS75" s="38"/>
      <c r="BT75" s="51"/>
      <c r="BU75" s="37"/>
      <c r="BV75" s="37"/>
      <c r="BW75" s="37"/>
      <c r="BX75" s="434">
        <v>10000</v>
      </c>
      <c r="BY75" s="74"/>
      <c r="BZ75" s="285"/>
      <c r="CA75" s="382">
        <v>10000</v>
      </c>
      <c r="CB75" s="289">
        <v>1200000</v>
      </c>
      <c r="CC75" s="296"/>
      <c r="CD75" s="296"/>
      <c r="CE75" s="296"/>
      <c r="CF75" s="296"/>
      <c r="CG75" s="296"/>
      <c r="CH75" s="296"/>
      <c r="CI75" s="296"/>
      <c r="CJ75" s="296"/>
      <c r="CK75" s="296"/>
      <c r="CL75" s="333"/>
      <c r="CM75" s="353" t="s">
        <v>43</v>
      </c>
      <c r="CN75" s="320"/>
      <c r="CO75" s="367"/>
      <c r="CP75" s="367"/>
      <c r="CQ75" s="310"/>
      <c r="CR75" s="1"/>
      <c r="CS75" s="1"/>
      <c r="CT75" s="1"/>
      <c r="CU75" s="1"/>
      <c r="CV75" s="1"/>
      <c r="CW75" s="2"/>
      <c r="CX75" s="603"/>
    </row>
    <row r="76" spans="1:102">
      <c r="A76" s="472"/>
      <c r="B76" s="34" t="s">
        <v>260</v>
      </c>
      <c r="C76" s="437" t="s">
        <v>52</v>
      </c>
      <c r="D76" s="130"/>
      <c r="E76" s="67" t="s">
        <v>43</v>
      </c>
      <c r="F76" s="35"/>
      <c r="G76" s="36"/>
      <c r="H76" s="398">
        <v>7</v>
      </c>
      <c r="I76" s="327" t="s">
        <v>269</v>
      </c>
      <c r="J76" s="139">
        <v>3</v>
      </c>
      <c r="K76" s="256">
        <v>0.15</v>
      </c>
      <c r="L76" s="405">
        <f>IF(ISBLANK(Q76),"",Q76/R76)</f>
        <v>2.0238095238095237</v>
      </c>
      <c r="M76" s="302">
        <v>30</v>
      </c>
      <c r="N76" s="290">
        <v>7017</v>
      </c>
      <c r="O76" s="243">
        <v>42384</v>
      </c>
      <c r="P76" s="430" t="s">
        <v>206</v>
      </c>
      <c r="Q76" s="168">
        <v>1020</v>
      </c>
      <c r="R76" s="37">
        <v>504</v>
      </c>
      <c r="S76" s="155">
        <v>30600</v>
      </c>
      <c r="T76" s="315" t="s">
        <v>407</v>
      </c>
      <c r="U76" s="395" t="s">
        <v>306</v>
      </c>
      <c r="V76" s="284">
        <v>340</v>
      </c>
      <c r="W76" s="255">
        <v>168</v>
      </c>
      <c r="X76" s="303">
        <v>9</v>
      </c>
      <c r="Y76" s="408">
        <f>IF(ISBLANK(X76), "",INT(V76*X76))</f>
        <v>3060</v>
      </c>
      <c r="Z76" s="242">
        <f>IF(ISBLANK(X76),"",INT(Y76*$J76))</f>
        <v>9180</v>
      </c>
      <c r="AA76" s="38">
        <v>6</v>
      </c>
      <c r="AB76" s="37">
        <v>0</v>
      </c>
      <c r="AC76" s="37">
        <v>0</v>
      </c>
      <c r="AD76" s="37">
        <v>0</v>
      </c>
      <c r="AE76" s="37">
        <v>0</v>
      </c>
      <c r="AF76" s="413">
        <v>10000</v>
      </c>
      <c r="AG76" s="416">
        <v>425</v>
      </c>
      <c r="AH76" s="240">
        <v>210</v>
      </c>
      <c r="AI76" s="267">
        <v>9</v>
      </c>
      <c r="AJ76" s="293">
        <f>IF(ISBLANK(AI76), "",INT(AG76*AI76))</f>
        <v>3825</v>
      </c>
      <c r="AK76" s="248">
        <f>IF(ISBLANK(AI76),"",INT(AJ76*$J76))</f>
        <v>11475</v>
      </c>
      <c r="AL76" s="38"/>
      <c r="AM76" s="51"/>
      <c r="AN76" s="37"/>
      <c r="AO76" s="37"/>
      <c r="AP76" s="37"/>
      <c r="AQ76" s="434">
        <v>10000</v>
      </c>
      <c r="AR76" s="416">
        <v>510</v>
      </c>
      <c r="AS76" s="240">
        <v>252</v>
      </c>
      <c r="AT76" s="267">
        <v>9</v>
      </c>
      <c r="AU76" s="293">
        <f>IF(ISBLANK(AT76), "",INT(AR76*AT76))</f>
        <v>4590</v>
      </c>
      <c r="AV76" s="248">
        <f>IF(ISBLANK(AT76),"",INT(AU76*$J76))</f>
        <v>13770</v>
      </c>
      <c r="AW76" s="38"/>
      <c r="AX76" s="51"/>
      <c r="AY76" s="37"/>
      <c r="AZ76" s="37"/>
      <c r="BA76" s="37"/>
      <c r="BB76" s="434">
        <v>10000</v>
      </c>
      <c r="BC76" s="416">
        <v>680</v>
      </c>
      <c r="BD76" s="240">
        <v>336</v>
      </c>
      <c r="BE76" s="267">
        <v>9</v>
      </c>
      <c r="BF76" s="293">
        <f>IF(ISBLANK(BE76), "",INT(BC76*BE76))</f>
        <v>6120</v>
      </c>
      <c r="BG76" s="248">
        <f>IF(ISBLANK(BE76),"",INT(BF76*$J76))</f>
        <v>18360</v>
      </c>
      <c r="BH76" s="38"/>
      <c r="BI76" s="51"/>
      <c r="BJ76" s="37"/>
      <c r="BK76" s="37"/>
      <c r="BL76" s="37"/>
      <c r="BM76" s="434">
        <v>10000</v>
      </c>
      <c r="BN76" s="284">
        <v>1020</v>
      </c>
      <c r="BO76" s="255">
        <v>504</v>
      </c>
      <c r="BP76" s="303">
        <v>10</v>
      </c>
      <c r="BQ76" s="408">
        <f>IF(ISBLANK(BP76), "",INT(BN76*BP76))</f>
        <v>10200</v>
      </c>
      <c r="BR76" s="242">
        <f>IF(ISBLANK(BP76),"",INT(BQ76*$J76))</f>
        <v>30600</v>
      </c>
      <c r="BS76" s="38"/>
      <c r="BT76" s="51"/>
      <c r="BU76" s="37"/>
      <c r="BV76" s="37"/>
      <c r="BW76" s="37"/>
      <c r="BX76" s="434">
        <v>10000</v>
      </c>
      <c r="BY76" s="74"/>
      <c r="BZ76" s="285"/>
      <c r="CA76" s="382">
        <v>10000</v>
      </c>
      <c r="CB76" s="289">
        <v>1700000</v>
      </c>
      <c r="CC76" s="296"/>
      <c r="CD76" s="296"/>
      <c r="CE76" s="296"/>
      <c r="CF76" s="296"/>
      <c r="CG76" s="296"/>
      <c r="CH76" s="296"/>
      <c r="CI76" s="296"/>
      <c r="CJ76" s="296"/>
      <c r="CK76" s="296"/>
      <c r="CL76" s="333"/>
      <c r="CM76" s="353" t="s">
        <v>43</v>
      </c>
      <c r="CN76" s="320"/>
      <c r="CO76" s="367"/>
      <c r="CP76" s="367"/>
      <c r="CQ76" s="310"/>
      <c r="CR76" s="1"/>
      <c r="CS76" s="1"/>
      <c r="CT76" s="1"/>
      <c r="CU76" s="1"/>
      <c r="CV76" s="1"/>
      <c r="CW76" s="2"/>
      <c r="CX76" s="603"/>
    </row>
    <row r="77" spans="1:102" s="1132" customFormat="1">
      <c r="A77" s="472"/>
      <c r="B77" s="1125" t="s">
        <v>958</v>
      </c>
      <c r="C77" s="437" t="s">
        <v>52</v>
      </c>
      <c r="D77" s="130"/>
      <c r="E77" s="467" t="s">
        <v>43</v>
      </c>
      <c r="F77" s="452"/>
      <c r="G77" s="453"/>
      <c r="H77" s="398">
        <v>7</v>
      </c>
      <c r="I77" s="327" t="s">
        <v>269</v>
      </c>
      <c r="J77" s="139">
        <v>3</v>
      </c>
      <c r="K77" s="256">
        <v>0.15</v>
      </c>
      <c r="L77" s="405">
        <f>IF(ISBLANK(Q77),"",Q77/R77)</f>
        <v>2.043222003929273</v>
      </c>
      <c r="M77" s="302">
        <v>30</v>
      </c>
      <c r="N77" s="290">
        <v>7022</v>
      </c>
      <c r="O77" s="243">
        <v>42415</v>
      </c>
      <c r="P77" s="430" t="s">
        <v>206</v>
      </c>
      <c r="Q77" s="168">
        <v>1040</v>
      </c>
      <c r="R77" s="454">
        <v>509</v>
      </c>
      <c r="S77" s="155">
        <v>31200</v>
      </c>
      <c r="T77" s="315" t="s">
        <v>961</v>
      </c>
      <c r="U77" s="395" t="s">
        <v>951</v>
      </c>
      <c r="V77" s="416">
        <v>347</v>
      </c>
      <c r="W77" s="240">
        <v>170</v>
      </c>
      <c r="X77" s="267">
        <v>9</v>
      </c>
      <c r="Y77" s="293">
        <f>IF(ISBLANK(X77), "",INT(V77*X77))</f>
        <v>3123</v>
      </c>
      <c r="Z77" s="248">
        <f>IF(ISBLANK(X77),"",INT(Y77*$J77))</f>
        <v>9369</v>
      </c>
      <c r="AA77" s="455"/>
      <c r="AB77" s="454"/>
      <c r="AC77" s="454"/>
      <c r="AD77" s="454"/>
      <c r="AE77" s="454"/>
      <c r="AF77" s="413">
        <v>10000</v>
      </c>
      <c r="AG77" s="416">
        <v>434</v>
      </c>
      <c r="AH77" s="240">
        <v>213</v>
      </c>
      <c r="AI77" s="267">
        <v>9</v>
      </c>
      <c r="AJ77" s="293">
        <f>IF(ISBLANK(AI77), "",INT(AG77*AI77))</f>
        <v>3906</v>
      </c>
      <c r="AK77" s="248">
        <f>IF(ISBLANK(AI77),"",INT(AJ77*$J77))</f>
        <v>11718</v>
      </c>
      <c r="AL77" s="455"/>
      <c r="AM77" s="462"/>
      <c r="AN77" s="454"/>
      <c r="AO77" s="454"/>
      <c r="AP77" s="454"/>
      <c r="AQ77" s="434">
        <v>10000</v>
      </c>
      <c r="AR77" s="416">
        <v>520</v>
      </c>
      <c r="AS77" s="240">
        <v>255</v>
      </c>
      <c r="AT77" s="267">
        <v>9</v>
      </c>
      <c r="AU77" s="293">
        <f>IF(ISBLANK(AT77), "",INT(AR77*AT77))</f>
        <v>4680</v>
      </c>
      <c r="AV77" s="248">
        <f>IF(ISBLANK(AT77),"",INT(AU77*$J77))</f>
        <v>14040</v>
      </c>
      <c r="AW77" s="455"/>
      <c r="AX77" s="462"/>
      <c r="AY77" s="454"/>
      <c r="AZ77" s="454"/>
      <c r="BA77" s="454"/>
      <c r="BB77" s="434">
        <v>10000</v>
      </c>
      <c r="BC77" s="416">
        <v>694</v>
      </c>
      <c r="BD77" s="240">
        <v>340</v>
      </c>
      <c r="BE77" s="267">
        <v>9</v>
      </c>
      <c r="BF77" s="293">
        <f>IF(ISBLANK(BE77), "",INT(BC77*BE77))</f>
        <v>6246</v>
      </c>
      <c r="BG77" s="248">
        <f>IF(ISBLANK(BE77),"",INT(BF77*$J77))</f>
        <v>18738</v>
      </c>
      <c r="BH77" s="455"/>
      <c r="BI77" s="462"/>
      <c r="BJ77" s="454"/>
      <c r="BK77" s="454"/>
      <c r="BL77" s="454"/>
      <c r="BM77" s="434">
        <v>10000</v>
      </c>
      <c r="BN77" s="343">
        <v>1040</v>
      </c>
      <c r="BO77" s="440">
        <v>509</v>
      </c>
      <c r="BP77" s="314">
        <v>10</v>
      </c>
      <c r="BQ77" s="280">
        <f>IF(ISBLANK(BP77), "",INT(BN77*BP77))</f>
        <v>10400</v>
      </c>
      <c r="BR77" s="435">
        <f>IF(ISBLANK(BP77),"",INT(BQ77*$J77))</f>
        <v>31200</v>
      </c>
      <c r="BS77" s="455"/>
      <c r="BT77" s="462"/>
      <c r="BU77" s="454"/>
      <c r="BV77" s="454"/>
      <c r="BW77" s="454"/>
      <c r="BX77" s="434">
        <v>10000</v>
      </c>
      <c r="BY77" s="469"/>
      <c r="BZ77" s="285"/>
      <c r="CA77" s="382">
        <v>10000</v>
      </c>
      <c r="CB77" s="289">
        <v>2200000</v>
      </c>
      <c r="CC77" s="296"/>
      <c r="CD77" s="296"/>
      <c r="CE77" s="296"/>
      <c r="CF77" s="296"/>
      <c r="CG77" s="296"/>
      <c r="CH77" s="296"/>
      <c r="CI77" s="296"/>
      <c r="CJ77" s="296"/>
      <c r="CK77" s="296"/>
      <c r="CL77" s="333"/>
      <c r="CM77" s="353" t="s">
        <v>43</v>
      </c>
      <c r="CN77" s="320"/>
      <c r="CO77" s="367"/>
      <c r="CP77" s="367"/>
      <c r="CQ77" s="310"/>
      <c r="CR77" s="1"/>
      <c r="CS77" s="1"/>
      <c r="CT77" s="1"/>
      <c r="CU77" s="1"/>
      <c r="CV77" s="1"/>
      <c r="CW77" s="2"/>
      <c r="CX77" s="603"/>
    </row>
    <row r="78" spans="1:102">
      <c r="A78" s="472"/>
      <c r="B78" s="34" t="s">
        <v>128</v>
      </c>
      <c r="C78" s="437" t="s">
        <v>52</v>
      </c>
      <c r="D78" s="130"/>
      <c r="E78" s="67" t="s">
        <v>43</v>
      </c>
      <c r="F78" s="35"/>
      <c r="G78" s="36"/>
      <c r="H78" s="398">
        <v>4</v>
      </c>
      <c r="I78" s="327" t="s">
        <v>282</v>
      </c>
      <c r="J78" s="139">
        <v>2</v>
      </c>
      <c r="K78" s="324">
        <v>0.13250000000000001</v>
      </c>
      <c r="L78" s="405">
        <f t="shared" si="11"/>
        <v>0.90909090909090906</v>
      </c>
      <c r="M78" s="302">
        <v>100</v>
      </c>
      <c r="N78" s="270">
        <v>78</v>
      </c>
      <c r="O78" s="243">
        <v>42217</v>
      </c>
      <c r="P78" s="430" t="s">
        <v>201</v>
      </c>
      <c r="Q78" s="168">
        <v>200</v>
      </c>
      <c r="R78" s="37">
        <v>220</v>
      </c>
      <c r="S78" s="155">
        <v>4000</v>
      </c>
      <c r="T78" s="315" t="s">
        <v>408</v>
      </c>
      <c r="U78" s="395" t="s">
        <v>434</v>
      </c>
      <c r="V78" s="284">
        <v>200</v>
      </c>
      <c r="W78" s="255">
        <v>220</v>
      </c>
      <c r="X78" s="303">
        <v>10</v>
      </c>
      <c r="Y78" s="408">
        <f t="shared" si="31"/>
        <v>2000</v>
      </c>
      <c r="Z78" s="242">
        <f t="shared" si="32"/>
        <v>4000</v>
      </c>
      <c r="AA78" s="38">
        <v>9</v>
      </c>
      <c r="AB78" s="37">
        <v>0</v>
      </c>
      <c r="AC78" s="37">
        <v>0</v>
      </c>
      <c r="AD78" s="37">
        <v>0</v>
      </c>
      <c r="AE78" s="37">
        <v>0</v>
      </c>
      <c r="AF78" s="317">
        <v>2385</v>
      </c>
      <c r="AG78" s="284">
        <v>300</v>
      </c>
      <c r="AH78" s="255">
        <v>330</v>
      </c>
      <c r="AI78" s="303">
        <v>10</v>
      </c>
      <c r="AJ78" s="408">
        <f t="shared" si="35"/>
        <v>3000</v>
      </c>
      <c r="AK78" s="242">
        <f t="shared" si="36"/>
        <v>6000</v>
      </c>
      <c r="AL78" s="38">
        <v>4</v>
      </c>
      <c r="AM78" s="51">
        <v>500000</v>
      </c>
      <c r="AN78" s="37">
        <v>0</v>
      </c>
      <c r="AO78" s="37">
        <v>0</v>
      </c>
      <c r="AP78" s="37">
        <v>0</v>
      </c>
      <c r="AQ78" s="412">
        <v>1590</v>
      </c>
      <c r="AR78" s="284">
        <v>350</v>
      </c>
      <c r="AS78" s="255">
        <v>384</v>
      </c>
      <c r="AT78" s="303">
        <v>10</v>
      </c>
      <c r="AU78" s="408">
        <f t="shared" si="37"/>
        <v>3500</v>
      </c>
      <c r="AV78" s="242">
        <f t="shared" si="38"/>
        <v>7000</v>
      </c>
      <c r="AW78" s="38">
        <v>5.5</v>
      </c>
      <c r="AX78" s="51">
        <v>750000</v>
      </c>
      <c r="AY78" s="37">
        <v>0</v>
      </c>
      <c r="AZ78" s="37">
        <v>1</v>
      </c>
      <c r="BA78" s="37">
        <v>0</v>
      </c>
      <c r="BB78" s="412">
        <v>2550</v>
      </c>
      <c r="BC78" s="284">
        <v>379</v>
      </c>
      <c r="BD78" s="255">
        <v>418</v>
      </c>
      <c r="BE78" s="303">
        <v>10</v>
      </c>
      <c r="BF78" s="408">
        <f t="shared" si="18"/>
        <v>3790</v>
      </c>
      <c r="BG78" s="242">
        <f t="shared" si="19"/>
        <v>7580</v>
      </c>
      <c r="BH78" s="38">
        <v>7.5</v>
      </c>
      <c r="BI78" s="51">
        <v>1000000</v>
      </c>
      <c r="BJ78" s="37">
        <v>0</v>
      </c>
      <c r="BK78" s="37">
        <v>0</v>
      </c>
      <c r="BL78" s="37">
        <v>0</v>
      </c>
      <c r="BM78" s="412">
        <v>3766</v>
      </c>
      <c r="BN78" s="284">
        <v>400</v>
      </c>
      <c r="BO78" s="255">
        <v>440</v>
      </c>
      <c r="BP78" s="303">
        <v>10</v>
      </c>
      <c r="BQ78" s="408">
        <f t="shared" si="33"/>
        <v>4000</v>
      </c>
      <c r="BR78" s="242">
        <f t="shared" si="34"/>
        <v>8000</v>
      </c>
      <c r="BS78" s="38">
        <v>9</v>
      </c>
      <c r="BT78" s="51">
        <v>1250000</v>
      </c>
      <c r="BU78" s="37">
        <v>0</v>
      </c>
      <c r="BV78" s="37">
        <v>0</v>
      </c>
      <c r="BW78" s="37">
        <v>1</v>
      </c>
      <c r="BX78" s="412">
        <v>4770</v>
      </c>
      <c r="BY78" s="74">
        <v>10</v>
      </c>
      <c r="BZ78" s="285" t="s">
        <v>43</v>
      </c>
      <c r="CA78" s="382">
        <v>5000</v>
      </c>
      <c r="CB78" s="289">
        <v>15000</v>
      </c>
      <c r="CC78" s="296">
        <v>30000</v>
      </c>
      <c r="CD78" s="296">
        <v>60000</v>
      </c>
      <c r="CE78" s="296">
        <v>120000</v>
      </c>
      <c r="CF78" s="296">
        <v>240000</v>
      </c>
      <c r="CG78" s="296">
        <v>480000</v>
      </c>
      <c r="CH78" s="296">
        <v>960000</v>
      </c>
      <c r="CI78" s="296"/>
      <c r="CJ78" s="296"/>
      <c r="CK78" s="296"/>
      <c r="CL78" s="333"/>
      <c r="CM78" s="353" t="s">
        <v>43</v>
      </c>
      <c r="CN78" s="320"/>
      <c r="CO78" s="367"/>
      <c r="CP78" s="367"/>
      <c r="CQ78" s="310"/>
      <c r="CR78" s="1"/>
      <c r="CS78" s="1"/>
      <c r="CT78" s="1"/>
      <c r="CU78" s="1"/>
      <c r="CV78" s="1"/>
      <c r="CW78" s="2"/>
      <c r="CX78" s="603"/>
    </row>
    <row r="79" spans="1:102">
      <c r="A79" s="472"/>
      <c r="B79" s="34" t="s">
        <v>166</v>
      </c>
      <c r="C79" s="437" t="s">
        <v>52</v>
      </c>
      <c r="D79" s="130"/>
      <c r="E79" s="67" t="s">
        <v>43</v>
      </c>
      <c r="F79" s="35"/>
      <c r="G79" s="36"/>
      <c r="H79" s="398">
        <v>5</v>
      </c>
      <c r="I79" s="327" t="s">
        <v>282</v>
      </c>
      <c r="J79" s="139">
        <v>5</v>
      </c>
      <c r="K79" s="324">
        <v>0.15</v>
      </c>
      <c r="L79" s="405">
        <f t="shared" si="11"/>
        <v>1.4</v>
      </c>
      <c r="M79" s="302">
        <v>100</v>
      </c>
      <c r="N79" s="270">
        <v>86</v>
      </c>
      <c r="O79" s="243">
        <v>42278</v>
      </c>
      <c r="P79" s="430" t="s">
        <v>201</v>
      </c>
      <c r="Q79" s="168">
        <v>210</v>
      </c>
      <c r="R79" s="37">
        <v>150</v>
      </c>
      <c r="S79" s="155">
        <v>10500</v>
      </c>
      <c r="T79" s="315" t="s">
        <v>409</v>
      </c>
      <c r="U79" s="395" t="s">
        <v>435</v>
      </c>
      <c r="V79" s="284">
        <v>210</v>
      </c>
      <c r="W79" s="255">
        <v>150</v>
      </c>
      <c r="X79" s="303">
        <v>10</v>
      </c>
      <c r="Y79" s="408">
        <f t="shared" si="31"/>
        <v>2100</v>
      </c>
      <c r="Z79" s="242">
        <f t="shared" si="32"/>
        <v>10500</v>
      </c>
      <c r="AA79" s="38">
        <v>10</v>
      </c>
      <c r="AB79" s="37">
        <v>0</v>
      </c>
      <c r="AC79" s="37">
        <v>0</v>
      </c>
      <c r="AD79" s="37">
        <v>0</v>
      </c>
      <c r="AE79" s="37">
        <v>0</v>
      </c>
      <c r="AF79" s="317">
        <v>3150</v>
      </c>
      <c r="AG79" s="284">
        <v>315</v>
      </c>
      <c r="AH79" s="255">
        <v>225</v>
      </c>
      <c r="AI79" s="303">
        <v>10</v>
      </c>
      <c r="AJ79" s="408">
        <f t="shared" si="35"/>
        <v>3150</v>
      </c>
      <c r="AK79" s="242">
        <f t="shared" si="36"/>
        <v>15750</v>
      </c>
      <c r="AL79" s="38">
        <v>3</v>
      </c>
      <c r="AM79" s="51">
        <v>920000</v>
      </c>
      <c r="AN79" s="37">
        <v>0</v>
      </c>
      <c r="AO79" s="37">
        <v>1</v>
      </c>
      <c r="AP79" s="37">
        <v>0</v>
      </c>
      <c r="AQ79" s="412">
        <v>1418</v>
      </c>
      <c r="AR79" s="284">
        <v>367</v>
      </c>
      <c r="AS79" s="255">
        <v>262</v>
      </c>
      <c r="AT79" s="303">
        <v>10</v>
      </c>
      <c r="AU79" s="408">
        <f t="shared" si="37"/>
        <v>3670</v>
      </c>
      <c r="AV79" s="242">
        <f t="shared" si="38"/>
        <v>18350</v>
      </c>
      <c r="AW79" s="38">
        <v>5</v>
      </c>
      <c r="AX79" s="51">
        <v>1380000</v>
      </c>
      <c r="AY79" s="37">
        <v>0</v>
      </c>
      <c r="AZ79" s="37">
        <v>2</v>
      </c>
      <c r="BA79" s="37">
        <v>0</v>
      </c>
      <c r="BB79" s="412">
        <v>2753</v>
      </c>
      <c r="BC79" s="284">
        <v>399</v>
      </c>
      <c r="BD79" s="255">
        <v>285</v>
      </c>
      <c r="BE79" s="303">
        <v>10</v>
      </c>
      <c r="BF79" s="408">
        <f t="shared" si="18"/>
        <v>3990</v>
      </c>
      <c r="BG79" s="242">
        <f t="shared" si="19"/>
        <v>19950</v>
      </c>
      <c r="BH79" s="38">
        <v>8</v>
      </c>
      <c r="BI79" s="51">
        <v>1840000</v>
      </c>
      <c r="BJ79" s="37">
        <v>0</v>
      </c>
      <c r="BK79" s="37">
        <v>0</v>
      </c>
      <c r="BL79" s="37">
        <v>1</v>
      </c>
      <c r="BM79" s="412">
        <v>4788</v>
      </c>
      <c r="BN79" s="284">
        <v>420</v>
      </c>
      <c r="BO79" s="255">
        <v>300</v>
      </c>
      <c r="BP79" s="303">
        <v>11</v>
      </c>
      <c r="BQ79" s="408">
        <f t="shared" si="33"/>
        <v>4620</v>
      </c>
      <c r="BR79" s="242">
        <f t="shared" si="34"/>
        <v>23100</v>
      </c>
      <c r="BS79" s="38">
        <v>10</v>
      </c>
      <c r="BT79" s="51">
        <v>2300000</v>
      </c>
      <c r="BU79" s="37">
        <v>0</v>
      </c>
      <c r="BV79" s="37">
        <v>0</v>
      </c>
      <c r="BW79" s="37">
        <v>2</v>
      </c>
      <c r="BX79" s="412">
        <v>6930</v>
      </c>
      <c r="BY79" s="74">
        <v>10</v>
      </c>
      <c r="BZ79" s="285" t="s">
        <v>43</v>
      </c>
      <c r="CA79" s="382">
        <v>9900</v>
      </c>
      <c r="CB79" s="289">
        <v>29800</v>
      </c>
      <c r="CC79" s="296">
        <v>59600</v>
      </c>
      <c r="CD79" s="296">
        <v>119200</v>
      </c>
      <c r="CE79" s="296">
        <v>238400</v>
      </c>
      <c r="CF79" s="296">
        <v>476800</v>
      </c>
      <c r="CG79" s="296">
        <v>953600</v>
      </c>
      <c r="CH79" s="296"/>
      <c r="CI79" s="296"/>
      <c r="CJ79" s="296"/>
      <c r="CK79" s="296"/>
      <c r="CL79" s="333"/>
      <c r="CM79" s="353" t="s">
        <v>43</v>
      </c>
      <c r="CN79" s="320"/>
      <c r="CO79" s="367"/>
      <c r="CP79" s="367"/>
      <c r="CQ79" s="310"/>
      <c r="CR79" s="1"/>
      <c r="CS79" s="1"/>
      <c r="CT79" s="1"/>
      <c r="CU79" s="1"/>
      <c r="CV79" s="1"/>
      <c r="CW79" s="2"/>
      <c r="CX79" s="603"/>
    </row>
    <row r="80" spans="1:102">
      <c r="A80" s="472"/>
      <c r="B80" s="34" t="s">
        <v>183</v>
      </c>
      <c r="C80" s="437" t="s">
        <v>52</v>
      </c>
      <c r="D80" s="130"/>
      <c r="E80" s="67" t="s">
        <v>43</v>
      </c>
      <c r="F80" s="35"/>
      <c r="G80" s="36"/>
      <c r="H80" s="398">
        <v>5</v>
      </c>
      <c r="I80" s="327" t="s">
        <v>282</v>
      </c>
      <c r="J80" s="139">
        <v>6</v>
      </c>
      <c r="K80" s="324">
        <v>0.15</v>
      </c>
      <c r="L80" s="405">
        <f t="shared" si="11"/>
        <v>1.4193548387096775</v>
      </c>
      <c r="M80" s="302">
        <v>100</v>
      </c>
      <c r="N80" s="270">
        <v>91</v>
      </c>
      <c r="O80" s="243">
        <v>42309</v>
      </c>
      <c r="P80" s="430" t="s">
        <v>202</v>
      </c>
      <c r="Q80" s="168">
        <v>440</v>
      </c>
      <c r="R80" s="37">
        <v>310</v>
      </c>
      <c r="S80" s="155">
        <v>31680</v>
      </c>
      <c r="T80" s="315" t="s">
        <v>410</v>
      </c>
      <c r="U80" s="395" t="s">
        <v>336</v>
      </c>
      <c r="V80" s="284">
        <v>147</v>
      </c>
      <c r="W80" s="255">
        <v>104</v>
      </c>
      <c r="X80" s="303">
        <v>11</v>
      </c>
      <c r="Y80" s="408">
        <f t="shared" si="31"/>
        <v>1617</v>
      </c>
      <c r="Z80" s="242">
        <f t="shared" si="32"/>
        <v>9702</v>
      </c>
      <c r="AA80" s="38">
        <v>3</v>
      </c>
      <c r="AB80" s="37">
        <v>0</v>
      </c>
      <c r="AC80" s="37">
        <v>0</v>
      </c>
      <c r="AD80" s="37">
        <v>0</v>
      </c>
      <c r="AE80" s="37">
        <v>0</v>
      </c>
      <c r="AF80" s="317">
        <v>728</v>
      </c>
      <c r="AG80" s="284">
        <v>184</v>
      </c>
      <c r="AH80" s="255">
        <v>130</v>
      </c>
      <c r="AI80" s="303">
        <v>11</v>
      </c>
      <c r="AJ80" s="408">
        <f t="shared" si="35"/>
        <v>2024</v>
      </c>
      <c r="AK80" s="242">
        <f t="shared" si="36"/>
        <v>12144</v>
      </c>
      <c r="AL80" s="38">
        <v>18</v>
      </c>
      <c r="AM80" s="51">
        <v>1080000</v>
      </c>
      <c r="AN80" s="37">
        <v>0</v>
      </c>
      <c r="AO80" s="37">
        <v>2</v>
      </c>
      <c r="AP80" s="37">
        <v>0</v>
      </c>
      <c r="AQ80" s="412">
        <v>5465</v>
      </c>
      <c r="AR80" s="284">
        <v>220</v>
      </c>
      <c r="AS80" s="255">
        <v>155</v>
      </c>
      <c r="AT80" s="303">
        <v>11</v>
      </c>
      <c r="AU80" s="408">
        <f t="shared" si="37"/>
        <v>2420</v>
      </c>
      <c r="AV80" s="242">
        <f t="shared" si="38"/>
        <v>14520</v>
      </c>
      <c r="AW80" s="38">
        <f>1*24+12</f>
        <v>36</v>
      </c>
      <c r="AX80" s="51">
        <v>1620000</v>
      </c>
      <c r="AY80" s="37">
        <v>0</v>
      </c>
      <c r="AZ80" s="37">
        <v>3</v>
      </c>
      <c r="BA80" s="37">
        <v>0</v>
      </c>
      <c r="BB80" s="412">
        <v>10000</v>
      </c>
      <c r="BC80" s="284">
        <v>294</v>
      </c>
      <c r="BD80" s="255">
        <v>207</v>
      </c>
      <c r="BE80" s="303">
        <v>11</v>
      </c>
      <c r="BF80" s="408">
        <f t="shared" si="18"/>
        <v>3234</v>
      </c>
      <c r="BG80" s="242">
        <f t="shared" si="19"/>
        <v>19404</v>
      </c>
      <c r="BH80" s="38">
        <f>4*24+12</f>
        <v>108</v>
      </c>
      <c r="BI80" s="51">
        <v>2160000</v>
      </c>
      <c r="BJ80" s="37">
        <v>0</v>
      </c>
      <c r="BK80" s="37">
        <v>0</v>
      </c>
      <c r="BL80" s="37">
        <v>2</v>
      </c>
      <c r="BM80" s="412">
        <v>10000</v>
      </c>
      <c r="BN80" s="284">
        <v>440</v>
      </c>
      <c r="BO80" s="255">
        <v>310</v>
      </c>
      <c r="BP80" s="303">
        <v>12</v>
      </c>
      <c r="BQ80" s="408">
        <f t="shared" si="33"/>
        <v>5280</v>
      </c>
      <c r="BR80" s="242">
        <f t="shared" si="34"/>
        <v>31680</v>
      </c>
      <c r="BS80" s="38">
        <f>7*24</f>
        <v>168</v>
      </c>
      <c r="BT80" s="51">
        <v>2700000</v>
      </c>
      <c r="BU80" s="37">
        <v>0</v>
      </c>
      <c r="BV80" s="37">
        <v>0</v>
      </c>
      <c r="BW80" s="37">
        <v>3</v>
      </c>
      <c r="BX80" s="412">
        <v>10000</v>
      </c>
      <c r="BY80" s="74">
        <v>91</v>
      </c>
      <c r="BZ80" s="285" t="s">
        <v>43</v>
      </c>
      <c r="CA80" s="382">
        <v>10000</v>
      </c>
      <c r="CB80" s="289">
        <v>49800</v>
      </c>
      <c r="CC80" s="296">
        <v>99600</v>
      </c>
      <c r="CD80" s="296">
        <v>199200</v>
      </c>
      <c r="CE80" s="296">
        <v>398400</v>
      </c>
      <c r="CF80" s="296">
        <v>796800</v>
      </c>
      <c r="CG80" s="296"/>
      <c r="CH80" s="296"/>
      <c r="CI80" s="296"/>
      <c r="CJ80" s="296"/>
      <c r="CK80" s="296"/>
      <c r="CL80" s="333"/>
      <c r="CM80" s="353" t="s">
        <v>43</v>
      </c>
      <c r="CN80" s="320"/>
      <c r="CO80" s="367"/>
      <c r="CP80" s="367"/>
      <c r="CQ80" s="310"/>
      <c r="CR80" s="1"/>
      <c r="CS80" s="1"/>
      <c r="CT80" s="1"/>
      <c r="CU80" s="1"/>
      <c r="CV80" s="1"/>
      <c r="CW80" s="2"/>
      <c r="CX80" s="603"/>
    </row>
    <row r="81" spans="1:102">
      <c r="A81" s="472"/>
      <c r="B81" s="34" t="s">
        <v>207</v>
      </c>
      <c r="C81" s="437" t="s">
        <v>52</v>
      </c>
      <c r="D81" s="130"/>
      <c r="E81" s="67" t="s">
        <v>43</v>
      </c>
      <c r="F81" s="35"/>
      <c r="G81" s="36"/>
      <c r="H81" s="398">
        <v>4</v>
      </c>
      <c r="I81" s="327" t="s">
        <v>282</v>
      </c>
      <c r="J81" s="139">
        <v>5</v>
      </c>
      <c r="K81" s="324">
        <v>0.15</v>
      </c>
      <c r="L81" s="405">
        <f t="shared" si="11"/>
        <v>1.3870967741935485</v>
      </c>
      <c r="M81" s="302">
        <v>100</v>
      </c>
      <c r="N81" s="270">
        <v>96</v>
      </c>
      <c r="O81" s="243">
        <v>42339</v>
      </c>
      <c r="P81" s="430" t="s">
        <v>206</v>
      </c>
      <c r="Q81" s="168">
        <v>430</v>
      </c>
      <c r="R81" s="37">
        <v>310</v>
      </c>
      <c r="S81" s="155">
        <v>23650</v>
      </c>
      <c r="T81" s="315" t="s">
        <v>411</v>
      </c>
      <c r="U81" s="395" t="s">
        <v>382</v>
      </c>
      <c r="V81" s="284">
        <v>144</v>
      </c>
      <c r="W81" s="255">
        <v>104</v>
      </c>
      <c r="X81" s="303">
        <v>11</v>
      </c>
      <c r="Y81" s="408">
        <f t="shared" si="31"/>
        <v>1584</v>
      </c>
      <c r="Z81" s="242">
        <f t="shared" si="32"/>
        <v>7920</v>
      </c>
      <c r="AA81" s="38">
        <v>3</v>
      </c>
      <c r="AB81" s="37">
        <v>0</v>
      </c>
      <c r="AC81" s="37">
        <v>0</v>
      </c>
      <c r="AD81" s="37">
        <v>0</v>
      </c>
      <c r="AE81" s="37">
        <v>0</v>
      </c>
      <c r="AF81" s="317">
        <v>1188</v>
      </c>
      <c r="AG81" s="284">
        <v>180</v>
      </c>
      <c r="AH81" s="255">
        <v>130</v>
      </c>
      <c r="AI81" s="303">
        <v>11</v>
      </c>
      <c r="AJ81" s="408">
        <f t="shared" si="35"/>
        <v>1980</v>
      </c>
      <c r="AK81" s="242">
        <f t="shared" si="36"/>
        <v>9900</v>
      </c>
      <c r="AL81" s="38">
        <f>18</f>
        <v>18</v>
      </c>
      <c r="AM81" s="51">
        <v>1000000</v>
      </c>
      <c r="AN81" s="37">
        <v>0</v>
      </c>
      <c r="AO81" s="37">
        <v>2</v>
      </c>
      <c r="AP81" s="37">
        <v>0</v>
      </c>
      <c r="AQ81" s="412">
        <v>10000</v>
      </c>
      <c r="AR81" s="284">
        <v>215</v>
      </c>
      <c r="AS81" s="255">
        <v>155</v>
      </c>
      <c r="AT81" s="303">
        <v>11</v>
      </c>
      <c r="AU81" s="408">
        <f t="shared" si="37"/>
        <v>2365</v>
      </c>
      <c r="AV81" s="242">
        <f t="shared" si="38"/>
        <v>11825</v>
      </c>
      <c r="AW81" s="38">
        <f>1*24+12</f>
        <v>36</v>
      </c>
      <c r="AX81" s="51">
        <v>1500000</v>
      </c>
      <c r="AY81" s="37">
        <v>0</v>
      </c>
      <c r="AZ81" s="37">
        <v>4</v>
      </c>
      <c r="BA81" s="37">
        <v>0</v>
      </c>
      <c r="BB81" s="412">
        <v>10000</v>
      </c>
      <c r="BC81" s="284">
        <v>287</v>
      </c>
      <c r="BD81" s="255">
        <v>207</v>
      </c>
      <c r="BE81" s="303">
        <v>11</v>
      </c>
      <c r="BF81" s="408">
        <f t="shared" si="18"/>
        <v>3157</v>
      </c>
      <c r="BG81" s="242">
        <f t="shared" si="19"/>
        <v>15785</v>
      </c>
      <c r="BH81" s="38">
        <f>3*24+12</f>
        <v>84</v>
      </c>
      <c r="BI81" s="51">
        <v>2000000</v>
      </c>
      <c r="BJ81" s="37">
        <v>0</v>
      </c>
      <c r="BK81" s="37">
        <v>0</v>
      </c>
      <c r="BL81" s="37">
        <v>2</v>
      </c>
      <c r="BM81" s="412">
        <v>10000</v>
      </c>
      <c r="BN81" s="284">
        <v>430</v>
      </c>
      <c r="BO81" s="255">
        <v>310</v>
      </c>
      <c r="BP81" s="303">
        <v>11</v>
      </c>
      <c r="BQ81" s="408">
        <f t="shared" si="33"/>
        <v>4730</v>
      </c>
      <c r="BR81" s="242">
        <f t="shared" si="34"/>
        <v>23650</v>
      </c>
      <c r="BS81" s="38">
        <f>6*24+12</f>
        <v>156</v>
      </c>
      <c r="BT81" s="51">
        <v>2500000</v>
      </c>
      <c r="BU81" s="37">
        <v>0</v>
      </c>
      <c r="BV81" s="37">
        <v>0</v>
      </c>
      <c r="BW81" s="37">
        <v>4</v>
      </c>
      <c r="BX81" s="412">
        <v>10000</v>
      </c>
      <c r="BY81" s="74">
        <v>81</v>
      </c>
      <c r="BZ81" s="285" t="s">
        <v>43</v>
      </c>
      <c r="CA81" s="382">
        <v>10000</v>
      </c>
      <c r="CB81" s="289">
        <v>33333</v>
      </c>
      <c r="CC81" s="296">
        <v>66666</v>
      </c>
      <c r="CD81" s="296">
        <v>133332</v>
      </c>
      <c r="CE81" s="296">
        <v>266664</v>
      </c>
      <c r="CF81" s="296">
        <v>533328</v>
      </c>
      <c r="CG81" s="296"/>
      <c r="CH81" s="296"/>
      <c r="CI81" s="296"/>
      <c r="CJ81" s="296"/>
      <c r="CK81" s="296"/>
      <c r="CL81" s="333"/>
      <c r="CM81" s="353" t="s">
        <v>43</v>
      </c>
      <c r="CN81" s="320"/>
      <c r="CO81" s="367"/>
      <c r="CP81" s="367"/>
      <c r="CQ81" s="310"/>
      <c r="CR81" s="1"/>
      <c r="CS81" s="1"/>
      <c r="CT81" s="1"/>
      <c r="CU81" s="1"/>
      <c r="CV81" s="1"/>
      <c r="CW81" s="2"/>
      <c r="CX81" s="603"/>
    </row>
    <row r="82" spans="1:102">
      <c r="A82" s="472"/>
      <c r="B82" s="34" t="s">
        <v>222</v>
      </c>
      <c r="C82" s="437" t="s">
        <v>52</v>
      </c>
      <c r="D82" s="130"/>
      <c r="E82" s="67" t="s">
        <v>43</v>
      </c>
      <c r="F82" s="35"/>
      <c r="G82" s="36"/>
      <c r="H82" s="398">
        <v>4</v>
      </c>
      <c r="I82" s="327" t="s">
        <v>282</v>
      </c>
      <c r="J82" s="139">
        <v>5</v>
      </c>
      <c r="K82" s="324">
        <v>0.15</v>
      </c>
      <c r="L82" s="405">
        <f t="shared" si="11"/>
        <v>1.40625</v>
      </c>
      <c r="M82" s="302">
        <v>100</v>
      </c>
      <c r="N82" s="270">
        <v>97</v>
      </c>
      <c r="O82" s="243">
        <v>42351</v>
      </c>
      <c r="P82" s="430" t="s">
        <v>206</v>
      </c>
      <c r="Q82" s="168">
        <v>450</v>
      </c>
      <c r="R82" s="37">
        <v>320</v>
      </c>
      <c r="S82" s="155">
        <v>27000</v>
      </c>
      <c r="T82" s="315" t="s">
        <v>412</v>
      </c>
      <c r="U82" s="395" t="s">
        <v>433</v>
      </c>
      <c r="V82" s="284">
        <v>150</v>
      </c>
      <c r="W82" s="255">
        <v>107</v>
      </c>
      <c r="X82" s="303">
        <v>12</v>
      </c>
      <c r="Y82" s="408">
        <f t="shared" si="31"/>
        <v>1800</v>
      </c>
      <c r="Z82" s="242">
        <f t="shared" si="32"/>
        <v>9000</v>
      </c>
      <c r="AA82" s="38">
        <v>2</v>
      </c>
      <c r="AB82" s="37">
        <v>0</v>
      </c>
      <c r="AC82" s="37">
        <v>0</v>
      </c>
      <c r="AD82" s="37">
        <v>0</v>
      </c>
      <c r="AE82" s="37">
        <v>0</v>
      </c>
      <c r="AF82" s="317">
        <v>540</v>
      </c>
      <c r="AG82" s="284">
        <v>188</v>
      </c>
      <c r="AH82" s="255">
        <v>134</v>
      </c>
      <c r="AI82" s="303">
        <v>12</v>
      </c>
      <c r="AJ82" s="408">
        <f t="shared" si="35"/>
        <v>2256</v>
      </c>
      <c r="AK82" s="242">
        <f t="shared" si="36"/>
        <v>11280</v>
      </c>
      <c r="AL82" s="38">
        <v>12</v>
      </c>
      <c r="AM82" s="51">
        <v>1040000</v>
      </c>
      <c r="AN82" s="37">
        <v>0</v>
      </c>
      <c r="AO82" s="37">
        <v>2</v>
      </c>
      <c r="AP82" s="37">
        <v>0</v>
      </c>
      <c r="AQ82" s="412">
        <v>4061</v>
      </c>
      <c r="AR82" s="284">
        <v>225</v>
      </c>
      <c r="AS82" s="255">
        <v>160</v>
      </c>
      <c r="AT82" s="303">
        <v>12</v>
      </c>
      <c r="AU82" s="408">
        <f t="shared" si="37"/>
        <v>2700</v>
      </c>
      <c r="AV82" s="242">
        <f t="shared" si="38"/>
        <v>13500</v>
      </c>
      <c r="AW82" s="38">
        <f>1*24</f>
        <v>24</v>
      </c>
      <c r="AX82" s="51">
        <v>1560000</v>
      </c>
      <c r="AY82" s="37">
        <v>0</v>
      </c>
      <c r="AZ82" s="37">
        <v>3</v>
      </c>
      <c r="BA82" s="37">
        <v>0</v>
      </c>
      <c r="BB82" s="412">
        <v>9720</v>
      </c>
      <c r="BC82" s="284">
        <v>300</v>
      </c>
      <c r="BD82" s="255">
        <v>214</v>
      </c>
      <c r="BE82" s="303">
        <v>12</v>
      </c>
      <c r="BF82" s="408">
        <f t="shared" si="18"/>
        <v>3600</v>
      </c>
      <c r="BG82" s="242">
        <f t="shared" si="19"/>
        <v>18000</v>
      </c>
      <c r="BH82" s="38">
        <f>3*24</f>
        <v>72</v>
      </c>
      <c r="BI82" s="51">
        <v>2080000</v>
      </c>
      <c r="BJ82" s="37">
        <v>0</v>
      </c>
      <c r="BK82" s="37">
        <v>0</v>
      </c>
      <c r="BL82" s="37">
        <v>2</v>
      </c>
      <c r="BM82" s="412">
        <v>10000</v>
      </c>
      <c r="BN82" s="284">
        <v>450</v>
      </c>
      <c r="BO82" s="255">
        <v>320</v>
      </c>
      <c r="BP82" s="303">
        <v>12</v>
      </c>
      <c r="BQ82" s="408">
        <f t="shared" si="33"/>
        <v>5400</v>
      </c>
      <c r="BR82" s="242">
        <f t="shared" si="34"/>
        <v>27000</v>
      </c>
      <c r="BS82" s="38">
        <f>5*24</f>
        <v>120</v>
      </c>
      <c r="BT82" s="51">
        <v>2600000</v>
      </c>
      <c r="BU82" s="37">
        <v>0</v>
      </c>
      <c r="BV82" s="37">
        <v>0</v>
      </c>
      <c r="BW82" s="37">
        <v>3</v>
      </c>
      <c r="BX82" s="412">
        <v>10000</v>
      </c>
      <c r="BY82" s="74">
        <v>63</v>
      </c>
      <c r="BZ82" s="285" t="s">
        <v>43</v>
      </c>
      <c r="CA82" s="382">
        <v>10000</v>
      </c>
      <c r="CB82" s="289">
        <v>39800</v>
      </c>
      <c r="CC82" s="296">
        <v>79600</v>
      </c>
      <c r="CD82" s="296">
        <v>159200</v>
      </c>
      <c r="CE82" s="296">
        <v>318400</v>
      </c>
      <c r="CF82" s="296">
        <v>636800</v>
      </c>
      <c r="CG82" s="296"/>
      <c r="CH82" s="296"/>
      <c r="CI82" s="296"/>
      <c r="CJ82" s="296"/>
      <c r="CK82" s="296"/>
      <c r="CL82" s="333"/>
      <c r="CM82" s="353" t="s">
        <v>43</v>
      </c>
      <c r="CN82" s="320"/>
      <c r="CO82" s="367"/>
      <c r="CP82" s="367"/>
      <c r="CQ82" s="310"/>
      <c r="CR82" s="1"/>
      <c r="CS82" s="1"/>
      <c r="CT82" s="1"/>
      <c r="CU82" s="1"/>
      <c r="CV82" s="1"/>
      <c r="CW82" s="2"/>
      <c r="CX82" s="603"/>
    </row>
    <row r="83" spans="1:102">
      <c r="A83" s="472"/>
      <c r="B83" s="34" t="s">
        <v>147</v>
      </c>
      <c r="C83" s="437" t="s">
        <v>52</v>
      </c>
      <c r="D83" s="130"/>
      <c r="E83" s="67" t="s">
        <v>145</v>
      </c>
      <c r="F83" s="35"/>
      <c r="G83" s="36"/>
      <c r="H83" s="398">
        <v>6</v>
      </c>
      <c r="I83" s="327" t="s">
        <v>270</v>
      </c>
      <c r="J83" s="139">
        <v>6</v>
      </c>
      <c r="K83" s="324">
        <v>0.15</v>
      </c>
      <c r="L83" s="405">
        <f t="shared" si="11"/>
        <v>1.3333333333333333</v>
      </c>
      <c r="M83" s="302">
        <v>30</v>
      </c>
      <c r="N83" s="270">
        <v>6004</v>
      </c>
      <c r="O83" s="243">
        <v>42252</v>
      </c>
      <c r="P83" s="430" t="s">
        <v>201</v>
      </c>
      <c r="Q83" s="168">
        <v>400</v>
      </c>
      <c r="R83" s="37">
        <v>300</v>
      </c>
      <c r="S83" s="155">
        <v>21600</v>
      </c>
      <c r="T83" s="315" t="s">
        <v>413</v>
      </c>
      <c r="U83" s="395" t="s">
        <v>423</v>
      </c>
      <c r="V83" s="284">
        <v>400</v>
      </c>
      <c r="W83" s="255">
        <v>300</v>
      </c>
      <c r="X83" s="303">
        <v>9</v>
      </c>
      <c r="Y83" s="408">
        <f t="shared" si="31"/>
        <v>3600</v>
      </c>
      <c r="Z83" s="242">
        <f t="shared" si="32"/>
        <v>21600</v>
      </c>
      <c r="AA83" s="38">
        <v>6</v>
      </c>
      <c r="AB83" s="37">
        <v>0</v>
      </c>
      <c r="AC83" s="37">
        <v>0</v>
      </c>
      <c r="AD83" s="37">
        <v>0</v>
      </c>
      <c r="AE83" s="37">
        <v>0</v>
      </c>
      <c r="AF83" s="317">
        <v>10000</v>
      </c>
      <c r="AG83" s="284">
        <v>600</v>
      </c>
      <c r="AH83" s="255">
        <v>450</v>
      </c>
      <c r="AI83" s="303">
        <v>9</v>
      </c>
      <c r="AJ83" s="408">
        <f t="shared" si="35"/>
        <v>5400</v>
      </c>
      <c r="AK83" s="242">
        <f t="shared" si="36"/>
        <v>32400</v>
      </c>
      <c r="AL83" s="38">
        <v>22</v>
      </c>
      <c r="AM83" s="51">
        <v>2200000</v>
      </c>
      <c r="AN83" s="37">
        <v>0</v>
      </c>
      <c r="AO83" s="37">
        <v>1</v>
      </c>
      <c r="AP83" s="37">
        <v>0</v>
      </c>
      <c r="AQ83" s="412">
        <v>10000</v>
      </c>
      <c r="AR83" s="284">
        <v>697</v>
      </c>
      <c r="AS83" s="255">
        <v>523</v>
      </c>
      <c r="AT83" s="303">
        <v>9</v>
      </c>
      <c r="AU83" s="408">
        <f t="shared" si="37"/>
        <v>6273</v>
      </c>
      <c r="AV83" s="242">
        <f t="shared" si="38"/>
        <v>37638</v>
      </c>
      <c r="AW83" s="38">
        <f>2*24+4</f>
        <v>52</v>
      </c>
      <c r="AX83" s="51">
        <v>3200000</v>
      </c>
      <c r="AY83" s="37">
        <v>0</v>
      </c>
      <c r="AZ83" s="37">
        <v>3</v>
      </c>
      <c r="BA83" s="37">
        <v>0</v>
      </c>
      <c r="BB83" s="412">
        <v>10000</v>
      </c>
      <c r="BC83" s="284">
        <v>760</v>
      </c>
      <c r="BD83" s="255">
        <v>570</v>
      </c>
      <c r="BE83" s="303">
        <v>9</v>
      </c>
      <c r="BF83" s="408">
        <f t="shared" si="18"/>
        <v>6840</v>
      </c>
      <c r="BG83" s="242">
        <f t="shared" si="19"/>
        <v>41040</v>
      </c>
      <c r="BH83" s="38">
        <f>4*24+4</f>
        <v>100</v>
      </c>
      <c r="BI83" s="51">
        <v>4200000</v>
      </c>
      <c r="BJ83" s="37">
        <v>0</v>
      </c>
      <c r="BK83" s="37">
        <v>5</v>
      </c>
      <c r="BL83" s="37">
        <v>0</v>
      </c>
      <c r="BM83" s="412">
        <v>10000</v>
      </c>
      <c r="BN83" s="284">
        <v>800</v>
      </c>
      <c r="BO83" s="255">
        <v>600</v>
      </c>
      <c r="BP83" s="303">
        <v>9</v>
      </c>
      <c r="BQ83" s="408">
        <f t="shared" si="33"/>
        <v>7200</v>
      </c>
      <c r="BR83" s="242">
        <f t="shared" si="34"/>
        <v>43200</v>
      </c>
      <c r="BS83" s="38">
        <f>7*24+4</f>
        <v>172</v>
      </c>
      <c r="BT83" s="51">
        <v>5200000</v>
      </c>
      <c r="BU83" s="37">
        <v>0</v>
      </c>
      <c r="BV83" s="37">
        <v>10</v>
      </c>
      <c r="BW83" s="37">
        <v>0</v>
      </c>
      <c r="BX83" s="412">
        <v>10000</v>
      </c>
      <c r="BY83" s="74">
        <v>96</v>
      </c>
      <c r="BZ83" s="285" t="s">
        <v>43</v>
      </c>
      <c r="CA83" s="382">
        <v>10000</v>
      </c>
      <c r="CB83" s="289">
        <v>130000</v>
      </c>
      <c r="CC83" s="296">
        <v>260000</v>
      </c>
      <c r="CD83" s="296">
        <v>520000</v>
      </c>
      <c r="CE83" s="296"/>
      <c r="CF83" s="296"/>
      <c r="CG83" s="296"/>
      <c r="CH83" s="296"/>
      <c r="CI83" s="296"/>
      <c r="CJ83" s="296"/>
      <c r="CK83" s="296"/>
      <c r="CL83" s="333"/>
      <c r="CM83" s="353" t="s">
        <v>43</v>
      </c>
      <c r="CN83" s="320"/>
      <c r="CO83" s="367"/>
      <c r="CP83" s="367"/>
      <c r="CQ83" s="310"/>
      <c r="CR83" s="1"/>
      <c r="CS83" s="1"/>
      <c r="CT83" s="1"/>
      <c r="CU83" s="1"/>
      <c r="CV83" s="1"/>
      <c r="CW83" s="2"/>
      <c r="CX83" s="603"/>
    </row>
    <row r="84" spans="1:102">
      <c r="A84" s="472"/>
      <c r="B84" s="34" t="s">
        <v>157</v>
      </c>
      <c r="C84" s="437" t="s">
        <v>52</v>
      </c>
      <c r="D84" s="130" t="s">
        <v>35</v>
      </c>
      <c r="E84" s="67" t="s">
        <v>43</v>
      </c>
      <c r="F84" s="35"/>
      <c r="G84" s="36"/>
      <c r="H84" s="398">
        <v>6</v>
      </c>
      <c r="I84" s="327" t="s">
        <v>270</v>
      </c>
      <c r="J84" s="139">
        <v>4</v>
      </c>
      <c r="K84" s="324">
        <v>0.15</v>
      </c>
      <c r="L84" s="405">
        <f t="shared" si="11"/>
        <v>1</v>
      </c>
      <c r="M84" s="302">
        <v>30</v>
      </c>
      <c r="N84" s="270">
        <v>6007</v>
      </c>
      <c r="O84" s="243">
        <v>42267</v>
      </c>
      <c r="P84" s="430" t="s">
        <v>201</v>
      </c>
      <c r="Q84" s="168">
        <v>600</v>
      </c>
      <c r="R84" s="37">
        <v>600</v>
      </c>
      <c r="S84" s="155">
        <v>43200</v>
      </c>
      <c r="T84" s="315" t="s">
        <v>414</v>
      </c>
      <c r="U84" s="395" t="s">
        <v>424</v>
      </c>
      <c r="V84" s="284">
        <v>600</v>
      </c>
      <c r="W84" s="255">
        <v>600</v>
      </c>
      <c r="X84" s="303">
        <v>18</v>
      </c>
      <c r="Y84" s="408">
        <f t="shared" si="31"/>
        <v>10800</v>
      </c>
      <c r="Z84" s="242">
        <f t="shared" si="32"/>
        <v>43200</v>
      </c>
      <c r="AA84" s="38">
        <v>4</v>
      </c>
      <c r="AB84" s="37">
        <v>0</v>
      </c>
      <c r="AC84" s="37">
        <v>0</v>
      </c>
      <c r="AD84" s="37">
        <v>0</v>
      </c>
      <c r="AE84" s="37">
        <v>0</v>
      </c>
      <c r="AF84" s="317">
        <v>10000</v>
      </c>
      <c r="AG84" s="284">
        <v>900</v>
      </c>
      <c r="AH84" s="255">
        <v>900</v>
      </c>
      <c r="AI84" s="303">
        <v>18</v>
      </c>
      <c r="AJ84" s="408">
        <f t="shared" si="35"/>
        <v>16200</v>
      </c>
      <c r="AK84" s="242">
        <f t="shared" si="36"/>
        <v>64800</v>
      </c>
      <c r="AL84" s="38">
        <f>24</f>
        <v>24</v>
      </c>
      <c r="AM84" s="51">
        <v>3000000</v>
      </c>
      <c r="AN84" s="37">
        <v>0</v>
      </c>
      <c r="AO84" s="37">
        <v>3</v>
      </c>
      <c r="AP84" s="37">
        <v>0</v>
      </c>
      <c r="AQ84" s="412">
        <v>10000</v>
      </c>
      <c r="AR84" s="284">
        <v>1046</v>
      </c>
      <c r="AS84" s="255">
        <v>1046</v>
      </c>
      <c r="AT84" s="303">
        <v>19</v>
      </c>
      <c r="AU84" s="408">
        <f t="shared" si="37"/>
        <v>19874</v>
      </c>
      <c r="AV84" s="242">
        <f t="shared" si="38"/>
        <v>79496</v>
      </c>
      <c r="AW84" s="38">
        <f>2*24+6</f>
        <v>54</v>
      </c>
      <c r="AX84" s="51">
        <v>4500000</v>
      </c>
      <c r="AY84" s="37">
        <v>0</v>
      </c>
      <c r="AZ84" s="37">
        <v>5</v>
      </c>
      <c r="BA84" s="37">
        <v>0</v>
      </c>
      <c r="BB84" s="412">
        <v>10000</v>
      </c>
      <c r="BC84" s="284">
        <v>1140</v>
      </c>
      <c r="BD84" s="255">
        <v>1140</v>
      </c>
      <c r="BE84" s="303">
        <v>19</v>
      </c>
      <c r="BF84" s="408">
        <f t="shared" si="18"/>
        <v>21660</v>
      </c>
      <c r="BG84" s="242">
        <f t="shared" si="19"/>
        <v>86640</v>
      </c>
      <c r="BH84" s="38">
        <f>4*24+6</f>
        <v>102</v>
      </c>
      <c r="BI84" s="51">
        <v>6000000</v>
      </c>
      <c r="BJ84" s="37">
        <v>0</v>
      </c>
      <c r="BK84" s="37">
        <v>10</v>
      </c>
      <c r="BL84" s="37">
        <v>0</v>
      </c>
      <c r="BM84" s="412">
        <v>10000</v>
      </c>
      <c r="BN84" s="284">
        <v>1200</v>
      </c>
      <c r="BO84" s="255">
        <v>1200</v>
      </c>
      <c r="BP84" s="303">
        <v>20</v>
      </c>
      <c r="BQ84" s="408">
        <f t="shared" si="33"/>
        <v>24000</v>
      </c>
      <c r="BR84" s="242">
        <f t="shared" si="34"/>
        <v>96000</v>
      </c>
      <c r="BS84" s="38">
        <f>8*24</f>
        <v>192</v>
      </c>
      <c r="BT84" s="51">
        <v>7500000</v>
      </c>
      <c r="BU84" s="37">
        <v>0</v>
      </c>
      <c r="BV84" s="37">
        <v>15</v>
      </c>
      <c r="BW84" s="37">
        <v>0</v>
      </c>
      <c r="BX84" s="412">
        <v>10000</v>
      </c>
      <c r="BY84" s="74">
        <v>103</v>
      </c>
      <c r="BZ84" s="285" t="s">
        <v>43</v>
      </c>
      <c r="CA84" s="382">
        <v>10000</v>
      </c>
      <c r="CB84" s="289">
        <v>250000</v>
      </c>
      <c r="CC84" s="296">
        <v>500000</v>
      </c>
      <c r="CD84" s="296">
        <v>1000000</v>
      </c>
      <c r="CE84" s="296"/>
      <c r="CF84" s="296"/>
      <c r="CG84" s="296"/>
      <c r="CH84" s="296"/>
      <c r="CI84" s="296"/>
      <c r="CJ84" s="296"/>
      <c r="CK84" s="296"/>
      <c r="CL84" s="333"/>
      <c r="CM84" s="353" t="s">
        <v>43</v>
      </c>
      <c r="CN84" s="320"/>
      <c r="CO84" s="367"/>
      <c r="CP84" s="367"/>
      <c r="CQ84" s="310"/>
      <c r="CR84" s="1"/>
      <c r="CS84" s="1"/>
      <c r="CT84" s="1"/>
      <c r="CU84" s="1"/>
      <c r="CV84" s="1"/>
      <c r="CW84" s="2"/>
      <c r="CX84" s="603"/>
    </row>
    <row r="85" spans="1:102">
      <c r="A85" s="79"/>
      <c r="B85" s="34" t="s">
        <v>174</v>
      </c>
      <c r="C85" s="437" t="s">
        <v>52</v>
      </c>
      <c r="D85" s="130"/>
      <c r="E85" s="67" t="s">
        <v>43</v>
      </c>
      <c r="F85" s="35"/>
      <c r="G85" s="36"/>
      <c r="H85" s="398">
        <v>6</v>
      </c>
      <c r="I85" s="327" t="s">
        <v>270</v>
      </c>
      <c r="J85" s="139">
        <v>6</v>
      </c>
      <c r="K85" s="324">
        <v>0.15</v>
      </c>
      <c r="L85" s="405">
        <f t="shared" si="11"/>
        <v>1.3442622950819672</v>
      </c>
      <c r="M85" s="302">
        <v>30</v>
      </c>
      <c r="N85" s="270">
        <v>6013</v>
      </c>
      <c r="O85" s="243">
        <v>42288</v>
      </c>
      <c r="P85" s="430" t="s">
        <v>201</v>
      </c>
      <c r="Q85" s="168">
        <v>410</v>
      </c>
      <c r="R85" s="37">
        <v>305</v>
      </c>
      <c r="S85" s="155">
        <v>22140</v>
      </c>
      <c r="T85" s="315" t="s">
        <v>415</v>
      </c>
      <c r="U85" s="395" t="s">
        <v>432</v>
      </c>
      <c r="V85" s="284">
        <v>410</v>
      </c>
      <c r="W85" s="255">
        <v>305</v>
      </c>
      <c r="X85" s="303">
        <v>9</v>
      </c>
      <c r="Y85" s="408">
        <f t="shared" si="31"/>
        <v>3690</v>
      </c>
      <c r="Z85" s="242">
        <f t="shared" si="32"/>
        <v>22140</v>
      </c>
      <c r="AA85" s="38">
        <v>2</v>
      </c>
      <c r="AB85" s="37">
        <v>0</v>
      </c>
      <c r="AC85" s="37">
        <v>0</v>
      </c>
      <c r="AD85" s="37">
        <v>0</v>
      </c>
      <c r="AE85" s="37">
        <v>0</v>
      </c>
      <c r="AF85" s="317">
        <v>10000</v>
      </c>
      <c r="AG85" s="284">
        <v>615</v>
      </c>
      <c r="AH85" s="255">
        <v>458</v>
      </c>
      <c r="AI85" s="303">
        <v>9</v>
      </c>
      <c r="AJ85" s="408">
        <f t="shared" si="35"/>
        <v>5535</v>
      </c>
      <c r="AK85" s="242">
        <f t="shared" si="36"/>
        <v>33210</v>
      </c>
      <c r="AL85" s="38">
        <f>1*24</f>
        <v>24</v>
      </c>
      <c r="AM85" s="51">
        <v>2200000</v>
      </c>
      <c r="AN85" s="37">
        <v>0</v>
      </c>
      <c r="AO85" s="37">
        <v>2</v>
      </c>
      <c r="AP85" s="37">
        <v>0</v>
      </c>
      <c r="AQ85" s="434">
        <v>10000</v>
      </c>
      <c r="AR85" s="416">
        <v>717</v>
      </c>
      <c r="AS85" s="240">
        <v>533</v>
      </c>
      <c r="AT85" s="303">
        <v>9</v>
      </c>
      <c r="AU85" s="293">
        <f t="shared" si="37"/>
        <v>6453</v>
      </c>
      <c r="AV85" s="248">
        <f t="shared" si="38"/>
        <v>38718</v>
      </c>
      <c r="AW85" s="612">
        <v>56</v>
      </c>
      <c r="AX85" s="613">
        <f>3300000</f>
        <v>3300000</v>
      </c>
      <c r="AY85" s="368">
        <v>0</v>
      </c>
      <c r="AZ85" s="368">
        <v>4</v>
      </c>
      <c r="BA85" s="368">
        <v>0</v>
      </c>
      <c r="BB85" s="434">
        <v>10000</v>
      </c>
      <c r="BC85" s="284">
        <v>779</v>
      </c>
      <c r="BD85" s="255">
        <v>580</v>
      </c>
      <c r="BE85" s="303">
        <v>9</v>
      </c>
      <c r="BF85" s="408">
        <f t="shared" si="18"/>
        <v>7011</v>
      </c>
      <c r="BG85" s="242">
        <f t="shared" si="19"/>
        <v>42066</v>
      </c>
      <c r="BH85" s="612">
        <v>102</v>
      </c>
      <c r="BI85" s="613">
        <v>4400000</v>
      </c>
      <c r="BJ85" s="368">
        <v>0</v>
      </c>
      <c r="BK85" s="368">
        <v>6</v>
      </c>
      <c r="BL85" s="368">
        <v>0</v>
      </c>
      <c r="BM85" s="434">
        <v>10000</v>
      </c>
      <c r="BN85" s="284">
        <v>820</v>
      </c>
      <c r="BO85" s="255">
        <v>610</v>
      </c>
      <c r="BP85" s="303">
        <v>9</v>
      </c>
      <c r="BQ85" s="408">
        <f t="shared" si="33"/>
        <v>7380</v>
      </c>
      <c r="BR85" s="242">
        <f t="shared" si="34"/>
        <v>44280</v>
      </c>
      <c r="BS85" s="38">
        <f>8*24</f>
        <v>192</v>
      </c>
      <c r="BT85" s="51">
        <v>5500000</v>
      </c>
      <c r="BU85" s="37">
        <v>0</v>
      </c>
      <c r="BV85" s="37">
        <v>12</v>
      </c>
      <c r="BW85" s="37">
        <v>0</v>
      </c>
      <c r="BX85" s="434">
        <v>10000</v>
      </c>
      <c r="BY85" s="614">
        <v>103</v>
      </c>
      <c r="BZ85" s="285" t="s">
        <v>43</v>
      </c>
      <c r="CA85" s="382">
        <v>10000</v>
      </c>
      <c r="CB85" s="289">
        <v>140000</v>
      </c>
      <c r="CC85" s="296">
        <v>280000</v>
      </c>
      <c r="CD85" s="296">
        <v>560000</v>
      </c>
      <c r="CE85" s="296"/>
      <c r="CF85" s="296"/>
      <c r="CG85" s="296"/>
      <c r="CH85" s="296"/>
      <c r="CI85" s="296"/>
      <c r="CJ85" s="296"/>
      <c r="CK85" s="296"/>
      <c r="CL85" s="333"/>
      <c r="CM85" s="353" t="s">
        <v>43</v>
      </c>
      <c r="CN85" s="320"/>
      <c r="CO85" s="367"/>
      <c r="CP85" s="367"/>
      <c r="CQ85" s="310"/>
      <c r="CR85" s="1"/>
      <c r="CS85" s="1"/>
      <c r="CT85" s="1"/>
      <c r="CU85" s="1"/>
      <c r="CV85" s="1"/>
      <c r="CW85" s="2"/>
      <c r="CX85" s="603"/>
    </row>
    <row r="86" spans="1:102">
      <c r="A86" s="79"/>
      <c r="B86" s="34" t="s">
        <v>198</v>
      </c>
      <c r="C86" s="437" t="s">
        <v>52</v>
      </c>
      <c r="D86" s="130"/>
      <c r="E86" s="67"/>
      <c r="F86" s="35" t="s">
        <v>199</v>
      </c>
      <c r="G86" s="36"/>
      <c r="H86" s="398">
        <v>6</v>
      </c>
      <c r="I86" s="327" t="s">
        <v>270</v>
      </c>
      <c r="J86" s="139">
        <v>6</v>
      </c>
      <c r="K86" s="324">
        <v>0.15</v>
      </c>
      <c r="L86" s="405">
        <f t="shared" si="11"/>
        <v>1.3440000000000001</v>
      </c>
      <c r="M86" s="302">
        <v>30</v>
      </c>
      <c r="N86" s="270">
        <v>6019</v>
      </c>
      <c r="O86" s="243">
        <v>42330</v>
      </c>
      <c r="P86" s="430" t="s">
        <v>202</v>
      </c>
      <c r="Q86" s="168">
        <v>840</v>
      </c>
      <c r="R86" s="37">
        <v>625</v>
      </c>
      <c r="S86" s="155">
        <v>50400</v>
      </c>
      <c r="T86" s="315" t="s">
        <v>416</v>
      </c>
      <c r="U86" s="395" t="s">
        <v>431</v>
      </c>
      <c r="V86" s="284">
        <v>280</v>
      </c>
      <c r="W86" s="255">
        <v>209</v>
      </c>
      <c r="X86" s="303">
        <v>9</v>
      </c>
      <c r="Y86" s="408">
        <f t="shared" si="31"/>
        <v>2520</v>
      </c>
      <c r="Z86" s="242">
        <f t="shared" si="32"/>
        <v>15120</v>
      </c>
      <c r="AA86" s="38">
        <v>2.5</v>
      </c>
      <c r="AB86" s="37">
        <v>0</v>
      </c>
      <c r="AC86" s="37">
        <v>0</v>
      </c>
      <c r="AD86" s="37">
        <v>0</v>
      </c>
      <c r="AE86" s="37">
        <v>0</v>
      </c>
      <c r="AF86" s="317">
        <v>10000</v>
      </c>
      <c r="AG86" s="284">
        <v>350</v>
      </c>
      <c r="AH86" s="255">
        <v>261</v>
      </c>
      <c r="AI86" s="303">
        <v>9</v>
      </c>
      <c r="AJ86" s="408">
        <f t="shared" si="35"/>
        <v>3150</v>
      </c>
      <c r="AK86" s="242">
        <f t="shared" si="36"/>
        <v>18900</v>
      </c>
      <c r="AL86" s="38">
        <f>1*24+8</f>
        <v>32</v>
      </c>
      <c r="AM86" s="51">
        <v>2240000</v>
      </c>
      <c r="AN86" s="37">
        <v>0</v>
      </c>
      <c r="AO86" s="37">
        <v>2</v>
      </c>
      <c r="AP86" s="37">
        <v>0</v>
      </c>
      <c r="AQ86" s="412">
        <v>10000</v>
      </c>
      <c r="AR86" s="284">
        <v>420</v>
      </c>
      <c r="AS86" s="255">
        <v>313</v>
      </c>
      <c r="AT86" s="303">
        <v>9</v>
      </c>
      <c r="AU86" s="408">
        <f t="shared" si="37"/>
        <v>3780</v>
      </c>
      <c r="AV86" s="242">
        <f t="shared" si="38"/>
        <v>22680</v>
      </c>
      <c r="AW86" s="38">
        <f>3*24</f>
        <v>72</v>
      </c>
      <c r="AX86" s="51">
        <v>3360000</v>
      </c>
      <c r="AY86" s="37">
        <v>0</v>
      </c>
      <c r="AZ86" s="37">
        <v>4</v>
      </c>
      <c r="BA86" s="37">
        <v>0</v>
      </c>
      <c r="BB86" s="412">
        <v>10000</v>
      </c>
      <c r="BC86" s="284">
        <v>560</v>
      </c>
      <c r="BD86" s="255">
        <v>417</v>
      </c>
      <c r="BE86" s="303">
        <v>9</v>
      </c>
      <c r="BF86" s="408">
        <f t="shared" si="18"/>
        <v>5040</v>
      </c>
      <c r="BG86" s="242">
        <f t="shared" si="19"/>
        <v>30240</v>
      </c>
      <c r="BH86" s="38">
        <f>5*24</f>
        <v>120</v>
      </c>
      <c r="BI86" s="51">
        <v>4480000</v>
      </c>
      <c r="BJ86" s="37">
        <v>0</v>
      </c>
      <c r="BK86" s="37">
        <v>6</v>
      </c>
      <c r="BL86" s="37">
        <v>0</v>
      </c>
      <c r="BM86" s="412">
        <v>10000</v>
      </c>
      <c r="BN86" s="284">
        <v>840</v>
      </c>
      <c r="BO86" s="255">
        <v>625</v>
      </c>
      <c r="BP86" s="303">
        <v>10</v>
      </c>
      <c r="BQ86" s="408">
        <f t="shared" si="33"/>
        <v>8400</v>
      </c>
      <c r="BR86" s="242">
        <f t="shared" si="34"/>
        <v>50400</v>
      </c>
      <c r="BS86" s="38">
        <f>9*24</f>
        <v>216</v>
      </c>
      <c r="BT86" s="51">
        <v>5600000</v>
      </c>
      <c r="BU86" s="37">
        <v>0</v>
      </c>
      <c r="BV86" s="37">
        <v>12</v>
      </c>
      <c r="BW86" s="37">
        <v>0</v>
      </c>
      <c r="BX86" s="434">
        <v>10000</v>
      </c>
      <c r="BY86" s="74"/>
      <c r="BZ86" s="285"/>
      <c r="CA86" s="382">
        <v>10000</v>
      </c>
      <c r="CB86" s="289">
        <v>240000</v>
      </c>
      <c r="CC86" s="296">
        <v>480000</v>
      </c>
      <c r="CD86" s="296">
        <v>960000</v>
      </c>
      <c r="CE86" s="296"/>
      <c r="CF86" s="296"/>
      <c r="CG86" s="296"/>
      <c r="CH86" s="296"/>
      <c r="CI86" s="296"/>
      <c r="CJ86" s="296"/>
      <c r="CK86" s="296"/>
      <c r="CL86" s="333"/>
      <c r="CM86" s="353" t="s">
        <v>43</v>
      </c>
      <c r="CN86" s="320"/>
      <c r="CO86" s="367"/>
      <c r="CP86" s="367"/>
      <c r="CQ86" s="310"/>
      <c r="CR86" s="1"/>
      <c r="CS86" s="1"/>
      <c r="CT86" s="1"/>
      <c r="CU86" s="1"/>
      <c r="CV86" s="1"/>
      <c r="CW86" s="2"/>
      <c r="CX86" s="603"/>
    </row>
    <row r="87" spans="1:102">
      <c r="A87" s="79"/>
      <c r="B87" s="34" t="s">
        <v>226</v>
      </c>
      <c r="C87" s="437" t="s">
        <v>52</v>
      </c>
      <c r="D87" s="130"/>
      <c r="E87" s="67" t="s">
        <v>227</v>
      </c>
      <c r="F87" s="35"/>
      <c r="G87" s="36"/>
      <c r="H87" s="398">
        <v>6</v>
      </c>
      <c r="I87" s="327" t="s">
        <v>270</v>
      </c>
      <c r="J87" s="139">
        <v>6</v>
      </c>
      <c r="K87" s="324">
        <v>0.15</v>
      </c>
      <c r="L87" s="405">
        <f t="shared" si="11"/>
        <v>1.3481717011128775</v>
      </c>
      <c r="M87" s="302">
        <v>30</v>
      </c>
      <c r="N87" s="270">
        <v>6023</v>
      </c>
      <c r="O87" s="243">
        <v>42357</v>
      </c>
      <c r="P87" s="430" t="s">
        <v>206</v>
      </c>
      <c r="Q87" s="168">
        <v>848</v>
      </c>
      <c r="R87" s="37">
        <v>629</v>
      </c>
      <c r="S87" s="155">
        <v>50880</v>
      </c>
      <c r="T87" s="315" t="s">
        <v>417</v>
      </c>
      <c r="U87" s="395" t="s">
        <v>425</v>
      </c>
      <c r="V87" s="284">
        <v>283</v>
      </c>
      <c r="W87" s="255">
        <v>210</v>
      </c>
      <c r="X87" s="303">
        <v>10</v>
      </c>
      <c r="Y87" s="408">
        <f t="shared" si="31"/>
        <v>2830</v>
      </c>
      <c r="Z87" s="242">
        <f t="shared" si="32"/>
        <v>16980</v>
      </c>
      <c r="AA87" s="38">
        <v>3</v>
      </c>
      <c r="AB87" s="37">
        <v>0</v>
      </c>
      <c r="AC87" s="37">
        <v>0</v>
      </c>
      <c r="AD87" s="37">
        <v>0</v>
      </c>
      <c r="AE87" s="37">
        <v>0</v>
      </c>
      <c r="AF87" s="317">
        <v>10000</v>
      </c>
      <c r="AG87" s="284">
        <v>354</v>
      </c>
      <c r="AH87" s="255">
        <v>263</v>
      </c>
      <c r="AI87" s="303">
        <v>10</v>
      </c>
      <c r="AJ87" s="408">
        <f t="shared" si="35"/>
        <v>3540</v>
      </c>
      <c r="AK87" s="242">
        <f t="shared" si="36"/>
        <v>21240</v>
      </c>
      <c r="AL87" s="38">
        <f t="shared" ref="AL87:AL92" si="39">1*24+12</f>
        <v>36</v>
      </c>
      <c r="AM87" s="51">
        <v>2280000</v>
      </c>
      <c r="AN87" s="37">
        <v>0</v>
      </c>
      <c r="AO87" s="37">
        <v>3</v>
      </c>
      <c r="AP87" s="37">
        <v>0</v>
      </c>
      <c r="AQ87" s="412">
        <v>10000</v>
      </c>
      <c r="AR87" s="284">
        <v>424</v>
      </c>
      <c r="AS87" s="255">
        <v>315</v>
      </c>
      <c r="AT87" s="303">
        <v>10</v>
      </c>
      <c r="AU87" s="408">
        <f t="shared" si="37"/>
        <v>4240</v>
      </c>
      <c r="AV87" s="242">
        <f t="shared" si="38"/>
        <v>25440</v>
      </c>
      <c r="AW87" s="38">
        <f t="shared" ref="AW87:AW92" si="40">4*24</f>
        <v>96</v>
      </c>
      <c r="AX87" s="51">
        <v>3420000</v>
      </c>
      <c r="AY87" s="37">
        <v>0</v>
      </c>
      <c r="AZ87" s="37">
        <v>5</v>
      </c>
      <c r="BA87" s="37">
        <v>0</v>
      </c>
      <c r="BB87" s="412">
        <v>10000</v>
      </c>
      <c r="BC87" s="284">
        <v>566</v>
      </c>
      <c r="BD87" s="255">
        <v>420</v>
      </c>
      <c r="BE87" s="303">
        <v>10</v>
      </c>
      <c r="BF87" s="408">
        <f t="shared" si="18"/>
        <v>5660</v>
      </c>
      <c r="BG87" s="242">
        <f t="shared" si="19"/>
        <v>33960</v>
      </c>
      <c r="BH87" s="38">
        <f>6*24</f>
        <v>144</v>
      </c>
      <c r="BI87" s="51">
        <v>4560000</v>
      </c>
      <c r="BJ87" s="37">
        <v>0</v>
      </c>
      <c r="BK87" s="37">
        <v>8</v>
      </c>
      <c r="BL87" s="37">
        <v>0</v>
      </c>
      <c r="BM87" s="412">
        <v>10000</v>
      </c>
      <c r="BN87" s="284">
        <v>848</v>
      </c>
      <c r="BO87" s="255">
        <v>629</v>
      </c>
      <c r="BP87" s="303">
        <v>10</v>
      </c>
      <c r="BQ87" s="408">
        <f t="shared" si="33"/>
        <v>8480</v>
      </c>
      <c r="BR87" s="242">
        <f t="shared" si="34"/>
        <v>50880</v>
      </c>
      <c r="BS87" s="38">
        <f>9*24</f>
        <v>216</v>
      </c>
      <c r="BT87" s="51">
        <v>5700000</v>
      </c>
      <c r="BU87" s="37">
        <v>0</v>
      </c>
      <c r="BV87" s="37">
        <v>10</v>
      </c>
      <c r="BW87" s="37">
        <v>0</v>
      </c>
      <c r="BX87" s="434">
        <v>10000</v>
      </c>
      <c r="BY87" s="614">
        <v>135</v>
      </c>
      <c r="BZ87" s="285" t="s">
        <v>43</v>
      </c>
      <c r="CA87" s="382">
        <v>10000</v>
      </c>
      <c r="CB87" s="289">
        <v>290000</v>
      </c>
      <c r="CC87" s="296">
        <v>580000</v>
      </c>
      <c r="CD87" s="296"/>
      <c r="CE87" s="296"/>
      <c r="CF87" s="296"/>
      <c r="CG87" s="296"/>
      <c r="CH87" s="296"/>
      <c r="CI87" s="296"/>
      <c r="CJ87" s="296"/>
      <c r="CK87" s="296"/>
      <c r="CL87" s="333"/>
      <c r="CM87" s="353" t="s">
        <v>43</v>
      </c>
      <c r="CN87" s="320"/>
      <c r="CO87" s="367"/>
      <c r="CP87" s="367"/>
      <c r="CQ87" s="310"/>
      <c r="CR87" s="1"/>
      <c r="CS87" s="1"/>
      <c r="CT87" s="1"/>
      <c r="CU87" s="1"/>
      <c r="CV87" s="1"/>
      <c r="CW87" s="2"/>
      <c r="CX87" s="603"/>
    </row>
    <row r="88" spans="1:102">
      <c r="A88" s="79"/>
      <c r="B88" s="34" t="s">
        <v>234</v>
      </c>
      <c r="C88" s="437" t="s">
        <v>52</v>
      </c>
      <c r="D88" s="130"/>
      <c r="E88" s="67" t="s">
        <v>43</v>
      </c>
      <c r="F88" s="35"/>
      <c r="G88" s="36"/>
      <c r="H88" s="398">
        <v>6</v>
      </c>
      <c r="I88" s="327" t="s">
        <v>270</v>
      </c>
      <c r="J88" s="139">
        <v>6</v>
      </c>
      <c r="K88" s="256">
        <v>0.15</v>
      </c>
      <c r="L88" s="405">
        <f t="shared" si="11"/>
        <v>1.3522906793048972</v>
      </c>
      <c r="M88" s="302">
        <v>30</v>
      </c>
      <c r="N88" s="270">
        <v>6027</v>
      </c>
      <c r="O88" s="243">
        <v>42366</v>
      </c>
      <c r="P88" s="430" t="s">
        <v>206</v>
      </c>
      <c r="Q88" s="168">
        <v>856</v>
      </c>
      <c r="R88" s="37">
        <v>633</v>
      </c>
      <c r="S88" s="155">
        <v>51360</v>
      </c>
      <c r="T88" s="315" t="s">
        <v>418</v>
      </c>
      <c r="U88" s="395" t="s">
        <v>426</v>
      </c>
      <c r="V88" s="284">
        <v>286</v>
      </c>
      <c r="W88" s="255">
        <v>211</v>
      </c>
      <c r="X88" s="303">
        <v>10</v>
      </c>
      <c r="Y88" s="408">
        <f t="shared" si="31"/>
        <v>2860</v>
      </c>
      <c r="Z88" s="242">
        <f t="shared" si="32"/>
        <v>17160</v>
      </c>
      <c r="AA88" s="38">
        <v>3</v>
      </c>
      <c r="AB88" s="37">
        <v>0</v>
      </c>
      <c r="AC88" s="37">
        <v>0</v>
      </c>
      <c r="AD88" s="37">
        <v>0</v>
      </c>
      <c r="AE88" s="37">
        <v>0</v>
      </c>
      <c r="AF88" s="317">
        <v>10000</v>
      </c>
      <c r="AG88" s="284">
        <v>357</v>
      </c>
      <c r="AH88" s="255">
        <v>264</v>
      </c>
      <c r="AI88" s="303">
        <v>10</v>
      </c>
      <c r="AJ88" s="408">
        <f t="shared" si="35"/>
        <v>3570</v>
      </c>
      <c r="AK88" s="242">
        <f t="shared" si="36"/>
        <v>21420</v>
      </c>
      <c r="AL88" s="38">
        <f t="shared" si="39"/>
        <v>36</v>
      </c>
      <c r="AM88" s="51">
        <v>2320000</v>
      </c>
      <c r="AN88" s="37">
        <v>0</v>
      </c>
      <c r="AO88" s="37">
        <v>4</v>
      </c>
      <c r="AP88" s="37">
        <v>0</v>
      </c>
      <c r="AQ88" s="412">
        <v>10000</v>
      </c>
      <c r="AR88" s="284">
        <v>428</v>
      </c>
      <c r="AS88" s="255">
        <v>317</v>
      </c>
      <c r="AT88" s="303">
        <v>10</v>
      </c>
      <c r="AU88" s="408">
        <f t="shared" si="37"/>
        <v>4280</v>
      </c>
      <c r="AV88" s="242">
        <f t="shared" si="38"/>
        <v>25680</v>
      </c>
      <c r="AW88" s="38">
        <f t="shared" si="40"/>
        <v>96</v>
      </c>
      <c r="AX88" s="51">
        <v>3480000</v>
      </c>
      <c r="AY88" s="37">
        <v>0</v>
      </c>
      <c r="AZ88" s="37">
        <v>6</v>
      </c>
      <c r="BA88" s="37">
        <v>0</v>
      </c>
      <c r="BB88" s="412">
        <v>10000</v>
      </c>
      <c r="BC88" s="284">
        <v>571</v>
      </c>
      <c r="BD88" s="255">
        <v>422</v>
      </c>
      <c r="BE88" s="303">
        <v>10</v>
      </c>
      <c r="BF88" s="408">
        <f t="shared" si="18"/>
        <v>5710</v>
      </c>
      <c r="BG88" s="242">
        <f t="shared" si="19"/>
        <v>34260</v>
      </c>
      <c r="BH88" s="38">
        <f>6*24</f>
        <v>144</v>
      </c>
      <c r="BI88" s="51">
        <v>4640000</v>
      </c>
      <c r="BJ88" s="37">
        <v>0</v>
      </c>
      <c r="BK88" s="37">
        <v>9</v>
      </c>
      <c r="BL88" s="37">
        <v>0</v>
      </c>
      <c r="BM88" s="412">
        <v>10000</v>
      </c>
      <c r="BN88" s="284">
        <v>856</v>
      </c>
      <c r="BO88" s="255">
        <v>633</v>
      </c>
      <c r="BP88" s="303">
        <v>10</v>
      </c>
      <c r="BQ88" s="408">
        <f t="shared" si="33"/>
        <v>8560</v>
      </c>
      <c r="BR88" s="242">
        <f t="shared" si="34"/>
        <v>51360</v>
      </c>
      <c r="BS88" s="38">
        <f>9*24</f>
        <v>216</v>
      </c>
      <c r="BT88" s="51">
        <v>5800000</v>
      </c>
      <c r="BU88" s="37">
        <v>0</v>
      </c>
      <c r="BV88" s="37">
        <v>11</v>
      </c>
      <c r="BW88" s="37">
        <v>0</v>
      </c>
      <c r="BX88" s="434">
        <v>10000</v>
      </c>
      <c r="BY88" s="614">
        <v>135</v>
      </c>
      <c r="BZ88" s="285" t="s">
        <v>43</v>
      </c>
      <c r="CA88" s="382">
        <v>10000</v>
      </c>
      <c r="CB88" s="289">
        <v>320000</v>
      </c>
      <c r="CC88" s="296">
        <v>640000</v>
      </c>
      <c r="CD88" s="296"/>
      <c r="CE88" s="296"/>
      <c r="CF88" s="296"/>
      <c r="CG88" s="296"/>
      <c r="CH88" s="296"/>
      <c r="CI88" s="296"/>
      <c r="CJ88" s="296"/>
      <c r="CK88" s="296"/>
      <c r="CL88" s="333"/>
      <c r="CM88" s="353" t="s">
        <v>43</v>
      </c>
      <c r="CN88" s="320"/>
      <c r="CO88" s="367"/>
      <c r="CP88" s="367"/>
      <c r="CQ88" s="310"/>
      <c r="CR88" s="1"/>
      <c r="CS88" s="1"/>
      <c r="CT88" s="1"/>
      <c r="CU88" s="1"/>
      <c r="CV88" s="1"/>
      <c r="CW88" s="2"/>
      <c r="CX88" s="603"/>
    </row>
    <row r="89" spans="1:102">
      <c r="A89" s="79"/>
      <c r="B89" s="34" t="s">
        <v>237</v>
      </c>
      <c r="C89" s="437" t="s">
        <v>52</v>
      </c>
      <c r="D89" s="130"/>
      <c r="E89" s="67" t="s">
        <v>43</v>
      </c>
      <c r="F89" s="35" t="s">
        <v>238</v>
      </c>
      <c r="G89" s="36"/>
      <c r="H89" s="398">
        <v>6</v>
      </c>
      <c r="I89" s="327" t="s">
        <v>270</v>
      </c>
      <c r="J89" s="139">
        <v>6</v>
      </c>
      <c r="K89" s="256">
        <v>0.15</v>
      </c>
      <c r="L89" s="405">
        <f t="shared" si="11"/>
        <v>1.3563579277864992</v>
      </c>
      <c r="M89" s="302">
        <v>30</v>
      </c>
      <c r="N89" s="270">
        <v>6030</v>
      </c>
      <c r="O89" s="243">
        <v>42369</v>
      </c>
      <c r="P89" s="430" t="s">
        <v>206</v>
      </c>
      <c r="Q89" s="168">
        <v>864</v>
      </c>
      <c r="R89" s="37">
        <v>637</v>
      </c>
      <c r="S89" s="155">
        <v>51840</v>
      </c>
      <c r="T89" s="315" t="s">
        <v>419</v>
      </c>
      <c r="U89" s="395" t="s">
        <v>428</v>
      </c>
      <c r="V89" s="284">
        <v>288</v>
      </c>
      <c r="W89" s="255">
        <v>213</v>
      </c>
      <c r="X89" s="303">
        <v>10</v>
      </c>
      <c r="Y89" s="408">
        <f t="shared" si="31"/>
        <v>2880</v>
      </c>
      <c r="Z89" s="242">
        <f t="shared" si="32"/>
        <v>17280</v>
      </c>
      <c r="AA89" s="38">
        <v>3</v>
      </c>
      <c r="AB89" s="37">
        <v>0</v>
      </c>
      <c r="AC89" s="37">
        <v>0</v>
      </c>
      <c r="AD89" s="37">
        <v>0</v>
      </c>
      <c r="AE89" s="37">
        <v>0</v>
      </c>
      <c r="AF89" s="317">
        <v>10000</v>
      </c>
      <c r="AG89" s="284">
        <v>360</v>
      </c>
      <c r="AH89" s="255">
        <v>266</v>
      </c>
      <c r="AI89" s="303">
        <v>10</v>
      </c>
      <c r="AJ89" s="408">
        <f t="shared" si="35"/>
        <v>3600</v>
      </c>
      <c r="AK89" s="242">
        <f t="shared" si="36"/>
        <v>21600</v>
      </c>
      <c r="AL89" s="38">
        <f t="shared" si="39"/>
        <v>36</v>
      </c>
      <c r="AM89" s="51">
        <v>2360000</v>
      </c>
      <c r="AN89" s="37">
        <v>0</v>
      </c>
      <c r="AO89" s="37">
        <v>4</v>
      </c>
      <c r="AP89" s="37">
        <v>0</v>
      </c>
      <c r="AQ89" s="412">
        <v>10000</v>
      </c>
      <c r="AR89" s="284">
        <v>432</v>
      </c>
      <c r="AS89" s="255">
        <v>319</v>
      </c>
      <c r="AT89" s="303">
        <v>10</v>
      </c>
      <c r="AU89" s="408">
        <f t="shared" si="37"/>
        <v>4320</v>
      </c>
      <c r="AV89" s="242">
        <f t="shared" si="38"/>
        <v>25920</v>
      </c>
      <c r="AW89" s="38">
        <f t="shared" si="40"/>
        <v>96</v>
      </c>
      <c r="AX89" s="51">
        <v>3540000</v>
      </c>
      <c r="AY89" s="37">
        <v>0</v>
      </c>
      <c r="AZ89" s="37">
        <v>6</v>
      </c>
      <c r="BA89" s="37">
        <v>0</v>
      </c>
      <c r="BB89" s="434">
        <v>10000</v>
      </c>
      <c r="BC89" s="416">
        <v>576</v>
      </c>
      <c r="BD89" s="240">
        <v>425</v>
      </c>
      <c r="BE89" s="303">
        <v>10</v>
      </c>
      <c r="BF89" s="293">
        <f t="shared" si="18"/>
        <v>5760</v>
      </c>
      <c r="BG89" s="248">
        <f t="shared" si="19"/>
        <v>34560</v>
      </c>
      <c r="BH89" s="612">
        <v>144</v>
      </c>
      <c r="BI89" s="613">
        <f>3540000*4/3</f>
        <v>4720000</v>
      </c>
      <c r="BJ89" s="368">
        <v>0</v>
      </c>
      <c r="BK89" s="368">
        <v>9</v>
      </c>
      <c r="BL89" s="368">
        <v>0</v>
      </c>
      <c r="BM89" s="434">
        <v>10000</v>
      </c>
      <c r="BN89" s="284">
        <v>864</v>
      </c>
      <c r="BO89" s="255">
        <v>637</v>
      </c>
      <c r="BP89" s="303">
        <v>10</v>
      </c>
      <c r="BQ89" s="408">
        <f t="shared" si="33"/>
        <v>8640</v>
      </c>
      <c r="BR89" s="242">
        <f t="shared" si="34"/>
        <v>51840</v>
      </c>
      <c r="BS89" s="612">
        <v>216</v>
      </c>
      <c r="BT89" s="613">
        <v>5900000</v>
      </c>
      <c r="BU89" s="368">
        <v>0</v>
      </c>
      <c r="BV89" s="368">
        <v>11</v>
      </c>
      <c r="BW89" s="368">
        <v>0</v>
      </c>
      <c r="BX89" s="434">
        <v>10000</v>
      </c>
      <c r="BY89" s="614">
        <v>135</v>
      </c>
      <c r="BZ89" s="285" t="s">
        <v>43</v>
      </c>
      <c r="CA89" s="382">
        <v>10000</v>
      </c>
      <c r="CB89" s="289">
        <v>350000</v>
      </c>
      <c r="CC89" s="296">
        <v>700000</v>
      </c>
      <c r="CD89" s="296"/>
      <c r="CE89" s="296"/>
      <c r="CF89" s="296"/>
      <c r="CG89" s="296"/>
      <c r="CH89" s="296"/>
      <c r="CI89" s="296"/>
      <c r="CJ89" s="296"/>
      <c r="CK89" s="296"/>
      <c r="CL89" s="333"/>
      <c r="CM89" s="353" t="s">
        <v>43</v>
      </c>
      <c r="CN89" s="320"/>
      <c r="CO89" s="367"/>
      <c r="CP89" s="367"/>
      <c r="CQ89" s="310"/>
      <c r="CR89" s="1"/>
      <c r="CS89" s="1"/>
      <c r="CT89" s="1"/>
      <c r="CU89" s="1"/>
      <c r="CV89" s="1"/>
      <c r="CW89" s="2"/>
      <c r="CX89" s="603"/>
    </row>
    <row r="90" spans="1:102">
      <c r="A90" s="79"/>
      <c r="B90" s="34" t="s">
        <v>251</v>
      </c>
      <c r="C90" s="437" t="s">
        <v>52</v>
      </c>
      <c r="D90" s="130"/>
      <c r="E90" s="67" t="s">
        <v>43</v>
      </c>
      <c r="F90" s="35"/>
      <c r="G90" s="36"/>
      <c r="H90" s="398">
        <v>6</v>
      </c>
      <c r="I90" s="327" t="s">
        <v>270</v>
      </c>
      <c r="J90" s="139">
        <v>6</v>
      </c>
      <c r="K90" s="256">
        <v>0.15</v>
      </c>
      <c r="L90" s="405">
        <f t="shared" si="11"/>
        <v>1.3603744149765991</v>
      </c>
      <c r="M90" s="302">
        <v>30</v>
      </c>
      <c r="N90" s="270">
        <v>6036</v>
      </c>
      <c r="O90" s="243">
        <v>42378</v>
      </c>
      <c r="P90" s="430" t="s">
        <v>206</v>
      </c>
      <c r="Q90" s="168">
        <v>872</v>
      </c>
      <c r="R90" s="37">
        <v>641</v>
      </c>
      <c r="S90" s="155">
        <v>52320</v>
      </c>
      <c r="T90" s="315" t="s">
        <v>420</v>
      </c>
      <c r="U90" s="395" t="s">
        <v>429</v>
      </c>
      <c r="V90" s="284">
        <v>291</v>
      </c>
      <c r="W90" s="255">
        <v>214</v>
      </c>
      <c r="X90" s="303">
        <v>10</v>
      </c>
      <c r="Y90" s="408">
        <f t="shared" si="31"/>
        <v>2910</v>
      </c>
      <c r="Z90" s="242">
        <f t="shared" si="32"/>
        <v>17460</v>
      </c>
      <c r="AA90" s="38">
        <v>3</v>
      </c>
      <c r="AB90" s="37">
        <v>0</v>
      </c>
      <c r="AC90" s="37">
        <v>0</v>
      </c>
      <c r="AD90" s="37">
        <v>0</v>
      </c>
      <c r="AE90" s="37">
        <v>0</v>
      </c>
      <c r="AF90" s="317">
        <v>10000</v>
      </c>
      <c r="AG90" s="284">
        <v>364</v>
      </c>
      <c r="AH90" s="255">
        <v>268</v>
      </c>
      <c r="AI90" s="303">
        <v>10</v>
      </c>
      <c r="AJ90" s="408">
        <f t="shared" si="35"/>
        <v>3640</v>
      </c>
      <c r="AK90" s="242">
        <f t="shared" si="36"/>
        <v>21840</v>
      </c>
      <c r="AL90" s="38">
        <f t="shared" si="39"/>
        <v>36</v>
      </c>
      <c r="AM90" s="51">
        <v>2400000</v>
      </c>
      <c r="AN90" s="37">
        <v>0</v>
      </c>
      <c r="AO90" s="37">
        <v>5</v>
      </c>
      <c r="AP90" s="37">
        <v>0</v>
      </c>
      <c r="AQ90" s="412">
        <v>10000</v>
      </c>
      <c r="AR90" s="238">
        <v>436</v>
      </c>
      <c r="AS90" s="282">
        <v>321</v>
      </c>
      <c r="AT90" s="406">
        <v>10</v>
      </c>
      <c r="AU90" s="408">
        <f t="shared" si="37"/>
        <v>4360</v>
      </c>
      <c r="AV90" s="242">
        <f t="shared" si="38"/>
        <v>26160</v>
      </c>
      <c r="AW90" s="38">
        <f t="shared" si="40"/>
        <v>96</v>
      </c>
      <c r="AX90" s="51">
        <v>3600000</v>
      </c>
      <c r="AY90" s="37">
        <v>0</v>
      </c>
      <c r="AZ90" s="37">
        <v>7</v>
      </c>
      <c r="BA90" s="37">
        <v>0</v>
      </c>
      <c r="BB90" s="610">
        <v>10000</v>
      </c>
      <c r="BC90" s="238">
        <v>582</v>
      </c>
      <c r="BD90" s="282">
        <v>428</v>
      </c>
      <c r="BE90" s="406">
        <v>10</v>
      </c>
      <c r="BF90" s="408">
        <f t="shared" si="18"/>
        <v>5820</v>
      </c>
      <c r="BG90" s="242">
        <f t="shared" si="19"/>
        <v>34920</v>
      </c>
      <c r="BH90" s="38">
        <f>6*24</f>
        <v>144</v>
      </c>
      <c r="BI90" s="51">
        <v>4800000</v>
      </c>
      <c r="BJ90" s="37">
        <v>0</v>
      </c>
      <c r="BK90" s="37">
        <v>10</v>
      </c>
      <c r="BL90" s="37">
        <v>0</v>
      </c>
      <c r="BM90" s="434">
        <v>10000</v>
      </c>
      <c r="BN90" s="284">
        <v>872</v>
      </c>
      <c r="BO90" s="255">
        <v>641</v>
      </c>
      <c r="BP90" s="303">
        <v>10</v>
      </c>
      <c r="BQ90" s="408">
        <f t="shared" si="33"/>
        <v>8720</v>
      </c>
      <c r="BR90" s="242">
        <f t="shared" si="34"/>
        <v>52320</v>
      </c>
      <c r="BS90" s="612">
        <v>216</v>
      </c>
      <c r="BT90" s="613">
        <v>6000000</v>
      </c>
      <c r="BU90" s="368">
        <v>0</v>
      </c>
      <c r="BV90" s="368">
        <v>12</v>
      </c>
      <c r="BW90" s="368">
        <v>0</v>
      </c>
      <c r="BX90" s="434">
        <v>10000</v>
      </c>
      <c r="BY90" s="74"/>
      <c r="BZ90" s="285"/>
      <c r="CA90" s="382">
        <v>10000</v>
      </c>
      <c r="CB90" s="289">
        <v>400000</v>
      </c>
      <c r="CC90" s="296">
        <v>800000</v>
      </c>
      <c r="CD90" s="296"/>
      <c r="CE90" s="296"/>
      <c r="CF90" s="296"/>
      <c r="CG90" s="296"/>
      <c r="CH90" s="296"/>
      <c r="CI90" s="296"/>
      <c r="CJ90" s="296"/>
      <c r="CK90" s="296"/>
      <c r="CL90" s="333"/>
      <c r="CM90" s="353" t="s">
        <v>43</v>
      </c>
      <c r="CN90" s="320"/>
      <c r="CO90" s="367"/>
      <c r="CP90" s="367"/>
      <c r="CQ90" s="310"/>
      <c r="CR90" s="1"/>
      <c r="CS90" s="1"/>
      <c r="CT90" s="1"/>
      <c r="CU90" s="1"/>
      <c r="CV90" s="1"/>
      <c r="CW90" s="2"/>
      <c r="CX90" s="603"/>
    </row>
    <row r="91" spans="1:102" s="444" customFormat="1">
      <c r="A91" s="472"/>
      <c r="B91" s="451" t="s">
        <v>393</v>
      </c>
      <c r="C91" s="437" t="s">
        <v>52</v>
      </c>
      <c r="D91" s="130"/>
      <c r="E91" s="467" t="s">
        <v>308</v>
      </c>
      <c r="F91" s="452"/>
      <c r="G91" s="453"/>
      <c r="H91" s="398">
        <v>6</v>
      </c>
      <c r="I91" s="327" t="s">
        <v>270</v>
      </c>
      <c r="J91" s="139">
        <v>6</v>
      </c>
      <c r="K91" s="256">
        <v>0.15</v>
      </c>
      <c r="L91" s="405">
        <f t="shared" si="11"/>
        <v>1.3643410852713178</v>
      </c>
      <c r="M91" s="302">
        <v>30</v>
      </c>
      <c r="N91" s="270">
        <v>6039</v>
      </c>
      <c r="O91" s="243">
        <v>42392</v>
      </c>
      <c r="P91" s="430" t="s">
        <v>206</v>
      </c>
      <c r="Q91" s="168">
        <v>880</v>
      </c>
      <c r="R91" s="454">
        <v>645</v>
      </c>
      <c r="S91" s="155">
        <v>52800</v>
      </c>
      <c r="T91" s="315" t="s">
        <v>421</v>
      </c>
      <c r="U91" s="395" t="s">
        <v>430</v>
      </c>
      <c r="V91" s="238">
        <v>294</v>
      </c>
      <c r="W91" s="282">
        <v>215</v>
      </c>
      <c r="X91" s="406">
        <v>10</v>
      </c>
      <c r="Y91" s="408">
        <f t="shared" si="31"/>
        <v>2940</v>
      </c>
      <c r="Z91" s="242">
        <f t="shared" si="32"/>
        <v>17640</v>
      </c>
      <c r="AA91" s="455">
        <v>3</v>
      </c>
      <c r="AB91" s="454">
        <v>0</v>
      </c>
      <c r="AC91" s="454">
        <v>0</v>
      </c>
      <c r="AD91" s="454">
        <v>0</v>
      </c>
      <c r="AE91" s="454">
        <v>0</v>
      </c>
      <c r="AF91" s="413">
        <v>10000</v>
      </c>
      <c r="AG91" s="416">
        <v>367</v>
      </c>
      <c r="AH91" s="240">
        <v>269</v>
      </c>
      <c r="AI91" s="406">
        <v>10</v>
      </c>
      <c r="AJ91" s="293">
        <f t="shared" si="35"/>
        <v>3670</v>
      </c>
      <c r="AK91" s="248">
        <f t="shared" si="36"/>
        <v>22020</v>
      </c>
      <c r="AL91" s="455">
        <f t="shared" si="39"/>
        <v>36</v>
      </c>
      <c r="AM91" s="613">
        <f>3660000*2/3</f>
        <v>2440000</v>
      </c>
      <c r="AN91" s="368">
        <v>0</v>
      </c>
      <c r="AO91" s="368">
        <v>5</v>
      </c>
      <c r="AP91" s="368">
        <v>0</v>
      </c>
      <c r="AQ91" s="434">
        <v>10000</v>
      </c>
      <c r="AR91" s="416">
        <v>440</v>
      </c>
      <c r="AS91" s="240">
        <v>323</v>
      </c>
      <c r="AT91" s="406">
        <v>10</v>
      </c>
      <c r="AU91" s="293">
        <f t="shared" si="37"/>
        <v>4400</v>
      </c>
      <c r="AV91" s="248">
        <f t="shared" si="38"/>
        <v>26400</v>
      </c>
      <c r="AW91" s="612">
        <f t="shared" si="40"/>
        <v>96</v>
      </c>
      <c r="AX91" s="613">
        <f>4880000*3/4</f>
        <v>3660000</v>
      </c>
      <c r="AY91" s="368">
        <v>0</v>
      </c>
      <c r="AZ91" s="368">
        <v>7</v>
      </c>
      <c r="BA91" s="368">
        <v>0</v>
      </c>
      <c r="BB91" s="434">
        <v>10000</v>
      </c>
      <c r="BC91" s="343">
        <v>587</v>
      </c>
      <c r="BD91" s="440">
        <v>430</v>
      </c>
      <c r="BE91" s="314">
        <v>10</v>
      </c>
      <c r="BF91" s="280">
        <f t="shared" si="18"/>
        <v>5870</v>
      </c>
      <c r="BG91" s="435">
        <f t="shared" si="19"/>
        <v>35220</v>
      </c>
      <c r="BH91" s="455">
        <f>6*24</f>
        <v>144</v>
      </c>
      <c r="BI91" s="462">
        <v>4880000</v>
      </c>
      <c r="BJ91" s="454">
        <v>0</v>
      </c>
      <c r="BK91" s="454">
        <v>10</v>
      </c>
      <c r="BL91" s="454">
        <v>0</v>
      </c>
      <c r="BM91" s="434">
        <v>10000</v>
      </c>
      <c r="BN91" s="343">
        <v>880</v>
      </c>
      <c r="BO91" s="440">
        <v>645</v>
      </c>
      <c r="BP91" s="314">
        <v>10</v>
      </c>
      <c r="BQ91" s="280">
        <f t="shared" si="33"/>
        <v>8800</v>
      </c>
      <c r="BR91" s="435">
        <f t="shared" si="34"/>
        <v>52800</v>
      </c>
      <c r="BS91" s="455">
        <f>9*24</f>
        <v>216</v>
      </c>
      <c r="BT91" s="462">
        <v>6100000</v>
      </c>
      <c r="BU91" s="454">
        <v>0</v>
      </c>
      <c r="BV91" s="454">
        <v>12</v>
      </c>
      <c r="BW91" s="454">
        <v>0</v>
      </c>
      <c r="BX91" s="434">
        <v>10000</v>
      </c>
      <c r="BY91" s="469"/>
      <c r="BZ91" s="285"/>
      <c r="CA91" s="382">
        <v>10000</v>
      </c>
      <c r="CB91" s="289">
        <v>480000</v>
      </c>
      <c r="CC91" s="296">
        <v>960000</v>
      </c>
      <c r="CD91" s="296">
        <v>1920000</v>
      </c>
      <c r="CE91" s="296"/>
      <c r="CF91" s="296"/>
      <c r="CG91" s="296"/>
      <c r="CH91" s="296"/>
      <c r="CI91" s="296"/>
      <c r="CJ91" s="296"/>
      <c r="CK91" s="296"/>
      <c r="CL91" s="333"/>
      <c r="CM91" s="353" t="s">
        <v>43</v>
      </c>
      <c r="CN91" s="320"/>
      <c r="CO91" s="367"/>
      <c r="CP91" s="367"/>
      <c r="CQ91" s="310"/>
      <c r="CR91" s="1"/>
      <c r="CS91" s="1"/>
      <c r="CT91" s="1"/>
      <c r="CU91" s="1"/>
      <c r="CV91" s="1"/>
      <c r="CW91" s="2"/>
      <c r="CX91" s="603"/>
    </row>
    <row r="92" spans="1:102" s="444" customFormat="1">
      <c r="A92" s="472"/>
      <c r="B92" s="451" t="s">
        <v>738</v>
      </c>
      <c r="C92" s="437" t="s">
        <v>52</v>
      </c>
      <c r="D92" s="130"/>
      <c r="E92" s="467" t="s">
        <v>35</v>
      </c>
      <c r="F92" s="452"/>
      <c r="G92" s="453"/>
      <c r="H92" s="398">
        <v>6</v>
      </c>
      <c r="I92" s="327" t="s">
        <v>270</v>
      </c>
      <c r="J92" s="139">
        <v>6</v>
      </c>
      <c r="K92" s="256">
        <v>0.15</v>
      </c>
      <c r="L92" s="405">
        <f t="shared" si="11"/>
        <v>1.3713405238828968</v>
      </c>
      <c r="M92" s="302">
        <v>30</v>
      </c>
      <c r="N92" s="270">
        <v>6042</v>
      </c>
      <c r="O92" s="243">
        <v>42413</v>
      </c>
      <c r="P92" s="430" t="s">
        <v>206</v>
      </c>
      <c r="Q92" s="168">
        <v>890</v>
      </c>
      <c r="R92" s="454">
        <v>649</v>
      </c>
      <c r="S92" s="155">
        <v>53400</v>
      </c>
      <c r="T92" s="315" t="s">
        <v>741</v>
      </c>
      <c r="U92" s="395" t="s">
        <v>743</v>
      </c>
      <c r="V92" s="343">
        <v>297</v>
      </c>
      <c r="W92" s="440">
        <v>217</v>
      </c>
      <c r="X92" s="314">
        <v>10</v>
      </c>
      <c r="Y92" s="280">
        <f t="shared" si="31"/>
        <v>2970</v>
      </c>
      <c r="Z92" s="435">
        <f t="shared" si="32"/>
        <v>17820</v>
      </c>
      <c r="AA92" s="455">
        <v>3</v>
      </c>
      <c r="AB92" s="454">
        <v>0</v>
      </c>
      <c r="AC92" s="454">
        <v>0</v>
      </c>
      <c r="AD92" s="454">
        <v>0</v>
      </c>
      <c r="AE92" s="454">
        <v>0</v>
      </c>
      <c r="AF92" s="1156">
        <v>10000</v>
      </c>
      <c r="AG92" s="343">
        <v>371</v>
      </c>
      <c r="AH92" s="440">
        <v>271</v>
      </c>
      <c r="AI92" s="314">
        <v>10</v>
      </c>
      <c r="AJ92" s="280">
        <f t="shared" si="35"/>
        <v>3710</v>
      </c>
      <c r="AK92" s="435">
        <f t="shared" si="36"/>
        <v>22260</v>
      </c>
      <c r="AL92" s="455">
        <f t="shared" si="39"/>
        <v>36</v>
      </c>
      <c r="AM92" s="1046">
        <v>2600000</v>
      </c>
      <c r="AN92" s="1047">
        <v>0</v>
      </c>
      <c r="AO92" s="1047">
        <v>6</v>
      </c>
      <c r="AP92" s="1047">
        <v>0</v>
      </c>
      <c r="AQ92" s="1157">
        <v>10000</v>
      </c>
      <c r="AR92" s="343">
        <v>445</v>
      </c>
      <c r="AS92" s="440">
        <v>325</v>
      </c>
      <c r="AT92" s="314">
        <v>10</v>
      </c>
      <c r="AU92" s="280">
        <f t="shared" si="37"/>
        <v>4450</v>
      </c>
      <c r="AV92" s="435">
        <f t="shared" si="38"/>
        <v>26700</v>
      </c>
      <c r="AW92" s="1040">
        <f t="shared" si="40"/>
        <v>96</v>
      </c>
      <c r="AX92" s="1046">
        <v>3900000</v>
      </c>
      <c r="AY92" s="1047">
        <v>0</v>
      </c>
      <c r="AZ92" s="1047">
        <v>9</v>
      </c>
      <c r="BA92" s="1047">
        <v>0</v>
      </c>
      <c r="BB92" s="434">
        <v>10000</v>
      </c>
      <c r="BC92" s="416">
        <v>594</v>
      </c>
      <c r="BD92" s="240">
        <v>433</v>
      </c>
      <c r="BE92" s="314">
        <v>10</v>
      </c>
      <c r="BF92" s="293">
        <f t="shared" si="18"/>
        <v>5940</v>
      </c>
      <c r="BG92" s="248">
        <f t="shared" si="19"/>
        <v>35640</v>
      </c>
      <c r="BH92" s="455"/>
      <c r="BI92" s="462"/>
      <c r="BJ92" s="454"/>
      <c r="BK92" s="454"/>
      <c r="BL92" s="454"/>
      <c r="BM92" s="434">
        <v>10000</v>
      </c>
      <c r="BN92" s="343">
        <v>890</v>
      </c>
      <c r="BO92" s="440">
        <v>649</v>
      </c>
      <c r="BP92" s="314">
        <v>10</v>
      </c>
      <c r="BQ92" s="280">
        <f t="shared" si="33"/>
        <v>8900</v>
      </c>
      <c r="BR92" s="435">
        <f t="shared" si="34"/>
        <v>53400</v>
      </c>
      <c r="BS92" s="455"/>
      <c r="BT92" s="462"/>
      <c r="BU92" s="454"/>
      <c r="BV92" s="454"/>
      <c r="BW92" s="454"/>
      <c r="BX92" s="434">
        <v>10000</v>
      </c>
      <c r="BY92" s="469"/>
      <c r="BZ92" s="285"/>
      <c r="CA92" s="382">
        <v>10000</v>
      </c>
      <c r="CB92" s="289">
        <v>600000</v>
      </c>
      <c r="CC92" s="296">
        <v>1200000</v>
      </c>
      <c r="CD92" s="296"/>
      <c r="CE92" s="296"/>
      <c r="CF92" s="296"/>
      <c r="CG92" s="296"/>
      <c r="CH92" s="296"/>
      <c r="CI92" s="296"/>
      <c r="CJ92" s="296"/>
      <c r="CK92" s="296"/>
      <c r="CL92" s="333"/>
      <c r="CM92" s="353" t="s">
        <v>43</v>
      </c>
      <c r="CN92" s="320"/>
      <c r="CO92" s="367"/>
      <c r="CP92" s="367"/>
      <c r="CQ92" s="310"/>
      <c r="CR92" s="1"/>
      <c r="CS92" s="1"/>
      <c r="CT92" s="1"/>
      <c r="CU92" s="1"/>
      <c r="CV92" s="1"/>
      <c r="CW92" s="2"/>
      <c r="CX92" s="603"/>
    </row>
    <row r="93" spans="1:102" s="444" customFormat="1">
      <c r="A93" s="472"/>
      <c r="B93" s="451" t="s">
        <v>713</v>
      </c>
      <c r="C93" s="437" t="s">
        <v>52</v>
      </c>
      <c r="D93" s="130"/>
      <c r="E93" s="467" t="s">
        <v>43</v>
      </c>
      <c r="F93" s="452"/>
      <c r="G93" s="453"/>
      <c r="H93" s="398">
        <v>7</v>
      </c>
      <c r="I93" s="327" t="s">
        <v>706</v>
      </c>
      <c r="J93" s="139">
        <v>12</v>
      </c>
      <c r="K93" s="1150">
        <v>0.15</v>
      </c>
      <c r="L93" s="405">
        <f t="shared" si="11"/>
        <v>3.5</v>
      </c>
      <c r="M93" s="302">
        <v>100</v>
      </c>
      <c r="N93" s="270">
        <v>535</v>
      </c>
      <c r="O93" s="243">
        <v>42411</v>
      </c>
      <c r="P93" s="430" t="s">
        <v>206</v>
      </c>
      <c r="Q93" s="168">
        <v>1050</v>
      </c>
      <c r="R93" s="454">
        <v>300</v>
      </c>
      <c r="S93" s="155">
        <v>151200</v>
      </c>
      <c r="T93" s="315" t="s">
        <v>739</v>
      </c>
      <c r="U93" s="395" t="s">
        <v>715</v>
      </c>
      <c r="V93" s="343">
        <v>350</v>
      </c>
      <c r="W93" s="440">
        <v>100</v>
      </c>
      <c r="X93" s="267">
        <v>12</v>
      </c>
      <c r="Y93" s="293">
        <f t="shared" si="31"/>
        <v>4200</v>
      </c>
      <c r="Z93" s="248">
        <f t="shared" si="32"/>
        <v>50400</v>
      </c>
      <c r="AA93" s="612">
        <v>1.5</v>
      </c>
      <c r="AB93" s="368">
        <v>0</v>
      </c>
      <c r="AC93" s="368">
        <v>0</v>
      </c>
      <c r="AD93" s="368">
        <v>0</v>
      </c>
      <c r="AE93" s="368">
        <v>0</v>
      </c>
      <c r="AF93" s="413">
        <v>945</v>
      </c>
      <c r="AG93" s="343">
        <v>438</v>
      </c>
      <c r="AH93" s="440">
        <v>125</v>
      </c>
      <c r="AI93" s="267">
        <v>12</v>
      </c>
      <c r="AJ93" s="293">
        <f t="shared" si="35"/>
        <v>5256</v>
      </c>
      <c r="AK93" s="248">
        <f t="shared" si="36"/>
        <v>63072</v>
      </c>
      <c r="AL93" s="1040">
        <v>9</v>
      </c>
      <c r="AM93" s="462">
        <v>3600000</v>
      </c>
      <c r="AN93" s="454">
        <v>0</v>
      </c>
      <c r="AO93" s="454">
        <v>5</v>
      </c>
      <c r="AP93" s="454">
        <v>0</v>
      </c>
      <c r="AQ93" s="434">
        <v>7095</v>
      </c>
      <c r="AR93" s="343">
        <v>525</v>
      </c>
      <c r="AS93" s="440">
        <v>150</v>
      </c>
      <c r="AT93" s="267">
        <v>12</v>
      </c>
      <c r="AU93" s="293">
        <f t="shared" si="37"/>
        <v>6300</v>
      </c>
      <c r="AV93" s="248">
        <f t="shared" si="38"/>
        <v>75600</v>
      </c>
      <c r="AW93" s="612">
        <v>18</v>
      </c>
      <c r="AX93" s="613">
        <f>3600000*48/32</f>
        <v>5400000</v>
      </c>
      <c r="AY93" s="368">
        <v>0</v>
      </c>
      <c r="AZ93" s="368">
        <v>10</v>
      </c>
      <c r="BA93" s="368">
        <v>0</v>
      </c>
      <c r="BB93" s="434">
        <v>10000</v>
      </c>
      <c r="BC93" s="343">
        <v>700</v>
      </c>
      <c r="BD93" s="440">
        <v>200</v>
      </c>
      <c r="BE93" s="267">
        <v>12</v>
      </c>
      <c r="BF93" s="293">
        <f t="shared" si="18"/>
        <v>8400</v>
      </c>
      <c r="BG93" s="248">
        <f t="shared" si="19"/>
        <v>100800</v>
      </c>
      <c r="BH93" s="1040">
        <f>1*24+12</f>
        <v>36</v>
      </c>
      <c r="BI93" s="1046">
        <f>5400000*64/48</f>
        <v>7200000</v>
      </c>
      <c r="BJ93" s="1047">
        <v>0</v>
      </c>
      <c r="BK93" s="1047">
        <v>0</v>
      </c>
      <c r="BL93" s="1047">
        <v>5</v>
      </c>
      <c r="BM93" s="434">
        <v>10000</v>
      </c>
      <c r="BN93" s="343">
        <v>1050</v>
      </c>
      <c r="BO93" s="440">
        <v>300</v>
      </c>
      <c r="BP93" s="314">
        <v>12</v>
      </c>
      <c r="BQ93" s="280">
        <f t="shared" si="33"/>
        <v>12600</v>
      </c>
      <c r="BR93" s="435">
        <f t="shared" si="34"/>
        <v>151200</v>
      </c>
      <c r="BS93" s="455">
        <f>3*24</f>
        <v>72</v>
      </c>
      <c r="BT93" s="613">
        <f>7200000*80/64</f>
        <v>9000000</v>
      </c>
      <c r="BU93" s="368">
        <v>0</v>
      </c>
      <c r="BV93" s="368">
        <v>0</v>
      </c>
      <c r="BW93" s="368">
        <v>10</v>
      </c>
      <c r="BX93" s="434">
        <v>10000</v>
      </c>
      <c r="BY93" s="469"/>
      <c r="BZ93" s="285"/>
      <c r="CA93" s="382"/>
      <c r="CB93" s="289"/>
      <c r="CC93" s="296"/>
      <c r="CD93" s="296"/>
      <c r="CE93" s="296"/>
      <c r="CF93" s="296"/>
      <c r="CG93" s="296"/>
      <c r="CH93" s="296"/>
      <c r="CI93" s="296"/>
      <c r="CJ93" s="296"/>
      <c r="CK93" s="296"/>
      <c r="CL93" s="333"/>
      <c r="CM93" s="353"/>
      <c r="CN93" s="320"/>
      <c r="CO93" s="367"/>
      <c r="CP93" s="367"/>
      <c r="CQ93" s="310"/>
      <c r="CR93" s="1"/>
      <c r="CS93" s="1"/>
      <c r="CT93" s="1"/>
      <c r="CU93" s="1"/>
      <c r="CV93" s="1"/>
      <c r="CW93" s="2"/>
      <c r="CX93" s="603"/>
    </row>
    <row r="94" spans="1:102">
      <c r="A94" s="79"/>
      <c r="B94" s="29" t="s">
        <v>87</v>
      </c>
      <c r="C94" s="279" t="s">
        <v>5</v>
      </c>
      <c r="D94" s="131"/>
      <c r="E94" s="68" t="s">
        <v>0</v>
      </c>
      <c r="F94" s="30"/>
      <c r="G94" s="31"/>
      <c r="H94" s="340">
        <v>1</v>
      </c>
      <c r="I94" s="386" t="s">
        <v>268</v>
      </c>
      <c r="J94" s="140">
        <v>1.5</v>
      </c>
      <c r="K94" s="352">
        <v>0.22500000000000001</v>
      </c>
      <c r="L94" s="397">
        <f t="shared" si="11"/>
        <v>0.4854368932038835</v>
      </c>
      <c r="M94" s="375">
        <v>30</v>
      </c>
      <c r="N94" s="404">
        <v>7</v>
      </c>
      <c r="O94" s="465" t="s">
        <v>306</v>
      </c>
      <c r="P94" s="292" t="s">
        <v>201</v>
      </c>
      <c r="Q94" s="169">
        <v>50</v>
      </c>
      <c r="R94" s="32">
        <v>103</v>
      </c>
      <c r="S94" s="156">
        <v>225</v>
      </c>
      <c r="T94" s="377" t="s">
        <v>437</v>
      </c>
      <c r="U94" s="265" t="s">
        <v>306</v>
      </c>
      <c r="V94" s="421">
        <v>50</v>
      </c>
      <c r="W94" s="322">
        <v>103</v>
      </c>
      <c r="X94" s="358">
        <v>3</v>
      </c>
      <c r="Y94" s="438">
        <f t="shared" ref="Y94:Y127" si="41">IF(ISBLANK(X94), "",INT(V94*X94))</f>
        <v>150</v>
      </c>
      <c r="Z94" s="311">
        <f t="shared" ref="Z94:Z127" si="42">IF(ISBLANK(X94),"",INT(Y94*$J94))</f>
        <v>225</v>
      </c>
      <c r="AA94" s="33">
        <f>3/60/60</f>
        <v>8.3333333333333339E-4</v>
      </c>
      <c r="AB94" s="32">
        <v>700</v>
      </c>
      <c r="AC94" s="32">
        <v>0</v>
      </c>
      <c r="AD94" s="32">
        <v>0</v>
      </c>
      <c r="AE94" s="32">
        <v>0</v>
      </c>
      <c r="AF94" s="429">
        <v>5</v>
      </c>
      <c r="AG94" s="421">
        <v>75</v>
      </c>
      <c r="AH94" s="322">
        <v>154</v>
      </c>
      <c r="AI94" s="358">
        <v>3</v>
      </c>
      <c r="AJ94" s="438">
        <f t="shared" ref="AJ94:AJ127" si="43">IF(ISBLANK(AI94), "",INT(AG94*AI94))</f>
        <v>225</v>
      </c>
      <c r="AK94" s="311">
        <f t="shared" ref="AK94:AK127" si="44">IF(ISBLANK(AI94),"",INT(AJ94*$J94))</f>
        <v>337</v>
      </c>
      <c r="AL94" s="33">
        <f>5/60</f>
        <v>8.3333333333333329E-2</v>
      </c>
      <c r="AM94" s="52">
        <v>3000</v>
      </c>
      <c r="AN94" s="32">
        <v>0</v>
      </c>
      <c r="AO94" s="32">
        <v>0</v>
      </c>
      <c r="AP94" s="32">
        <v>0</v>
      </c>
      <c r="AQ94" s="360">
        <v>4</v>
      </c>
      <c r="AR94" s="421">
        <v>87</v>
      </c>
      <c r="AS94" s="322">
        <v>180</v>
      </c>
      <c r="AT94" s="358">
        <v>3</v>
      </c>
      <c r="AU94" s="438">
        <f t="shared" ref="AU94:AU127" si="45">IF(ISBLANK(AT94), "",INT(AR94*AT94))</f>
        <v>261</v>
      </c>
      <c r="AV94" s="311">
        <f t="shared" ref="AV94:AV127" si="46">IF(ISBLANK(AT94),"",INT(AU94*$J94))</f>
        <v>391</v>
      </c>
      <c r="AW94" s="33">
        <v>0.5</v>
      </c>
      <c r="AX94" s="52">
        <v>6000</v>
      </c>
      <c r="AY94" s="32">
        <v>1</v>
      </c>
      <c r="AZ94" s="32">
        <v>0</v>
      </c>
      <c r="BA94" s="32">
        <v>0</v>
      </c>
      <c r="BB94" s="360">
        <v>29</v>
      </c>
      <c r="BC94" s="421">
        <v>95</v>
      </c>
      <c r="BD94" s="322">
        <v>195</v>
      </c>
      <c r="BE94" s="358">
        <v>3</v>
      </c>
      <c r="BF94" s="438">
        <f t="shared" ref="BF94:BF127" si="47">IF(ISBLANK(BE94), "",INT(BC94*BE94))</f>
        <v>285</v>
      </c>
      <c r="BG94" s="311">
        <f t="shared" ref="BG94:BG127" si="48">IF(ISBLANK(BE94),"",INT(BF94*$J94))</f>
        <v>427</v>
      </c>
      <c r="BH94" s="33">
        <v>1</v>
      </c>
      <c r="BI94" s="52">
        <v>9000</v>
      </c>
      <c r="BJ94" s="32">
        <v>0</v>
      </c>
      <c r="BK94" s="32">
        <v>0</v>
      </c>
      <c r="BL94" s="32">
        <v>0</v>
      </c>
      <c r="BM94" s="360">
        <v>64</v>
      </c>
      <c r="BN94" s="421">
        <v>100</v>
      </c>
      <c r="BO94" s="322">
        <v>206</v>
      </c>
      <c r="BP94" s="358">
        <v>3</v>
      </c>
      <c r="BQ94" s="337">
        <f t="shared" ref="BQ94:BQ127" si="49">IF(ISBLANK(BP94), "",INT(BN94*BP94))</f>
        <v>300</v>
      </c>
      <c r="BR94" s="422">
        <f t="shared" ref="BR94:BR127" si="50">IF(ISBLANK(BP94),"",INT(BQ94*$J94))</f>
        <v>450</v>
      </c>
      <c r="BS94" s="33">
        <v>2</v>
      </c>
      <c r="BT94" s="52">
        <v>12000</v>
      </c>
      <c r="BU94" s="32">
        <v>0</v>
      </c>
      <c r="BV94" s="32">
        <v>1</v>
      </c>
      <c r="BW94" s="32">
        <v>0</v>
      </c>
      <c r="BX94" s="360">
        <v>90</v>
      </c>
      <c r="BY94" s="78">
        <v>1</v>
      </c>
      <c r="BZ94" s="339" t="s">
        <v>43</v>
      </c>
      <c r="CA94" s="359"/>
      <c r="CB94" s="306"/>
      <c r="CC94" s="396"/>
      <c r="CD94" s="396"/>
      <c r="CE94" s="396"/>
      <c r="CF94" s="396"/>
      <c r="CG94" s="396"/>
      <c r="CH94" s="396"/>
      <c r="CI94" s="396"/>
      <c r="CJ94" s="396"/>
      <c r="CK94" s="396"/>
      <c r="CL94" s="297"/>
      <c r="CM94" s="259" t="s">
        <v>308</v>
      </c>
      <c r="CN94" s="388">
        <v>1</v>
      </c>
      <c r="CO94" s="465">
        <v>3</v>
      </c>
      <c r="CP94" s="465">
        <v>7</v>
      </c>
      <c r="CQ94" s="335">
        <v>21</v>
      </c>
      <c r="CR94" s="1"/>
      <c r="CS94" s="1"/>
      <c r="CT94" s="1"/>
      <c r="CU94" s="1"/>
      <c r="CV94" s="1"/>
      <c r="CW94" s="2"/>
      <c r="CX94" s="603"/>
    </row>
    <row r="95" spans="1:102">
      <c r="A95" s="472"/>
      <c r="B95" s="29" t="s">
        <v>103</v>
      </c>
      <c r="C95" s="279" t="s">
        <v>5</v>
      </c>
      <c r="D95" s="131"/>
      <c r="E95" s="68" t="s">
        <v>0</v>
      </c>
      <c r="F95" s="30" t="s">
        <v>0</v>
      </c>
      <c r="G95" s="31"/>
      <c r="H95" s="340">
        <v>1</v>
      </c>
      <c r="I95" s="386" t="s">
        <v>268</v>
      </c>
      <c r="J95" s="140">
        <v>1.5</v>
      </c>
      <c r="K95" s="352">
        <v>0.22500000000000001</v>
      </c>
      <c r="L95" s="397">
        <f t="shared" si="11"/>
        <v>0.49180327868852458</v>
      </c>
      <c r="M95" s="375">
        <v>30</v>
      </c>
      <c r="N95" s="404">
        <v>13</v>
      </c>
      <c r="O95" s="465" t="s">
        <v>306</v>
      </c>
      <c r="P95" s="292" t="s">
        <v>201</v>
      </c>
      <c r="Q95" s="169">
        <v>60</v>
      </c>
      <c r="R95" s="32">
        <v>122</v>
      </c>
      <c r="S95" s="156">
        <v>270</v>
      </c>
      <c r="T95" s="377" t="s">
        <v>438</v>
      </c>
      <c r="U95" s="265" t="s">
        <v>306</v>
      </c>
      <c r="V95" s="421">
        <v>60</v>
      </c>
      <c r="W95" s="322">
        <v>122</v>
      </c>
      <c r="X95" s="358">
        <v>3</v>
      </c>
      <c r="Y95" s="438">
        <f t="shared" si="41"/>
        <v>180</v>
      </c>
      <c r="Z95" s="311">
        <f t="shared" si="42"/>
        <v>270</v>
      </c>
      <c r="AA95" s="33">
        <v>1</v>
      </c>
      <c r="AB95" s="32">
        <v>3000</v>
      </c>
      <c r="AC95" s="32">
        <v>0</v>
      </c>
      <c r="AD95" s="32">
        <v>0</v>
      </c>
      <c r="AE95" s="32">
        <v>0</v>
      </c>
      <c r="AF95" s="429">
        <v>40</v>
      </c>
      <c r="AG95" s="421">
        <v>90</v>
      </c>
      <c r="AH95" s="322">
        <v>183</v>
      </c>
      <c r="AI95" s="358">
        <v>3</v>
      </c>
      <c r="AJ95" s="438">
        <f t="shared" si="43"/>
        <v>270</v>
      </c>
      <c r="AK95" s="311">
        <f t="shared" si="44"/>
        <v>405</v>
      </c>
      <c r="AL95" s="33">
        <f>5/60</f>
        <v>8.3333333333333329E-2</v>
      </c>
      <c r="AM95" s="52">
        <v>5000</v>
      </c>
      <c r="AN95" s="32">
        <v>0</v>
      </c>
      <c r="AO95" s="32">
        <v>0</v>
      </c>
      <c r="AP95" s="32">
        <v>0</v>
      </c>
      <c r="AQ95" s="360">
        <v>5</v>
      </c>
      <c r="AR95" s="421">
        <v>105</v>
      </c>
      <c r="AS95" s="322">
        <v>213</v>
      </c>
      <c r="AT95" s="358">
        <v>3</v>
      </c>
      <c r="AU95" s="438">
        <f t="shared" si="45"/>
        <v>315</v>
      </c>
      <c r="AV95" s="311">
        <f t="shared" si="46"/>
        <v>472</v>
      </c>
      <c r="AW95" s="33">
        <v>0.5</v>
      </c>
      <c r="AX95" s="52">
        <v>10000</v>
      </c>
      <c r="AY95" s="32">
        <v>1</v>
      </c>
      <c r="AZ95" s="32">
        <v>0</v>
      </c>
      <c r="BA95" s="32">
        <v>0</v>
      </c>
      <c r="BB95" s="360">
        <v>35</v>
      </c>
      <c r="BC95" s="421">
        <v>114</v>
      </c>
      <c r="BD95" s="322">
        <v>231</v>
      </c>
      <c r="BE95" s="358">
        <v>3</v>
      </c>
      <c r="BF95" s="438">
        <f t="shared" si="47"/>
        <v>342</v>
      </c>
      <c r="BG95" s="311">
        <f t="shared" si="48"/>
        <v>513</v>
      </c>
      <c r="BH95" s="33">
        <f>45/60</f>
        <v>0.75</v>
      </c>
      <c r="BI95" s="52">
        <v>15000</v>
      </c>
      <c r="BJ95" s="32">
        <v>0</v>
      </c>
      <c r="BK95" s="32">
        <v>0</v>
      </c>
      <c r="BL95" s="32">
        <v>0</v>
      </c>
      <c r="BM95" s="360">
        <v>57</v>
      </c>
      <c r="BN95" s="421">
        <v>120</v>
      </c>
      <c r="BO95" s="322">
        <v>244</v>
      </c>
      <c r="BP95" s="358">
        <v>3</v>
      </c>
      <c r="BQ95" s="337">
        <f t="shared" si="49"/>
        <v>360</v>
      </c>
      <c r="BR95" s="422">
        <f t="shared" si="50"/>
        <v>540</v>
      </c>
      <c r="BS95" s="33">
        <v>1</v>
      </c>
      <c r="BT95" s="52">
        <v>20000</v>
      </c>
      <c r="BU95" s="32">
        <v>0</v>
      </c>
      <c r="BV95" s="32">
        <v>1</v>
      </c>
      <c r="BW95" s="32">
        <v>0</v>
      </c>
      <c r="BX95" s="360">
        <v>81</v>
      </c>
      <c r="BY95" s="78">
        <v>1</v>
      </c>
      <c r="BZ95" s="339" t="s">
        <v>43</v>
      </c>
      <c r="CA95" s="359"/>
      <c r="CB95" s="306"/>
      <c r="CC95" s="396"/>
      <c r="CD95" s="396"/>
      <c r="CE95" s="396"/>
      <c r="CF95" s="396"/>
      <c r="CG95" s="396"/>
      <c r="CH95" s="396"/>
      <c r="CI95" s="396"/>
      <c r="CJ95" s="396"/>
      <c r="CK95" s="396"/>
      <c r="CL95" s="297"/>
      <c r="CM95" s="259" t="s">
        <v>308</v>
      </c>
      <c r="CN95" s="388">
        <v>5</v>
      </c>
      <c r="CO95" s="465">
        <v>5</v>
      </c>
      <c r="CP95" s="465">
        <v>15</v>
      </c>
      <c r="CQ95" s="335">
        <v>25</v>
      </c>
      <c r="CR95" s="1"/>
      <c r="CS95" s="1"/>
      <c r="CT95" s="1"/>
      <c r="CU95" s="1"/>
      <c r="CV95" s="1"/>
      <c r="CW95" s="2"/>
      <c r="CX95" s="603"/>
    </row>
    <row r="96" spans="1:102">
      <c r="A96" s="472"/>
      <c r="B96" s="29" t="s">
        <v>64</v>
      </c>
      <c r="C96" s="279" t="s">
        <v>5</v>
      </c>
      <c r="D96" s="131"/>
      <c r="E96" s="68" t="s">
        <v>0</v>
      </c>
      <c r="F96" s="30"/>
      <c r="G96" s="31"/>
      <c r="H96" s="340">
        <v>2</v>
      </c>
      <c r="I96" s="386" t="s">
        <v>268</v>
      </c>
      <c r="J96" s="140">
        <v>1.5</v>
      </c>
      <c r="K96" s="352">
        <v>0.22500000000000001</v>
      </c>
      <c r="L96" s="397">
        <f>IF(ISBLANK(Q96),"",Q96/R96)</f>
        <v>0.50359712230215825</v>
      </c>
      <c r="M96" s="375">
        <v>30</v>
      </c>
      <c r="N96" s="404">
        <v>23</v>
      </c>
      <c r="O96" s="465" t="s">
        <v>306</v>
      </c>
      <c r="P96" s="292" t="s">
        <v>201</v>
      </c>
      <c r="Q96" s="169">
        <v>70</v>
      </c>
      <c r="R96" s="32">
        <v>139</v>
      </c>
      <c r="S96" s="156">
        <v>315</v>
      </c>
      <c r="T96" s="377" t="s">
        <v>439</v>
      </c>
      <c r="U96" s="265" t="s">
        <v>306</v>
      </c>
      <c r="V96" s="421">
        <v>70</v>
      </c>
      <c r="W96" s="322">
        <v>139</v>
      </c>
      <c r="X96" s="358">
        <v>3</v>
      </c>
      <c r="Y96" s="438">
        <f>IF(ISBLANK(X96), "",INT(V96*X96))</f>
        <v>210</v>
      </c>
      <c r="Z96" s="311">
        <f>IF(ISBLANK(X96),"",INT(Y96*$J96))</f>
        <v>315</v>
      </c>
      <c r="AA96" s="33">
        <v>6</v>
      </c>
      <c r="AB96" s="32">
        <v>15000</v>
      </c>
      <c r="AC96" s="32">
        <v>0</v>
      </c>
      <c r="AD96" s="32">
        <v>0</v>
      </c>
      <c r="AE96" s="32">
        <v>0</v>
      </c>
      <c r="AF96" s="429">
        <v>283</v>
      </c>
      <c r="AG96" s="421">
        <v>105</v>
      </c>
      <c r="AH96" s="322">
        <v>208</v>
      </c>
      <c r="AI96" s="358">
        <v>3</v>
      </c>
      <c r="AJ96" s="438">
        <f>IF(ISBLANK(AI96), "",INT(AG96*AI96))</f>
        <v>315</v>
      </c>
      <c r="AK96" s="311">
        <f>IF(ISBLANK(AI96),"",INT(AJ96*$J96))</f>
        <v>472</v>
      </c>
      <c r="AL96" s="33">
        <v>2</v>
      </c>
      <c r="AM96" s="52">
        <v>15000</v>
      </c>
      <c r="AN96" s="32">
        <v>0</v>
      </c>
      <c r="AO96" s="32">
        <v>0</v>
      </c>
      <c r="AP96" s="32">
        <v>0</v>
      </c>
      <c r="AQ96" s="360">
        <v>106</v>
      </c>
      <c r="AR96" s="421">
        <v>122</v>
      </c>
      <c r="AS96" s="322">
        <v>243</v>
      </c>
      <c r="AT96" s="358">
        <v>3</v>
      </c>
      <c r="AU96" s="438">
        <f>IF(ISBLANK(AT96), "",INT(AR96*AT96))</f>
        <v>366</v>
      </c>
      <c r="AV96" s="311">
        <f>IF(ISBLANK(AT96),"",INT(AU96*$J96))</f>
        <v>549</v>
      </c>
      <c r="AW96" s="33">
        <v>3</v>
      </c>
      <c r="AX96" s="52">
        <v>22500</v>
      </c>
      <c r="AY96" s="32">
        <v>1</v>
      </c>
      <c r="AZ96" s="32">
        <v>0</v>
      </c>
      <c r="BA96" s="32">
        <v>0</v>
      </c>
      <c r="BB96" s="360">
        <v>247</v>
      </c>
      <c r="BC96" s="421">
        <v>133</v>
      </c>
      <c r="BD96" s="322">
        <v>264</v>
      </c>
      <c r="BE96" s="358">
        <v>3</v>
      </c>
      <c r="BF96" s="438">
        <f>IF(ISBLANK(BE96), "",INT(BC96*BE96))</f>
        <v>399</v>
      </c>
      <c r="BG96" s="311">
        <f>IF(ISBLANK(BE96),"",INT(BF96*$J96))</f>
        <v>598</v>
      </c>
      <c r="BH96" s="33">
        <v>5</v>
      </c>
      <c r="BI96" s="52">
        <v>30000</v>
      </c>
      <c r="BJ96" s="32">
        <v>0</v>
      </c>
      <c r="BK96" s="32">
        <v>0</v>
      </c>
      <c r="BL96" s="32">
        <v>0</v>
      </c>
      <c r="BM96" s="360">
        <v>403</v>
      </c>
      <c r="BN96" s="421">
        <v>140</v>
      </c>
      <c r="BO96" s="322">
        <v>278</v>
      </c>
      <c r="BP96" s="358">
        <v>3</v>
      </c>
      <c r="BQ96" s="337">
        <f>IF(ISBLANK(BP96), "",INT(BN96*BP96))</f>
        <v>420</v>
      </c>
      <c r="BR96" s="422">
        <f>IF(ISBLANK(BP96),"",INT(BQ96*$J96))</f>
        <v>630</v>
      </c>
      <c r="BS96" s="33">
        <v>6</v>
      </c>
      <c r="BT96" s="52">
        <v>37500</v>
      </c>
      <c r="BU96" s="32">
        <v>0</v>
      </c>
      <c r="BV96" s="32">
        <v>1</v>
      </c>
      <c r="BW96" s="32">
        <v>0</v>
      </c>
      <c r="BX96" s="360">
        <v>567</v>
      </c>
      <c r="BY96" s="78">
        <v>6</v>
      </c>
      <c r="BZ96" s="339" t="s">
        <v>43</v>
      </c>
      <c r="CA96" s="359"/>
      <c r="CB96" s="306"/>
      <c r="CC96" s="396"/>
      <c r="CD96" s="396"/>
      <c r="CE96" s="396"/>
      <c r="CF96" s="396"/>
      <c r="CG96" s="396"/>
      <c r="CH96" s="396"/>
      <c r="CI96" s="396"/>
      <c r="CJ96" s="396"/>
      <c r="CK96" s="396"/>
      <c r="CL96" s="297"/>
      <c r="CM96" s="259" t="s">
        <v>308</v>
      </c>
      <c r="CN96" s="388">
        <v>10</v>
      </c>
      <c r="CO96" s="465">
        <v>10</v>
      </c>
      <c r="CP96" s="465">
        <v>20</v>
      </c>
      <c r="CQ96" s="335">
        <v>30</v>
      </c>
      <c r="CR96" s="1"/>
      <c r="CS96" s="1"/>
      <c r="CT96" s="1"/>
      <c r="CU96" s="1"/>
      <c r="CV96" s="1"/>
      <c r="CW96" s="2"/>
      <c r="CX96" s="603"/>
    </row>
    <row r="97" spans="1:102">
      <c r="A97" s="472"/>
      <c r="B97" s="29" t="s">
        <v>88</v>
      </c>
      <c r="C97" s="279" t="s">
        <v>14</v>
      </c>
      <c r="D97" s="131"/>
      <c r="E97" s="68" t="s">
        <v>9</v>
      </c>
      <c r="F97" s="30"/>
      <c r="G97" s="31"/>
      <c r="H97" s="340">
        <v>2</v>
      </c>
      <c r="I97" s="386" t="s">
        <v>268</v>
      </c>
      <c r="J97" s="140">
        <v>1.75</v>
      </c>
      <c r="K97" s="352">
        <v>0.22500000000000001</v>
      </c>
      <c r="L97" s="397">
        <f>IF(ISBLANK(Q97),"",Q97/R97)</f>
        <v>0.51948051948051943</v>
      </c>
      <c r="M97" s="375">
        <v>30</v>
      </c>
      <c r="N97" s="404">
        <v>30</v>
      </c>
      <c r="O97" s="465" t="s">
        <v>306</v>
      </c>
      <c r="P97" s="292" t="s">
        <v>201</v>
      </c>
      <c r="Q97" s="169">
        <v>80</v>
      </c>
      <c r="R97" s="32">
        <v>154</v>
      </c>
      <c r="S97" s="156">
        <v>560</v>
      </c>
      <c r="T97" s="377" t="s">
        <v>440</v>
      </c>
      <c r="U97" s="265" t="s">
        <v>306</v>
      </c>
      <c r="V97" s="421">
        <v>80</v>
      </c>
      <c r="W97" s="322">
        <v>154</v>
      </c>
      <c r="X97" s="358">
        <v>4</v>
      </c>
      <c r="Y97" s="438">
        <f>IF(ISBLANK(X97), "",INT(V97*X97))</f>
        <v>320</v>
      </c>
      <c r="Z97" s="311">
        <f>IF(ISBLANK(X97),"",INT(Y97*$J97))</f>
        <v>560</v>
      </c>
      <c r="AA97" s="33">
        <v>16</v>
      </c>
      <c r="AB97" s="32">
        <v>80000</v>
      </c>
      <c r="AC97" s="32">
        <v>0</v>
      </c>
      <c r="AD97" s="32">
        <v>0</v>
      </c>
      <c r="AE97" s="32">
        <v>0</v>
      </c>
      <c r="AF97" s="429">
        <v>1152</v>
      </c>
      <c r="AG97" s="421">
        <v>120</v>
      </c>
      <c r="AH97" s="322">
        <v>231</v>
      </c>
      <c r="AI97" s="358">
        <v>4</v>
      </c>
      <c r="AJ97" s="438">
        <f>IF(ISBLANK(AI97), "",INT(AG97*AI97))</f>
        <v>480</v>
      </c>
      <c r="AK97" s="311">
        <f>IF(ISBLANK(AI97),"",INT(AJ97*$J97))</f>
        <v>840</v>
      </c>
      <c r="AL97" s="33">
        <v>4</v>
      </c>
      <c r="AM97" s="52">
        <v>80000</v>
      </c>
      <c r="AN97" s="32">
        <v>0</v>
      </c>
      <c r="AO97" s="32">
        <v>0</v>
      </c>
      <c r="AP97" s="32">
        <v>0</v>
      </c>
      <c r="AQ97" s="360">
        <v>432</v>
      </c>
      <c r="AR97" s="421">
        <v>140</v>
      </c>
      <c r="AS97" s="322">
        <v>269</v>
      </c>
      <c r="AT97" s="358">
        <v>4</v>
      </c>
      <c r="AU97" s="438">
        <f>IF(ISBLANK(AT97), "",INT(AR97*AT97))</f>
        <v>560</v>
      </c>
      <c r="AV97" s="311">
        <f>IF(ISBLANK(AT97),"",INT(AU97*$J97))</f>
        <v>980</v>
      </c>
      <c r="AW97" s="33">
        <v>8</v>
      </c>
      <c r="AX97" s="52">
        <v>120000</v>
      </c>
      <c r="AY97" s="32">
        <v>1</v>
      </c>
      <c r="AZ97" s="32">
        <v>0</v>
      </c>
      <c r="BA97" s="32">
        <v>0</v>
      </c>
      <c r="BB97" s="360">
        <v>1008</v>
      </c>
      <c r="BC97" s="421">
        <v>152</v>
      </c>
      <c r="BD97" s="322">
        <v>292</v>
      </c>
      <c r="BE97" s="358">
        <v>4</v>
      </c>
      <c r="BF97" s="438">
        <f>IF(ISBLANK(BE97), "",INT(BC97*BE97))</f>
        <v>608</v>
      </c>
      <c r="BG97" s="311">
        <f>IF(ISBLANK(BE97),"",INT(BF97*$J97))</f>
        <v>1064</v>
      </c>
      <c r="BH97" s="33">
        <v>12</v>
      </c>
      <c r="BI97" s="52">
        <v>160000</v>
      </c>
      <c r="BJ97" s="32">
        <v>0</v>
      </c>
      <c r="BK97" s="32">
        <v>0</v>
      </c>
      <c r="BL97" s="32">
        <v>0</v>
      </c>
      <c r="BM97" s="360">
        <v>1641</v>
      </c>
      <c r="BN97" s="421">
        <v>160</v>
      </c>
      <c r="BO97" s="322">
        <v>308</v>
      </c>
      <c r="BP97" s="358">
        <v>4</v>
      </c>
      <c r="BQ97" s="337">
        <f>IF(ISBLANK(BP97), "",INT(BN97*BP97))</f>
        <v>640</v>
      </c>
      <c r="BR97" s="422">
        <f>IF(ISBLANK(BP97),"",INT(BQ97*$J97))</f>
        <v>1120</v>
      </c>
      <c r="BS97" s="33">
        <v>16</v>
      </c>
      <c r="BT97" s="52">
        <v>200000</v>
      </c>
      <c r="BU97" s="32">
        <v>0</v>
      </c>
      <c r="BV97" s="32">
        <v>1</v>
      </c>
      <c r="BW97" s="32">
        <v>0</v>
      </c>
      <c r="BX97" s="360">
        <v>2304</v>
      </c>
      <c r="BY97" s="78">
        <v>15</v>
      </c>
      <c r="BZ97" s="339" t="s">
        <v>43</v>
      </c>
      <c r="CA97" s="359"/>
      <c r="CB97" s="306"/>
      <c r="CC97" s="396"/>
      <c r="CD97" s="396"/>
      <c r="CE97" s="396"/>
      <c r="CF97" s="396"/>
      <c r="CG97" s="396"/>
      <c r="CH97" s="396"/>
      <c r="CI97" s="396"/>
      <c r="CJ97" s="396"/>
      <c r="CK97" s="396"/>
      <c r="CL97" s="297"/>
      <c r="CM97" s="259" t="s">
        <v>308</v>
      </c>
      <c r="CN97" s="388">
        <v>14</v>
      </c>
      <c r="CO97" s="465">
        <v>14</v>
      </c>
      <c r="CP97" s="465">
        <v>24</v>
      </c>
      <c r="CQ97" s="335">
        <v>34</v>
      </c>
      <c r="CR97" s="1"/>
      <c r="CS97" s="1"/>
      <c r="CT97" s="1"/>
      <c r="CU97" s="1"/>
      <c r="CV97" s="1"/>
      <c r="CW97" s="2"/>
      <c r="CX97" s="603"/>
    </row>
    <row r="98" spans="1:102">
      <c r="A98" s="472"/>
      <c r="B98" s="29" t="s">
        <v>66</v>
      </c>
      <c r="C98" s="279" t="s">
        <v>14</v>
      </c>
      <c r="D98" s="131"/>
      <c r="E98" s="68" t="s">
        <v>9</v>
      </c>
      <c r="F98" s="30" t="s">
        <v>0</v>
      </c>
      <c r="G98" s="31"/>
      <c r="H98" s="340">
        <v>2</v>
      </c>
      <c r="I98" s="386" t="s">
        <v>268</v>
      </c>
      <c r="J98" s="140">
        <v>2</v>
      </c>
      <c r="K98" s="352">
        <v>0.22500000000000001</v>
      </c>
      <c r="L98" s="397">
        <f>IF(ISBLANK(Q98),"",Q98/R98)</f>
        <v>0.60509554140127386</v>
      </c>
      <c r="M98" s="375">
        <v>30</v>
      </c>
      <c r="N98" s="404">
        <v>32</v>
      </c>
      <c r="O98" s="465" t="s">
        <v>306</v>
      </c>
      <c r="P98" s="292" t="s">
        <v>201</v>
      </c>
      <c r="Q98" s="169">
        <v>95</v>
      </c>
      <c r="R98" s="32">
        <v>157</v>
      </c>
      <c r="S98" s="156">
        <v>760</v>
      </c>
      <c r="T98" s="377" t="s">
        <v>441</v>
      </c>
      <c r="U98" s="265" t="s">
        <v>306</v>
      </c>
      <c r="V98" s="421">
        <v>95</v>
      </c>
      <c r="W98" s="322">
        <v>157</v>
      </c>
      <c r="X98" s="358">
        <v>4</v>
      </c>
      <c r="Y98" s="438">
        <f>IF(ISBLANK(X98), "",INT(V98*X98))</f>
        <v>380</v>
      </c>
      <c r="Z98" s="311">
        <f>IF(ISBLANK(X98),"",INT(Y98*$J98))</f>
        <v>760</v>
      </c>
      <c r="AA98" s="33">
        <v>20</v>
      </c>
      <c r="AB98" s="32">
        <v>120000</v>
      </c>
      <c r="AC98" s="32">
        <v>0</v>
      </c>
      <c r="AD98" s="32">
        <v>0</v>
      </c>
      <c r="AE98" s="32">
        <v>0</v>
      </c>
      <c r="AF98" s="429">
        <v>1710</v>
      </c>
      <c r="AG98" s="421">
        <v>142</v>
      </c>
      <c r="AH98" s="322">
        <v>235</v>
      </c>
      <c r="AI98" s="358">
        <v>4</v>
      </c>
      <c r="AJ98" s="438">
        <f>IF(ISBLANK(AI98), "",INT(AG98*AI98))</f>
        <v>568</v>
      </c>
      <c r="AK98" s="311">
        <f>IF(ISBLANK(AI98),"",INT(AJ98*$J98))</f>
        <v>1136</v>
      </c>
      <c r="AL98" s="33">
        <v>5</v>
      </c>
      <c r="AM98" s="52">
        <v>120000</v>
      </c>
      <c r="AN98" s="32">
        <v>0</v>
      </c>
      <c r="AO98" s="32">
        <v>0</v>
      </c>
      <c r="AP98" s="32">
        <v>0</v>
      </c>
      <c r="AQ98" s="360">
        <v>639</v>
      </c>
      <c r="AR98" s="421">
        <v>166</v>
      </c>
      <c r="AS98" s="322">
        <v>274</v>
      </c>
      <c r="AT98" s="358">
        <v>4</v>
      </c>
      <c r="AU98" s="438">
        <f>IF(ISBLANK(AT98), "",INT(AR98*AT98))</f>
        <v>664</v>
      </c>
      <c r="AV98" s="311">
        <f>IF(ISBLANK(AT98),"",INT(AU98*$J98))</f>
        <v>1328</v>
      </c>
      <c r="AW98" s="33">
        <v>10</v>
      </c>
      <c r="AX98" s="52">
        <v>180000</v>
      </c>
      <c r="AY98" s="32">
        <v>1</v>
      </c>
      <c r="AZ98" s="32">
        <v>0</v>
      </c>
      <c r="BA98" s="32">
        <v>0</v>
      </c>
      <c r="BB98" s="360">
        <v>1494</v>
      </c>
      <c r="BC98" s="421">
        <v>180</v>
      </c>
      <c r="BD98" s="322">
        <v>298</v>
      </c>
      <c r="BE98" s="358">
        <v>4</v>
      </c>
      <c r="BF98" s="438">
        <f>IF(ISBLANK(BE98), "",INT(BC98*BE98))</f>
        <v>720</v>
      </c>
      <c r="BG98" s="311">
        <f>IF(ISBLANK(BE98),"",INT(BF98*$J98))</f>
        <v>1440</v>
      </c>
      <c r="BH98" s="33">
        <v>15</v>
      </c>
      <c r="BI98" s="52">
        <v>240000</v>
      </c>
      <c r="BJ98" s="32">
        <v>0</v>
      </c>
      <c r="BK98" s="32">
        <v>0</v>
      </c>
      <c r="BL98" s="32">
        <v>0</v>
      </c>
      <c r="BM98" s="360">
        <v>2430</v>
      </c>
      <c r="BN98" s="421">
        <v>190</v>
      </c>
      <c r="BO98" s="322">
        <v>314</v>
      </c>
      <c r="BP98" s="358">
        <v>4</v>
      </c>
      <c r="BQ98" s="337">
        <f>IF(ISBLANK(BP98), "",INT(BN98*BP98))</f>
        <v>760</v>
      </c>
      <c r="BR98" s="422">
        <f>IF(ISBLANK(BP98),"",INT(BQ98*$J98))</f>
        <v>1520</v>
      </c>
      <c r="BS98" s="33">
        <v>20</v>
      </c>
      <c r="BT98" s="52">
        <v>300000</v>
      </c>
      <c r="BU98" s="32">
        <v>0</v>
      </c>
      <c r="BV98" s="32">
        <v>1</v>
      </c>
      <c r="BW98" s="32">
        <v>0</v>
      </c>
      <c r="BX98" s="360">
        <v>3420</v>
      </c>
      <c r="BY98" s="78">
        <v>19</v>
      </c>
      <c r="BZ98" s="339" t="s">
        <v>43</v>
      </c>
      <c r="CA98" s="359"/>
      <c r="CB98" s="306"/>
      <c r="CC98" s="396"/>
      <c r="CD98" s="396"/>
      <c r="CE98" s="396"/>
      <c r="CF98" s="396"/>
      <c r="CG98" s="396"/>
      <c r="CH98" s="396"/>
      <c r="CI98" s="396"/>
      <c r="CJ98" s="396"/>
      <c r="CK98" s="396"/>
      <c r="CL98" s="297"/>
      <c r="CM98" s="259" t="s">
        <v>308</v>
      </c>
      <c r="CN98" s="388">
        <v>17</v>
      </c>
      <c r="CO98" s="465">
        <v>17</v>
      </c>
      <c r="CP98" s="465">
        <v>27</v>
      </c>
      <c r="CQ98" s="335">
        <v>37</v>
      </c>
      <c r="CR98" s="1"/>
      <c r="CS98" s="1"/>
      <c r="CT98" s="1"/>
      <c r="CU98" s="1"/>
      <c r="CV98" s="1"/>
      <c r="CW98" s="2"/>
      <c r="CX98" s="603"/>
    </row>
    <row r="99" spans="1:102">
      <c r="A99" s="472"/>
      <c r="B99" s="29" t="s">
        <v>32</v>
      </c>
      <c r="C99" s="279" t="s">
        <v>5</v>
      </c>
      <c r="D99" s="131"/>
      <c r="E99" s="68" t="s">
        <v>0</v>
      </c>
      <c r="F99" s="30"/>
      <c r="G99" s="31"/>
      <c r="H99" s="340">
        <v>3</v>
      </c>
      <c r="I99" s="386" t="s">
        <v>268</v>
      </c>
      <c r="J99" s="140">
        <v>2.25</v>
      </c>
      <c r="K99" s="352">
        <v>0.22500000000000001</v>
      </c>
      <c r="L99" s="397">
        <f>IF(ISBLANK(Q99),"",Q99/R99)</f>
        <v>0.6875</v>
      </c>
      <c r="M99" s="375">
        <v>30</v>
      </c>
      <c r="N99" s="404">
        <v>41</v>
      </c>
      <c r="O99" s="465" t="s">
        <v>306</v>
      </c>
      <c r="P99" s="292" t="s">
        <v>201</v>
      </c>
      <c r="Q99" s="169">
        <v>110</v>
      </c>
      <c r="R99" s="32">
        <v>160</v>
      </c>
      <c r="S99" s="156">
        <v>990</v>
      </c>
      <c r="T99" s="377" t="s">
        <v>442</v>
      </c>
      <c r="U99" s="265" t="s">
        <v>306</v>
      </c>
      <c r="V99" s="421">
        <v>110</v>
      </c>
      <c r="W99" s="322">
        <v>160</v>
      </c>
      <c r="X99" s="358">
        <v>4</v>
      </c>
      <c r="Y99" s="438">
        <f>IF(ISBLANK(X99), "",INT(V99*X99))</f>
        <v>440</v>
      </c>
      <c r="Z99" s="311">
        <f>IF(ISBLANK(X99),"",INT(Y99*$J99))</f>
        <v>990</v>
      </c>
      <c r="AA99" s="33">
        <f>24*3</f>
        <v>72</v>
      </c>
      <c r="AB99" s="32">
        <v>500000</v>
      </c>
      <c r="AC99" s="32">
        <v>0</v>
      </c>
      <c r="AD99" s="32">
        <v>0</v>
      </c>
      <c r="AE99" s="32">
        <v>0</v>
      </c>
      <c r="AF99" s="429">
        <v>7128</v>
      </c>
      <c r="AG99" s="421">
        <v>165</v>
      </c>
      <c r="AH99" s="322">
        <v>240</v>
      </c>
      <c r="AI99" s="358">
        <v>4</v>
      </c>
      <c r="AJ99" s="438">
        <f>IF(ISBLANK(AI99), "",INT(AG99*AI99))</f>
        <v>660</v>
      </c>
      <c r="AK99" s="311">
        <f>IF(ISBLANK(AI99),"",INT(AJ99*$J99))</f>
        <v>1485</v>
      </c>
      <c r="AL99" s="33">
        <v>18</v>
      </c>
      <c r="AM99" s="52">
        <v>500000</v>
      </c>
      <c r="AN99" s="32">
        <v>0</v>
      </c>
      <c r="AO99" s="32">
        <v>0</v>
      </c>
      <c r="AP99" s="32">
        <v>0</v>
      </c>
      <c r="AQ99" s="360">
        <v>2673</v>
      </c>
      <c r="AR99" s="421">
        <v>192</v>
      </c>
      <c r="AS99" s="322">
        <v>280</v>
      </c>
      <c r="AT99" s="358">
        <v>4</v>
      </c>
      <c r="AU99" s="438">
        <f>IF(ISBLANK(AT99), "",INT(AR99*AT99))</f>
        <v>768</v>
      </c>
      <c r="AV99" s="311">
        <f>IF(ISBLANK(AT99),"",INT(AU99*$J99))</f>
        <v>1728</v>
      </c>
      <c r="AW99" s="33">
        <v>36</v>
      </c>
      <c r="AX99" s="52">
        <v>750000</v>
      </c>
      <c r="AY99" s="32">
        <v>1</v>
      </c>
      <c r="AZ99" s="32">
        <v>0</v>
      </c>
      <c r="BA99" s="32">
        <v>0</v>
      </c>
      <c r="BB99" s="360">
        <v>6220</v>
      </c>
      <c r="BC99" s="421">
        <v>209</v>
      </c>
      <c r="BD99" s="322">
        <v>304</v>
      </c>
      <c r="BE99" s="358">
        <v>4</v>
      </c>
      <c r="BF99" s="438">
        <f>IF(ISBLANK(BE99), "",INT(BC99*BE99))</f>
        <v>836</v>
      </c>
      <c r="BG99" s="311">
        <f>IF(ISBLANK(BE99),"",INT(BF99*$J99))</f>
        <v>1881</v>
      </c>
      <c r="BH99" s="33">
        <f>2*24+6</f>
        <v>54</v>
      </c>
      <c r="BI99" s="52">
        <v>1000000</v>
      </c>
      <c r="BJ99" s="32">
        <v>0</v>
      </c>
      <c r="BK99" s="32">
        <v>0</v>
      </c>
      <c r="BL99" s="32">
        <v>0</v>
      </c>
      <c r="BM99" s="360">
        <v>10000</v>
      </c>
      <c r="BN99" s="421">
        <v>220</v>
      </c>
      <c r="BO99" s="322">
        <v>320</v>
      </c>
      <c r="BP99" s="358">
        <v>4</v>
      </c>
      <c r="BQ99" s="337">
        <f>IF(ISBLANK(BP99), "",INT(BN99*BP99))</f>
        <v>880</v>
      </c>
      <c r="BR99" s="422">
        <f>IF(ISBLANK(BP99),"",INT(BQ99*$J99))</f>
        <v>1980</v>
      </c>
      <c r="BS99" s="33">
        <f>3*24</f>
        <v>72</v>
      </c>
      <c r="BT99" s="52">
        <v>1250000</v>
      </c>
      <c r="BU99" s="32">
        <v>0</v>
      </c>
      <c r="BV99" s="32">
        <v>1</v>
      </c>
      <c r="BW99" s="32">
        <v>0</v>
      </c>
      <c r="BX99" s="360">
        <v>10000</v>
      </c>
      <c r="BY99" s="78">
        <v>69</v>
      </c>
      <c r="BZ99" s="339" t="s">
        <v>43</v>
      </c>
      <c r="CA99" s="359"/>
      <c r="CB99" s="306"/>
      <c r="CC99" s="396"/>
      <c r="CD99" s="396"/>
      <c r="CE99" s="396"/>
      <c r="CF99" s="396"/>
      <c r="CG99" s="396"/>
      <c r="CH99" s="396"/>
      <c r="CI99" s="396"/>
      <c r="CJ99" s="396"/>
      <c r="CK99" s="396"/>
      <c r="CL99" s="297"/>
      <c r="CM99" s="259" t="s">
        <v>308</v>
      </c>
      <c r="CN99" s="388">
        <v>25</v>
      </c>
      <c r="CO99" s="465">
        <v>25</v>
      </c>
      <c r="CP99" s="465">
        <v>35</v>
      </c>
      <c r="CQ99" s="335">
        <v>45</v>
      </c>
      <c r="CR99" s="1"/>
      <c r="CS99" s="1"/>
      <c r="CT99" s="1"/>
      <c r="CU99" s="1"/>
      <c r="CV99" s="1"/>
      <c r="CW99" s="2"/>
      <c r="CX99" s="603"/>
    </row>
    <row r="100" spans="1:102">
      <c r="A100" s="472"/>
      <c r="B100" s="29" t="s">
        <v>83</v>
      </c>
      <c r="C100" s="279" t="s">
        <v>77</v>
      </c>
      <c r="D100" s="131"/>
      <c r="E100" s="68" t="s">
        <v>43</v>
      </c>
      <c r="F100" s="30"/>
      <c r="G100" s="31"/>
      <c r="H100" s="340">
        <v>3</v>
      </c>
      <c r="I100" s="386" t="s">
        <v>268</v>
      </c>
      <c r="J100" s="140">
        <v>2.5</v>
      </c>
      <c r="K100" s="352">
        <v>0.22500000000000001</v>
      </c>
      <c r="L100" s="397">
        <f>IF(ISBLANK(Q100),"",Q100/R100)</f>
        <v>0.77160493827160492</v>
      </c>
      <c r="M100" s="375">
        <v>30</v>
      </c>
      <c r="N100" s="404">
        <v>56</v>
      </c>
      <c r="O100" s="465" t="s">
        <v>306</v>
      </c>
      <c r="P100" s="292" t="s">
        <v>201</v>
      </c>
      <c r="Q100" s="169">
        <v>125</v>
      </c>
      <c r="R100" s="32">
        <v>162</v>
      </c>
      <c r="S100" s="156">
        <v>1250</v>
      </c>
      <c r="T100" s="377" t="s">
        <v>443</v>
      </c>
      <c r="U100" s="265" t="s">
        <v>306</v>
      </c>
      <c r="V100" s="421">
        <v>125</v>
      </c>
      <c r="W100" s="322">
        <v>162</v>
      </c>
      <c r="X100" s="358">
        <v>4</v>
      </c>
      <c r="Y100" s="438">
        <f>IF(ISBLANK(X100), "",INT(V100*X100))</f>
        <v>500</v>
      </c>
      <c r="Z100" s="311">
        <f>IF(ISBLANK(X100),"",INT(Y100*$J100))</f>
        <v>1250</v>
      </c>
      <c r="AA100" s="33">
        <f>8*24</f>
        <v>192</v>
      </c>
      <c r="AB100" s="32">
        <v>3000000</v>
      </c>
      <c r="AC100" s="32">
        <v>0</v>
      </c>
      <c r="AD100" s="32">
        <v>0</v>
      </c>
      <c r="AE100" s="32">
        <v>0</v>
      </c>
      <c r="AF100" s="429">
        <v>10000</v>
      </c>
      <c r="AG100" s="421">
        <v>187</v>
      </c>
      <c r="AH100" s="322">
        <v>243</v>
      </c>
      <c r="AI100" s="358">
        <v>4</v>
      </c>
      <c r="AJ100" s="438">
        <f>IF(ISBLANK(AI100), "",INT(AG100*AI100))</f>
        <v>748</v>
      </c>
      <c r="AK100" s="311">
        <f>IF(ISBLANK(AI100),"",INT(AJ100*$J100))</f>
        <v>1870</v>
      </c>
      <c r="AL100" s="33">
        <f>2*24</f>
        <v>48</v>
      </c>
      <c r="AM100" s="52">
        <v>3000000</v>
      </c>
      <c r="AN100" s="32">
        <v>0</v>
      </c>
      <c r="AO100" s="32">
        <v>0</v>
      </c>
      <c r="AP100" s="32">
        <v>0</v>
      </c>
      <c r="AQ100" s="360">
        <v>8078</v>
      </c>
      <c r="AR100" s="421">
        <v>218</v>
      </c>
      <c r="AS100" s="322">
        <v>283</v>
      </c>
      <c r="AT100" s="358">
        <v>4</v>
      </c>
      <c r="AU100" s="438">
        <f>IF(ISBLANK(AT100), "",INT(AR100*AT100))</f>
        <v>872</v>
      </c>
      <c r="AV100" s="311">
        <f>IF(ISBLANK(AT100),"",INT(AU100*$J100))</f>
        <v>2180</v>
      </c>
      <c r="AW100" s="33">
        <f>4*24</f>
        <v>96</v>
      </c>
      <c r="AX100" s="52">
        <v>4500000</v>
      </c>
      <c r="AY100" s="32">
        <v>1</v>
      </c>
      <c r="AZ100" s="32">
        <v>0</v>
      </c>
      <c r="BA100" s="32">
        <v>0</v>
      </c>
      <c r="BB100" s="360">
        <v>10000</v>
      </c>
      <c r="BC100" s="421">
        <v>237</v>
      </c>
      <c r="BD100" s="322">
        <v>307</v>
      </c>
      <c r="BE100" s="358">
        <v>4</v>
      </c>
      <c r="BF100" s="438">
        <f>IF(ISBLANK(BE100), "",INT(BC100*BE100))</f>
        <v>948</v>
      </c>
      <c r="BG100" s="311">
        <f>IF(ISBLANK(BE100),"",INT(BF100*$J100))</f>
        <v>2370</v>
      </c>
      <c r="BH100" s="33">
        <f>6*24</f>
        <v>144</v>
      </c>
      <c r="BI100" s="52">
        <v>6000000</v>
      </c>
      <c r="BJ100" s="32">
        <v>0</v>
      </c>
      <c r="BK100" s="32">
        <v>0</v>
      </c>
      <c r="BL100" s="32">
        <v>0</v>
      </c>
      <c r="BM100" s="360">
        <v>10000</v>
      </c>
      <c r="BN100" s="421">
        <v>250</v>
      </c>
      <c r="BO100" s="322">
        <v>324</v>
      </c>
      <c r="BP100" s="358">
        <v>4</v>
      </c>
      <c r="BQ100" s="337">
        <f>IF(ISBLANK(BP100), "",INT(BN100*BP100))</f>
        <v>1000</v>
      </c>
      <c r="BR100" s="422">
        <f>IF(ISBLANK(BP100),"",INT(BQ100*$J100))</f>
        <v>2500</v>
      </c>
      <c r="BS100" s="33">
        <f>8*24</f>
        <v>192</v>
      </c>
      <c r="BT100" s="52">
        <v>7500000</v>
      </c>
      <c r="BU100" s="32">
        <v>0</v>
      </c>
      <c r="BV100" s="32">
        <v>1</v>
      </c>
      <c r="BW100" s="32">
        <v>0</v>
      </c>
      <c r="BX100" s="360">
        <v>10000</v>
      </c>
      <c r="BY100" s="78">
        <v>183</v>
      </c>
      <c r="BZ100" s="339" t="s">
        <v>43</v>
      </c>
      <c r="CA100" s="359"/>
      <c r="CB100" s="306"/>
      <c r="CC100" s="396"/>
      <c r="CD100" s="396"/>
      <c r="CE100" s="396"/>
      <c r="CF100" s="396"/>
      <c r="CG100" s="396"/>
      <c r="CH100" s="396"/>
      <c r="CI100" s="396"/>
      <c r="CJ100" s="396"/>
      <c r="CK100" s="396"/>
      <c r="CL100" s="297"/>
      <c r="CM100" s="259" t="s">
        <v>308</v>
      </c>
      <c r="CN100" s="388">
        <v>54</v>
      </c>
      <c r="CO100" s="465">
        <v>54</v>
      </c>
      <c r="CP100" s="465">
        <v>64</v>
      </c>
      <c r="CQ100" s="335">
        <v>74</v>
      </c>
      <c r="CR100" s="1"/>
      <c r="CS100" s="1"/>
      <c r="CT100" s="1"/>
      <c r="CU100" s="1"/>
      <c r="CV100" s="1"/>
      <c r="CW100" s="2"/>
      <c r="CX100" s="603"/>
    </row>
    <row r="101" spans="1:102">
      <c r="A101" s="472"/>
      <c r="B101" s="29" t="s">
        <v>63</v>
      </c>
      <c r="C101" s="279" t="s">
        <v>14</v>
      </c>
      <c r="D101" s="131"/>
      <c r="E101" s="68" t="s">
        <v>9</v>
      </c>
      <c r="F101" s="30"/>
      <c r="G101" s="31"/>
      <c r="H101" s="340">
        <v>3</v>
      </c>
      <c r="I101" s="386" t="s">
        <v>283</v>
      </c>
      <c r="J101" s="140">
        <v>1.5</v>
      </c>
      <c r="K101" s="352">
        <v>0.2</v>
      </c>
      <c r="L101" s="397">
        <f t="shared" ref="L101:L168" si="51">IF(ISBLANK(Q101),"",Q101/R101)</f>
        <v>0.4925373134328358</v>
      </c>
      <c r="M101" s="375">
        <v>30</v>
      </c>
      <c r="N101" s="404">
        <v>15</v>
      </c>
      <c r="O101" s="465" t="s">
        <v>306</v>
      </c>
      <c r="P101" s="292" t="s">
        <v>201</v>
      </c>
      <c r="Q101" s="169">
        <v>66</v>
      </c>
      <c r="R101" s="32">
        <v>134</v>
      </c>
      <c r="S101" s="156">
        <v>297</v>
      </c>
      <c r="T101" s="377" t="s">
        <v>444</v>
      </c>
      <c r="U101" s="265" t="s">
        <v>306</v>
      </c>
      <c r="V101" s="421">
        <v>66</v>
      </c>
      <c r="W101" s="322">
        <v>134</v>
      </c>
      <c r="X101" s="358">
        <v>3</v>
      </c>
      <c r="Y101" s="438">
        <f t="shared" si="41"/>
        <v>198</v>
      </c>
      <c r="Z101" s="311">
        <f t="shared" si="42"/>
        <v>297</v>
      </c>
      <c r="AA101" s="33">
        <v>1.5</v>
      </c>
      <c r="AB101" s="32">
        <v>0</v>
      </c>
      <c r="AC101" s="32">
        <v>0</v>
      </c>
      <c r="AD101" s="32">
        <v>0</v>
      </c>
      <c r="AE101" s="32">
        <v>0</v>
      </c>
      <c r="AF101" s="429">
        <v>59</v>
      </c>
      <c r="AG101" s="421">
        <v>99</v>
      </c>
      <c r="AH101" s="322">
        <v>201</v>
      </c>
      <c r="AI101" s="358">
        <v>3</v>
      </c>
      <c r="AJ101" s="438">
        <f t="shared" si="43"/>
        <v>297</v>
      </c>
      <c r="AK101" s="311">
        <f t="shared" si="44"/>
        <v>445</v>
      </c>
      <c r="AL101" s="33">
        <f>25/60</f>
        <v>0.41666666666666669</v>
      </c>
      <c r="AM101" s="52">
        <v>4000</v>
      </c>
      <c r="AN101" s="32">
        <v>0</v>
      </c>
      <c r="AO101" s="32">
        <v>0</v>
      </c>
      <c r="AP101" s="32">
        <v>0</v>
      </c>
      <c r="AQ101" s="360">
        <v>23</v>
      </c>
      <c r="AR101" s="421">
        <v>115</v>
      </c>
      <c r="AS101" s="322">
        <v>234</v>
      </c>
      <c r="AT101" s="358">
        <v>3</v>
      </c>
      <c r="AU101" s="438">
        <f t="shared" si="45"/>
        <v>345</v>
      </c>
      <c r="AV101" s="311">
        <f t="shared" si="46"/>
        <v>517</v>
      </c>
      <c r="AW101" s="33">
        <f>45/60</f>
        <v>0.75</v>
      </c>
      <c r="AX101" s="52">
        <v>6000</v>
      </c>
      <c r="AY101" s="32">
        <v>0</v>
      </c>
      <c r="AZ101" s="32">
        <v>1</v>
      </c>
      <c r="BA101" s="32">
        <v>0</v>
      </c>
      <c r="BB101" s="360">
        <v>51</v>
      </c>
      <c r="BC101" s="421">
        <v>125</v>
      </c>
      <c r="BD101" s="322">
        <v>254</v>
      </c>
      <c r="BE101" s="358">
        <v>3</v>
      </c>
      <c r="BF101" s="438">
        <f t="shared" si="47"/>
        <v>375</v>
      </c>
      <c r="BG101" s="311">
        <f t="shared" si="48"/>
        <v>562</v>
      </c>
      <c r="BH101" s="33">
        <v>2</v>
      </c>
      <c r="BI101" s="52">
        <v>8000</v>
      </c>
      <c r="BJ101" s="32">
        <v>0</v>
      </c>
      <c r="BK101" s="32">
        <v>0</v>
      </c>
      <c r="BL101" s="32">
        <v>0</v>
      </c>
      <c r="BM101" s="360">
        <v>85</v>
      </c>
      <c r="BN101" s="421">
        <v>132</v>
      </c>
      <c r="BO101" s="322">
        <v>268</v>
      </c>
      <c r="BP101" s="358">
        <v>3</v>
      </c>
      <c r="BQ101" s="337">
        <f t="shared" si="49"/>
        <v>396</v>
      </c>
      <c r="BR101" s="422">
        <f t="shared" si="50"/>
        <v>594</v>
      </c>
      <c r="BS101" s="33">
        <v>2</v>
      </c>
      <c r="BT101" s="52">
        <v>10000</v>
      </c>
      <c r="BU101" s="32">
        <v>0</v>
      </c>
      <c r="BV101" s="32">
        <v>0</v>
      </c>
      <c r="BW101" s="32">
        <v>1</v>
      </c>
      <c r="BX101" s="360">
        <v>118</v>
      </c>
      <c r="BY101" s="78">
        <v>2</v>
      </c>
      <c r="BZ101" s="339" t="s">
        <v>43</v>
      </c>
      <c r="CA101" s="359">
        <v>160</v>
      </c>
      <c r="CB101" s="306">
        <v>500</v>
      </c>
      <c r="CC101" s="396">
        <v>2000</v>
      </c>
      <c r="CD101" s="396">
        <v>4000</v>
      </c>
      <c r="CE101" s="396">
        <v>12000</v>
      </c>
      <c r="CF101" s="396">
        <v>24000</v>
      </c>
      <c r="CG101" s="396">
        <v>48000</v>
      </c>
      <c r="CH101" s="396">
        <v>96000</v>
      </c>
      <c r="CI101" s="396">
        <v>192000</v>
      </c>
      <c r="CJ101" s="396">
        <v>384000</v>
      </c>
      <c r="CK101" s="396">
        <v>576000</v>
      </c>
      <c r="CL101" s="297"/>
      <c r="CM101" s="259" t="s">
        <v>43</v>
      </c>
      <c r="CN101" s="388"/>
      <c r="CO101" s="465"/>
      <c r="CP101" s="465"/>
      <c r="CQ101" s="335"/>
      <c r="CR101" s="1"/>
      <c r="CS101" s="1"/>
      <c r="CT101" s="1"/>
      <c r="CU101" s="1"/>
      <c r="CV101" s="1"/>
      <c r="CW101" s="2"/>
      <c r="CX101" s="603"/>
    </row>
    <row r="102" spans="1:102">
      <c r="A102" s="472"/>
      <c r="B102" s="29" t="s">
        <v>89</v>
      </c>
      <c r="C102" s="279" t="s">
        <v>5</v>
      </c>
      <c r="D102" s="131"/>
      <c r="E102" s="68" t="s">
        <v>0</v>
      </c>
      <c r="F102" s="30"/>
      <c r="G102" s="31"/>
      <c r="H102" s="340">
        <v>3</v>
      </c>
      <c r="I102" s="386" t="s">
        <v>283</v>
      </c>
      <c r="J102" s="140">
        <v>1.5</v>
      </c>
      <c r="K102" s="352">
        <v>0.2</v>
      </c>
      <c r="L102" s="397">
        <f t="shared" si="51"/>
        <v>0.50657894736842102</v>
      </c>
      <c r="M102" s="375">
        <v>30</v>
      </c>
      <c r="N102" s="404">
        <v>29</v>
      </c>
      <c r="O102" s="465" t="s">
        <v>306</v>
      </c>
      <c r="P102" s="292" t="s">
        <v>201</v>
      </c>
      <c r="Q102" s="169">
        <v>77</v>
      </c>
      <c r="R102" s="32">
        <v>152</v>
      </c>
      <c r="S102" s="156">
        <v>346</v>
      </c>
      <c r="T102" s="377" t="s">
        <v>954</v>
      </c>
      <c r="U102" s="265" t="s">
        <v>306</v>
      </c>
      <c r="V102" s="421">
        <v>77</v>
      </c>
      <c r="W102" s="322">
        <v>152</v>
      </c>
      <c r="X102" s="358">
        <v>3</v>
      </c>
      <c r="Y102" s="438">
        <f t="shared" si="41"/>
        <v>231</v>
      </c>
      <c r="Z102" s="311">
        <f t="shared" si="42"/>
        <v>346</v>
      </c>
      <c r="AA102" s="33">
        <v>4</v>
      </c>
      <c r="AB102" s="32">
        <v>0</v>
      </c>
      <c r="AC102" s="32">
        <v>0</v>
      </c>
      <c r="AD102" s="32">
        <v>0</v>
      </c>
      <c r="AE102" s="32">
        <v>0</v>
      </c>
      <c r="AF102" s="429">
        <v>184</v>
      </c>
      <c r="AG102" s="421">
        <v>115</v>
      </c>
      <c r="AH102" s="322">
        <v>228</v>
      </c>
      <c r="AI102" s="358">
        <v>3</v>
      </c>
      <c r="AJ102" s="438">
        <f t="shared" si="43"/>
        <v>345</v>
      </c>
      <c r="AK102" s="311">
        <f t="shared" si="44"/>
        <v>517</v>
      </c>
      <c r="AL102" s="33">
        <v>1</v>
      </c>
      <c r="AM102" s="52">
        <v>30000</v>
      </c>
      <c r="AN102" s="32">
        <v>0</v>
      </c>
      <c r="AO102" s="32">
        <v>0</v>
      </c>
      <c r="AP102" s="32">
        <v>0</v>
      </c>
      <c r="AQ102" s="360">
        <v>59</v>
      </c>
      <c r="AR102" s="421">
        <v>134</v>
      </c>
      <c r="AS102" s="322">
        <v>266</v>
      </c>
      <c r="AT102" s="358">
        <v>3</v>
      </c>
      <c r="AU102" s="438">
        <f t="shared" si="45"/>
        <v>402</v>
      </c>
      <c r="AV102" s="311">
        <f t="shared" si="46"/>
        <v>603</v>
      </c>
      <c r="AW102" s="33">
        <v>2</v>
      </c>
      <c r="AX102" s="52">
        <v>40000</v>
      </c>
      <c r="AY102" s="32">
        <v>0</v>
      </c>
      <c r="AZ102" s="32">
        <v>1</v>
      </c>
      <c r="BA102" s="32">
        <v>0</v>
      </c>
      <c r="BB102" s="360">
        <v>160</v>
      </c>
      <c r="BC102" s="421">
        <v>146</v>
      </c>
      <c r="BD102" s="322">
        <v>288</v>
      </c>
      <c r="BE102" s="358">
        <v>3</v>
      </c>
      <c r="BF102" s="438">
        <f t="shared" si="47"/>
        <v>438</v>
      </c>
      <c r="BG102" s="311">
        <f t="shared" si="48"/>
        <v>657</v>
      </c>
      <c r="BH102" s="33">
        <v>3</v>
      </c>
      <c r="BI102" s="52">
        <v>50000</v>
      </c>
      <c r="BJ102" s="32">
        <v>0</v>
      </c>
      <c r="BK102" s="32">
        <v>0</v>
      </c>
      <c r="BL102" s="32">
        <v>0</v>
      </c>
      <c r="BM102" s="360">
        <v>262</v>
      </c>
      <c r="BN102" s="421">
        <v>154</v>
      </c>
      <c r="BO102" s="322">
        <v>304</v>
      </c>
      <c r="BP102" s="358">
        <v>3</v>
      </c>
      <c r="BQ102" s="337">
        <f t="shared" si="49"/>
        <v>462</v>
      </c>
      <c r="BR102" s="422">
        <f t="shared" si="50"/>
        <v>693</v>
      </c>
      <c r="BS102" s="33">
        <v>4</v>
      </c>
      <c r="BT102" s="52">
        <v>60000</v>
      </c>
      <c r="BU102" s="32">
        <v>0</v>
      </c>
      <c r="BV102" s="32">
        <v>0</v>
      </c>
      <c r="BW102" s="32">
        <v>1</v>
      </c>
      <c r="BX102" s="360">
        <v>369</v>
      </c>
      <c r="BY102" s="78">
        <v>4</v>
      </c>
      <c r="BZ102" s="339" t="s">
        <v>43</v>
      </c>
      <c r="CA102" s="359">
        <v>1650</v>
      </c>
      <c r="CB102" s="306">
        <v>5000</v>
      </c>
      <c r="CC102" s="396">
        <v>10000</v>
      </c>
      <c r="CD102" s="396">
        <v>20000</v>
      </c>
      <c r="CE102" s="396">
        <v>40000</v>
      </c>
      <c r="CF102" s="396">
        <v>80000</v>
      </c>
      <c r="CG102" s="396">
        <v>160000</v>
      </c>
      <c r="CH102" s="396">
        <v>320000</v>
      </c>
      <c r="CI102" s="396">
        <v>640000</v>
      </c>
      <c r="CJ102" s="396"/>
      <c r="CK102" s="396"/>
      <c r="CL102" s="297"/>
      <c r="CM102" s="259" t="s">
        <v>43</v>
      </c>
      <c r="CN102" s="388"/>
      <c r="CO102" s="465"/>
      <c r="CP102" s="465"/>
      <c r="CQ102" s="335"/>
      <c r="CR102" s="1"/>
      <c r="CS102" s="1"/>
      <c r="CT102" s="1"/>
      <c r="CU102" s="1"/>
      <c r="CV102" s="1"/>
      <c r="CW102" s="2"/>
      <c r="CX102" s="603"/>
    </row>
    <row r="103" spans="1:102">
      <c r="A103" s="472"/>
      <c r="B103" s="29" t="s">
        <v>76</v>
      </c>
      <c r="C103" s="279" t="s">
        <v>77</v>
      </c>
      <c r="D103" s="131"/>
      <c r="E103" s="68" t="s">
        <v>43</v>
      </c>
      <c r="F103" s="30"/>
      <c r="G103" s="31"/>
      <c r="H103" s="340">
        <v>4</v>
      </c>
      <c r="I103" s="386" t="s">
        <v>283</v>
      </c>
      <c r="J103" s="140">
        <v>2</v>
      </c>
      <c r="K103" s="352">
        <v>0.2</v>
      </c>
      <c r="L103" s="397">
        <f t="shared" si="51"/>
        <v>0.60465116279069764</v>
      </c>
      <c r="M103" s="375">
        <v>30</v>
      </c>
      <c r="N103" s="404">
        <v>35</v>
      </c>
      <c r="O103" s="465" t="s">
        <v>306</v>
      </c>
      <c r="P103" s="292" t="s">
        <v>201</v>
      </c>
      <c r="Q103" s="169">
        <v>104</v>
      </c>
      <c r="R103" s="32">
        <v>172</v>
      </c>
      <c r="S103" s="156">
        <v>832</v>
      </c>
      <c r="T103" s="377" t="s">
        <v>446</v>
      </c>
      <c r="U103" s="265" t="s">
        <v>306</v>
      </c>
      <c r="V103" s="421">
        <v>104</v>
      </c>
      <c r="W103" s="322">
        <v>172</v>
      </c>
      <c r="X103" s="358">
        <v>4</v>
      </c>
      <c r="Y103" s="438">
        <f t="shared" si="41"/>
        <v>416</v>
      </c>
      <c r="Z103" s="311">
        <f t="shared" si="42"/>
        <v>832</v>
      </c>
      <c r="AA103" s="33">
        <v>6</v>
      </c>
      <c r="AB103" s="32">
        <v>0</v>
      </c>
      <c r="AC103" s="32">
        <v>0</v>
      </c>
      <c r="AD103" s="32">
        <v>0</v>
      </c>
      <c r="AE103" s="32">
        <v>0</v>
      </c>
      <c r="AF103" s="429">
        <v>499</v>
      </c>
      <c r="AG103" s="421">
        <v>156</v>
      </c>
      <c r="AH103" s="322">
        <v>258</v>
      </c>
      <c r="AI103" s="358">
        <v>4</v>
      </c>
      <c r="AJ103" s="438">
        <f t="shared" si="43"/>
        <v>624</v>
      </c>
      <c r="AK103" s="311">
        <f t="shared" si="44"/>
        <v>1248</v>
      </c>
      <c r="AL103" s="33">
        <v>2</v>
      </c>
      <c r="AM103" s="52">
        <v>120000</v>
      </c>
      <c r="AN103" s="32">
        <v>0</v>
      </c>
      <c r="AO103" s="32">
        <v>0</v>
      </c>
      <c r="AP103" s="32">
        <v>0</v>
      </c>
      <c r="AQ103" s="360">
        <v>187</v>
      </c>
      <c r="AR103" s="421">
        <v>182</v>
      </c>
      <c r="AS103" s="322">
        <v>301</v>
      </c>
      <c r="AT103" s="358">
        <v>4</v>
      </c>
      <c r="AU103" s="438">
        <f t="shared" si="45"/>
        <v>728</v>
      </c>
      <c r="AV103" s="311">
        <f t="shared" si="46"/>
        <v>1456</v>
      </c>
      <c r="AW103" s="33">
        <v>3</v>
      </c>
      <c r="AX103" s="52">
        <v>180000</v>
      </c>
      <c r="AY103" s="32">
        <v>0</v>
      </c>
      <c r="AZ103" s="32">
        <v>1</v>
      </c>
      <c r="BA103" s="32">
        <v>0</v>
      </c>
      <c r="BB103" s="360">
        <v>436</v>
      </c>
      <c r="BC103" s="421">
        <v>197</v>
      </c>
      <c r="BD103" s="322">
        <v>326</v>
      </c>
      <c r="BE103" s="358">
        <v>4</v>
      </c>
      <c r="BF103" s="438">
        <f t="shared" si="47"/>
        <v>788</v>
      </c>
      <c r="BG103" s="311">
        <f t="shared" si="48"/>
        <v>1576</v>
      </c>
      <c r="BH103" s="33">
        <v>5</v>
      </c>
      <c r="BI103" s="52">
        <v>240000</v>
      </c>
      <c r="BJ103" s="32">
        <v>0</v>
      </c>
      <c r="BK103" s="32">
        <v>0</v>
      </c>
      <c r="BL103" s="32">
        <v>0</v>
      </c>
      <c r="BM103" s="360">
        <v>709</v>
      </c>
      <c r="BN103" s="421">
        <v>208</v>
      </c>
      <c r="BO103" s="322">
        <v>344</v>
      </c>
      <c r="BP103" s="358">
        <v>4</v>
      </c>
      <c r="BQ103" s="337">
        <f t="shared" si="49"/>
        <v>832</v>
      </c>
      <c r="BR103" s="422">
        <f t="shared" si="50"/>
        <v>1664</v>
      </c>
      <c r="BS103" s="33">
        <v>6</v>
      </c>
      <c r="BT103" s="52">
        <v>300000</v>
      </c>
      <c r="BU103" s="32">
        <v>0</v>
      </c>
      <c r="BV103" s="32">
        <v>0</v>
      </c>
      <c r="BW103" s="32">
        <v>1</v>
      </c>
      <c r="BX103" s="360">
        <v>998</v>
      </c>
      <c r="BY103" s="78">
        <v>6</v>
      </c>
      <c r="BZ103" s="339" t="s">
        <v>43</v>
      </c>
      <c r="CA103" s="359">
        <v>6666</v>
      </c>
      <c r="CB103" s="306">
        <v>20000</v>
      </c>
      <c r="CC103" s="396">
        <v>40000</v>
      </c>
      <c r="CD103" s="396">
        <v>80000</v>
      </c>
      <c r="CE103" s="396">
        <v>160000</v>
      </c>
      <c r="CF103" s="396">
        <v>320000</v>
      </c>
      <c r="CG103" s="396">
        <v>640000</v>
      </c>
      <c r="CH103" s="396"/>
      <c r="CI103" s="396"/>
      <c r="CJ103" s="396"/>
      <c r="CK103" s="396"/>
      <c r="CL103" s="297"/>
      <c r="CM103" s="259" t="s">
        <v>43</v>
      </c>
      <c r="CN103" s="388"/>
      <c r="CO103" s="465"/>
      <c r="CP103" s="465"/>
      <c r="CQ103" s="335"/>
      <c r="CR103" s="1"/>
      <c r="CS103" s="1"/>
      <c r="CT103" s="1"/>
      <c r="CU103" s="1"/>
      <c r="CV103" s="1"/>
      <c r="CW103" s="2"/>
      <c r="CX103" s="603"/>
    </row>
    <row r="104" spans="1:102">
      <c r="A104" s="472"/>
      <c r="B104" s="29" t="s">
        <v>96</v>
      </c>
      <c r="C104" s="279" t="s">
        <v>77</v>
      </c>
      <c r="D104" s="131"/>
      <c r="E104" s="68" t="s">
        <v>43</v>
      </c>
      <c r="F104" s="30"/>
      <c r="G104" s="31"/>
      <c r="H104" s="340">
        <v>4</v>
      </c>
      <c r="I104" s="386" t="s">
        <v>283</v>
      </c>
      <c r="J104" s="140">
        <v>2.25</v>
      </c>
      <c r="K104" s="352">
        <v>0.2</v>
      </c>
      <c r="L104" s="397">
        <f t="shared" si="51"/>
        <v>0.6875</v>
      </c>
      <c r="M104" s="375">
        <v>30</v>
      </c>
      <c r="N104" s="404">
        <v>44</v>
      </c>
      <c r="O104" s="465" t="s">
        <v>306</v>
      </c>
      <c r="P104" s="292" t="s">
        <v>201</v>
      </c>
      <c r="Q104" s="169">
        <v>121</v>
      </c>
      <c r="R104" s="32">
        <v>176</v>
      </c>
      <c r="S104" s="156">
        <v>1089</v>
      </c>
      <c r="T104" s="377" t="s">
        <v>447</v>
      </c>
      <c r="U104" s="265" t="s">
        <v>306</v>
      </c>
      <c r="V104" s="421">
        <v>121</v>
      </c>
      <c r="W104" s="322">
        <v>176</v>
      </c>
      <c r="X104" s="358">
        <v>4</v>
      </c>
      <c r="Y104" s="438">
        <f t="shared" si="41"/>
        <v>484</v>
      </c>
      <c r="Z104" s="311">
        <f t="shared" si="42"/>
        <v>1089</v>
      </c>
      <c r="AA104" s="33">
        <v>7</v>
      </c>
      <c r="AB104" s="32">
        <v>0</v>
      </c>
      <c r="AC104" s="32">
        <v>0</v>
      </c>
      <c r="AD104" s="32">
        <v>0</v>
      </c>
      <c r="AE104" s="32">
        <v>0</v>
      </c>
      <c r="AF104" s="429">
        <v>677</v>
      </c>
      <c r="AG104" s="421">
        <v>181</v>
      </c>
      <c r="AH104" s="322">
        <v>264</v>
      </c>
      <c r="AI104" s="358">
        <v>4</v>
      </c>
      <c r="AJ104" s="438">
        <f t="shared" si="43"/>
        <v>724</v>
      </c>
      <c r="AK104" s="311">
        <f t="shared" si="44"/>
        <v>1629</v>
      </c>
      <c r="AL104" s="33">
        <v>2</v>
      </c>
      <c r="AM104" s="52">
        <v>500000</v>
      </c>
      <c r="AN104" s="32">
        <v>0</v>
      </c>
      <c r="AO104" s="32">
        <v>0</v>
      </c>
      <c r="AP104" s="32">
        <v>0</v>
      </c>
      <c r="AQ104" s="360">
        <v>253</v>
      </c>
      <c r="AR104" s="421">
        <v>211</v>
      </c>
      <c r="AS104" s="322">
        <v>308</v>
      </c>
      <c r="AT104" s="358">
        <v>4</v>
      </c>
      <c r="AU104" s="438">
        <f t="shared" si="45"/>
        <v>844</v>
      </c>
      <c r="AV104" s="311">
        <f t="shared" si="46"/>
        <v>1899</v>
      </c>
      <c r="AW104" s="33">
        <v>4</v>
      </c>
      <c r="AX104" s="52">
        <v>750000</v>
      </c>
      <c r="AY104" s="32">
        <v>0</v>
      </c>
      <c r="AZ104" s="32">
        <v>1</v>
      </c>
      <c r="BA104" s="32">
        <v>0</v>
      </c>
      <c r="BB104" s="360">
        <v>590</v>
      </c>
      <c r="BC104" s="421">
        <v>229</v>
      </c>
      <c r="BD104" s="322">
        <v>334</v>
      </c>
      <c r="BE104" s="358">
        <v>4</v>
      </c>
      <c r="BF104" s="438">
        <f t="shared" si="47"/>
        <v>916</v>
      </c>
      <c r="BG104" s="311">
        <f t="shared" si="48"/>
        <v>2061</v>
      </c>
      <c r="BH104" s="33">
        <v>6</v>
      </c>
      <c r="BI104" s="52">
        <v>1000000</v>
      </c>
      <c r="BJ104" s="32">
        <v>0</v>
      </c>
      <c r="BK104" s="32">
        <v>0</v>
      </c>
      <c r="BL104" s="32">
        <v>0</v>
      </c>
      <c r="BM104" s="360">
        <v>961</v>
      </c>
      <c r="BN104" s="421">
        <v>242</v>
      </c>
      <c r="BO104" s="322">
        <v>352</v>
      </c>
      <c r="BP104" s="358">
        <v>4</v>
      </c>
      <c r="BQ104" s="337">
        <f t="shared" si="49"/>
        <v>968</v>
      </c>
      <c r="BR104" s="422">
        <f t="shared" si="50"/>
        <v>2178</v>
      </c>
      <c r="BS104" s="33">
        <v>7</v>
      </c>
      <c r="BT104" s="52">
        <v>1250000</v>
      </c>
      <c r="BU104" s="32">
        <v>0</v>
      </c>
      <c r="BV104" s="32">
        <v>0</v>
      </c>
      <c r="BW104" s="32">
        <v>1</v>
      </c>
      <c r="BX104" s="360">
        <v>1355</v>
      </c>
      <c r="BY104" s="78">
        <v>7</v>
      </c>
      <c r="BZ104" s="339" t="s">
        <v>43</v>
      </c>
      <c r="CA104" s="359">
        <v>10000</v>
      </c>
      <c r="CB104" s="306">
        <v>50000</v>
      </c>
      <c r="CC104" s="396">
        <v>100000</v>
      </c>
      <c r="CD104" s="396">
        <v>200000</v>
      </c>
      <c r="CE104" s="396">
        <v>400000</v>
      </c>
      <c r="CF104" s="396">
        <v>800000</v>
      </c>
      <c r="CG104" s="396"/>
      <c r="CH104" s="396"/>
      <c r="CI104" s="396"/>
      <c r="CJ104" s="396"/>
      <c r="CK104" s="396"/>
      <c r="CL104" s="297"/>
      <c r="CM104" s="259" t="s">
        <v>43</v>
      </c>
      <c r="CN104" s="388"/>
      <c r="CO104" s="465"/>
      <c r="CP104" s="465"/>
      <c r="CQ104" s="335"/>
      <c r="CR104" s="1"/>
      <c r="CS104" s="1"/>
      <c r="CT104" s="1"/>
      <c r="CU104" s="1"/>
      <c r="CV104" s="1"/>
      <c r="CW104" s="2"/>
      <c r="CX104" s="603"/>
    </row>
    <row r="105" spans="1:102">
      <c r="A105" s="472"/>
      <c r="B105" s="29" t="s">
        <v>119</v>
      </c>
      <c r="C105" s="279" t="s">
        <v>77</v>
      </c>
      <c r="D105" s="131"/>
      <c r="E105" s="68" t="s">
        <v>43</v>
      </c>
      <c r="F105" s="30"/>
      <c r="G105" s="31"/>
      <c r="H105" s="340">
        <v>7</v>
      </c>
      <c r="I105" s="386" t="s">
        <v>269</v>
      </c>
      <c r="J105" s="140">
        <v>0.75</v>
      </c>
      <c r="K105" s="352">
        <v>0.22500000000000001</v>
      </c>
      <c r="L105" s="397">
        <f>IF(ISBLANK(Q105),"",Q105/R105)</f>
        <v>0.72222222222222221</v>
      </c>
      <c r="M105" s="375">
        <v>30</v>
      </c>
      <c r="N105" s="404">
        <v>7002</v>
      </c>
      <c r="O105" s="383">
        <v>42184</v>
      </c>
      <c r="P105" s="292" t="s">
        <v>201</v>
      </c>
      <c r="Q105" s="169">
        <v>130</v>
      </c>
      <c r="R105" s="32">
        <v>180</v>
      </c>
      <c r="S105" s="156">
        <v>390</v>
      </c>
      <c r="T105" s="377" t="s">
        <v>448</v>
      </c>
      <c r="U105" s="265" t="s">
        <v>306</v>
      </c>
      <c r="V105" s="421">
        <v>130</v>
      </c>
      <c r="W105" s="322">
        <v>180</v>
      </c>
      <c r="X105" s="358">
        <v>4</v>
      </c>
      <c r="Y105" s="438">
        <f>IF(ISBLANK(X105), "",INT(V105*X105))</f>
        <v>520</v>
      </c>
      <c r="Z105" s="311">
        <f>IF(ISBLANK(X105),"",INT(Y105*$J105))</f>
        <v>390</v>
      </c>
      <c r="AA105" s="33">
        <f>8*24</f>
        <v>192</v>
      </c>
      <c r="AB105" s="32">
        <v>0</v>
      </c>
      <c r="AC105" s="32">
        <v>0</v>
      </c>
      <c r="AD105" s="32">
        <v>0</v>
      </c>
      <c r="AE105" s="32">
        <v>0</v>
      </c>
      <c r="AF105" s="429">
        <v>10000</v>
      </c>
      <c r="AG105" s="421">
        <v>195</v>
      </c>
      <c r="AH105" s="322">
        <v>270</v>
      </c>
      <c r="AI105" s="358">
        <v>4</v>
      </c>
      <c r="AJ105" s="438">
        <f>IF(ISBLANK(AI105), "",INT(AG105*AI105))</f>
        <v>780</v>
      </c>
      <c r="AK105" s="311">
        <f>IF(ISBLANK(AI105),"",INT(AJ105*$J105))</f>
        <v>585</v>
      </c>
      <c r="AL105" s="33">
        <f>2*24</f>
        <v>48</v>
      </c>
      <c r="AM105" s="52">
        <v>830000</v>
      </c>
      <c r="AN105" s="32">
        <v>0</v>
      </c>
      <c r="AO105" s="32">
        <v>0</v>
      </c>
      <c r="AP105" s="32">
        <v>1</v>
      </c>
      <c r="AQ105" s="360">
        <v>10000</v>
      </c>
      <c r="AR105" s="421">
        <v>228</v>
      </c>
      <c r="AS105" s="322">
        <v>315</v>
      </c>
      <c r="AT105" s="358">
        <v>4</v>
      </c>
      <c r="AU105" s="438">
        <f>IF(ISBLANK(AT105), "",INT(AR105*AT105))</f>
        <v>912</v>
      </c>
      <c r="AV105" s="311">
        <f>IF(ISBLANK(AT105),"",INT(AU105*$J105))</f>
        <v>684</v>
      </c>
      <c r="AW105" s="33">
        <f>4*24</f>
        <v>96</v>
      </c>
      <c r="AX105" s="52">
        <v>1300000</v>
      </c>
      <c r="AY105" s="32">
        <v>0</v>
      </c>
      <c r="AZ105" s="32">
        <v>2</v>
      </c>
      <c r="BA105" s="32">
        <v>0</v>
      </c>
      <c r="BB105" s="360">
        <v>10000</v>
      </c>
      <c r="BC105" s="421">
        <v>247</v>
      </c>
      <c r="BD105" s="322">
        <v>342</v>
      </c>
      <c r="BE105" s="358">
        <v>4</v>
      </c>
      <c r="BF105" s="438">
        <f>IF(ISBLANK(BE105), "",INT(BC105*BE105))</f>
        <v>988</v>
      </c>
      <c r="BG105" s="311">
        <f>IF(ISBLANK(BE105),"",INT(BF105*$J105))</f>
        <v>741</v>
      </c>
      <c r="BH105" s="33">
        <f>6*24</f>
        <v>144</v>
      </c>
      <c r="BI105" s="52">
        <v>1700000</v>
      </c>
      <c r="BJ105" s="32">
        <v>0</v>
      </c>
      <c r="BK105" s="32">
        <v>0</v>
      </c>
      <c r="BL105" s="32">
        <v>3</v>
      </c>
      <c r="BM105" s="360">
        <v>10000</v>
      </c>
      <c r="BN105" s="421">
        <v>260</v>
      </c>
      <c r="BO105" s="322">
        <v>360</v>
      </c>
      <c r="BP105" s="358">
        <v>4</v>
      </c>
      <c r="BQ105" s="337">
        <f>IF(ISBLANK(BP105), "",INT(BN105*BP105))</f>
        <v>1040</v>
      </c>
      <c r="BR105" s="422">
        <f>IF(ISBLANK(BP105),"",INT(BQ105*$J105))</f>
        <v>780</v>
      </c>
      <c r="BS105" s="33">
        <f>8*24</f>
        <v>192</v>
      </c>
      <c r="BT105" s="52">
        <v>2100000</v>
      </c>
      <c r="BU105" s="32">
        <v>0</v>
      </c>
      <c r="BV105" s="32">
        <v>0</v>
      </c>
      <c r="BW105" s="32">
        <v>5</v>
      </c>
      <c r="BX105" s="360">
        <v>10000</v>
      </c>
      <c r="BY105" s="78">
        <v>183</v>
      </c>
      <c r="BZ105" s="339" t="s">
        <v>43</v>
      </c>
      <c r="CA105" s="359">
        <v>10000</v>
      </c>
      <c r="CB105" s="306">
        <v>125000</v>
      </c>
      <c r="CC105" s="396">
        <v>250000</v>
      </c>
      <c r="CD105" s="396">
        <v>500000</v>
      </c>
      <c r="CE105" s="396">
        <v>1000000</v>
      </c>
      <c r="CF105" s="396"/>
      <c r="CG105" s="396"/>
      <c r="CH105" s="396"/>
      <c r="CI105" s="396"/>
      <c r="CJ105" s="396"/>
      <c r="CK105" s="396"/>
      <c r="CL105" s="297"/>
      <c r="CM105" s="259" t="s">
        <v>43</v>
      </c>
      <c r="CN105" s="388"/>
      <c r="CO105" s="465"/>
      <c r="CP105" s="465"/>
      <c r="CQ105" s="335"/>
      <c r="CR105" s="1"/>
      <c r="CS105" s="1"/>
      <c r="CT105" s="1"/>
      <c r="CU105" s="1"/>
      <c r="CV105" s="1"/>
      <c r="CW105" s="2"/>
      <c r="CX105" s="603"/>
    </row>
    <row r="106" spans="1:102">
      <c r="A106" s="472"/>
      <c r="B106" s="29" t="s">
        <v>161</v>
      </c>
      <c r="C106" s="279" t="s">
        <v>77</v>
      </c>
      <c r="D106" s="131"/>
      <c r="E106" s="68" t="s">
        <v>43</v>
      </c>
      <c r="F106" s="30"/>
      <c r="G106" s="31"/>
      <c r="H106" s="340">
        <v>7</v>
      </c>
      <c r="I106" s="386" t="s">
        <v>269</v>
      </c>
      <c r="J106" s="140">
        <v>0.75</v>
      </c>
      <c r="K106" s="352">
        <v>0.22500000000000001</v>
      </c>
      <c r="L106" s="397">
        <f>IF(ISBLANK(Q106),"",Q106/R106)</f>
        <v>0.72222222222222221</v>
      </c>
      <c r="M106" s="375">
        <v>30</v>
      </c>
      <c r="N106" s="404">
        <v>7007</v>
      </c>
      <c r="O106" s="383">
        <v>42184</v>
      </c>
      <c r="P106" s="292" t="s">
        <v>201</v>
      </c>
      <c r="Q106" s="169">
        <v>143</v>
      </c>
      <c r="R106" s="32">
        <v>198</v>
      </c>
      <c r="S106" s="156">
        <v>429</v>
      </c>
      <c r="T106" s="377" t="s">
        <v>449</v>
      </c>
      <c r="U106" s="265" t="s">
        <v>306</v>
      </c>
      <c r="V106" s="421">
        <v>143</v>
      </c>
      <c r="W106" s="322">
        <v>198</v>
      </c>
      <c r="X106" s="358">
        <v>4</v>
      </c>
      <c r="Y106" s="438">
        <f>IF(ISBLANK(X106), "",INT(V106*X106))</f>
        <v>572</v>
      </c>
      <c r="Z106" s="311">
        <f>IF(ISBLANK(X106),"",INT(Y106*$J106))</f>
        <v>429</v>
      </c>
      <c r="AA106" s="33">
        <f>9*24</f>
        <v>216</v>
      </c>
      <c r="AB106" s="32">
        <v>0</v>
      </c>
      <c r="AC106" s="32">
        <v>0</v>
      </c>
      <c r="AD106" s="32">
        <v>0</v>
      </c>
      <c r="AE106" s="32">
        <v>0</v>
      </c>
      <c r="AF106" s="429">
        <v>10000</v>
      </c>
      <c r="AG106" s="421">
        <v>215</v>
      </c>
      <c r="AH106" s="322">
        <v>297</v>
      </c>
      <c r="AI106" s="358">
        <v>4</v>
      </c>
      <c r="AJ106" s="438">
        <f>IF(ISBLANK(AI106), "",INT(AG106*AI106))</f>
        <v>860</v>
      </c>
      <c r="AK106" s="311">
        <f>IF(ISBLANK(AI106),"",INT(AJ106*$J106))</f>
        <v>645</v>
      </c>
      <c r="AL106" s="33">
        <f>2*24+6</f>
        <v>54</v>
      </c>
      <c r="AM106" s="52">
        <v>2000000</v>
      </c>
      <c r="AN106" s="32">
        <v>0</v>
      </c>
      <c r="AO106" s="32">
        <v>0</v>
      </c>
      <c r="AP106" s="32">
        <v>1</v>
      </c>
      <c r="AQ106" s="360">
        <v>10000</v>
      </c>
      <c r="AR106" s="421">
        <v>251</v>
      </c>
      <c r="AS106" s="322">
        <v>347</v>
      </c>
      <c r="AT106" s="358">
        <v>4</v>
      </c>
      <c r="AU106" s="438">
        <f>IF(ISBLANK(AT106), "",INT(AR106*AT106))</f>
        <v>1004</v>
      </c>
      <c r="AV106" s="311">
        <f>IF(ISBLANK(AT106),"",INT(AU106*$J106))</f>
        <v>753</v>
      </c>
      <c r="AW106" s="33">
        <f>4*24+12</f>
        <v>108</v>
      </c>
      <c r="AX106" s="52">
        <v>3000000</v>
      </c>
      <c r="AY106" s="32">
        <v>0</v>
      </c>
      <c r="AZ106" s="32">
        <v>0</v>
      </c>
      <c r="BA106" s="32">
        <v>2</v>
      </c>
      <c r="BB106" s="360">
        <v>10000</v>
      </c>
      <c r="BC106" s="421">
        <v>272</v>
      </c>
      <c r="BD106" s="322">
        <v>376</v>
      </c>
      <c r="BE106" s="358">
        <v>4</v>
      </c>
      <c r="BF106" s="438">
        <f>IF(ISBLANK(BE106), "",INT(BC106*BE106))</f>
        <v>1088</v>
      </c>
      <c r="BG106" s="311">
        <f>IF(ISBLANK(BE106),"",INT(BF106*$J106))</f>
        <v>816</v>
      </c>
      <c r="BH106" s="33">
        <f>6*24+18</f>
        <v>162</v>
      </c>
      <c r="BI106" s="52">
        <v>4000000</v>
      </c>
      <c r="BJ106" s="32">
        <v>0</v>
      </c>
      <c r="BK106" s="32">
        <v>0</v>
      </c>
      <c r="BL106" s="32">
        <v>3</v>
      </c>
      <c r="BM106" s="360">
        <v>10000</v>
      </c>
      <c r="BN106" s="421">
        <v>286</v>
      </c>
      <c r="BO106" s="322">
        <v>396</v>
      </c>
      <c r="BP106" s="358">
        <v>4</v>
      </c>
      <c r="BQ106" s="337">
        <f>IF(ISBLANK(BP106), "",INT(BN106*BP106))</f>
        <v>1144</v>
      </c>
      <c r="BR106" s="422">
        <f>IF(ISBLANK(BP106),"",INT(BQ106*$J106))</f>
        <v>858</v>
      </c>
      <c r="BS106" s="33">
        <f>9*24</f>
        <v>216</v>
      </c>
      <c r="BT106" s="52">
        <v>5000000</v>
      </c>
      <c r="BU106" s="32">
        <v>0</v>
      </c>
      <c r="BV106" s="32">
        <v>0</v>
      </c>
      <c r="BW106" s="32">
        <v>5</v>
      </c>
      <c r="BX106" s="360">
        <v>10000</v>
      </c>
      <c r="BY106" s="78">
        <v>206</v>
      </c>
      <c r="BZ106" s="339" t="s">
        <v>43</v>
      </c>
      <c r="CA106" s="359">
        <v>10000</v>
      </c>
      <c r="CB106" s="306">
        <v>300000</v>
      </c>
      <c r="CC106" s="396">
        <v>600000</v>
      </c>
      <c r="CD106" s="396"/>
      <c r="CE106" s="396"/>
      <c r="CF106" s="396"/>
      <c r="CG106" s="396"/>
      <c r="CH106" s="396"/>
      <c r="CI106" s="396"/>
      <c r="CJ106" s="396"/>
      <c r="CK106" s="396"/>
      <c r="CL106" s="297"/>
      <c r="CM106" s="259" t="s">
        <v>43</v>
      </c>
      <c r="CN106" s="388"/>
      <c r="CO106" s="465"/>
      <c r="CP106" s="465"/>
      <c r="CQ106" s="335"/>
      <c r="CR106" s="1"/>
      <c r="CS106" s="1"/>
      <c r="CT106" s="1"/>
      <c r="CU106" s="1"/>
      <c r="CV106" s="1"/>
      <c r="CW106" s="2"/>
      <c r="CX106" s="603"/>
    </row>
    <row r="107" spans="1:102">
      <c r="A107" s="472"/>
      <c r="B107" s="29" t="s">
        <v>214</v>
      </c>
      <c r="C107" s="279" t="s">
        <v>77</v>
      </c>
      <c r="D107" s="131"/>
      <c r="E107" s="68" t="s">
        <v>43</v>
      </c>
      <c r="F107" s="30" t="s">
        <v>43</v>
      </c>
      <c r="G107" s="31"/>
      <c r="H107" s="340">
        <v>7</v>
      </c>
      <c r="I107" s="386" t="s">
        <v>269</v>
      </c>
      <c r="J107" s="140">
        <v>3</v>
      </c>
      <c r="K107" s="352">
        <v>0.2</v>
      </c>
      <c r="L107" s="397">
        <f>IF(ISBLANK(Q107),"",Q107/R107)</f>
        <v>3.0750000000000002</v>
      </c>
      <c r="M107" s="375">
        <v>30</v>
      </c>
      <c r="N107" s="404">
        <v>7011</v>
      </c>
      <c r="O107" s="383">
        <v>42348</v>
      </c>
      <c r="P107" s="292" t="s">
        <v>206</v>
      </c>
      <c r="Q107" s="281">
        <v>1230</v>
      </c>
      <c r="R107" s="432">
        <v>400</v>
      </c>
      <c r="S107" s="241">
        <v>7380</v>
      </c>
      <c r="T107" s="377" t="s">
        <v>450</v>
      </c>
      <c r="U107" s="265" t="s">
        <v>306</v>
      </c>
      <c r="V107" s="421">
        <v>410</v>
      </c>
      <c r="W107" s="322">
        <v>134</v>
      </c>
      <c r="X107" s="358">
        <v>6</v>
      </c>
      <c r="Y107" s="438">
        <f>IF(ISBLANK(X107), "",INT(V107*X107))</f>
        <v>2460</v>
      </c>
      <c r="Z107" s="311">
        <f>IF(ISBLANK(X107),"",INT(Y107*$J107))</f>
        <v>7380</v>
      </c>
      <c r="AA107" s="33">
        <v>6</v>
      </c>
      <c r="AB107" s="32">
        <v>0</v>
      </c>
      <c r="AC107" s="32">
        <v>0</v>
      </c>
      <c r="AD107" s="32">
        <v>0</v>
      </c>
      <c r="AE107" s="32">
        <v>0</v>
      </c>
      <c r="AF107" s="429">
        <v>10000</v>
      </c>
      <c r="AG107" s="421">
        <v>513</v>
      </c>
      <c r="AH107" s="322">
        <v>167</v>
      </c>
      <c r="AI107" s="358">
        <v>6</v>
      </c>
      <c r="AJ107" s="438">
        <f>IF(ISBLANK(AI107), "",INT(AG107*AI107))</f>
        <v>3078</v>
      </c>
      <c r="AK107" s="311">
        <f>IF(ISBLANK(AI107),"",INT(AJ107*$J107))</f>
        <v>9234</v>
      </c>
      <c r="AL107" s="33">
        <f>2*24</f>
        <v>48</v>
      </c>
      <c r="AM107" s="52">
        <v>2720000</v>
      </c>
      <c r="AN107" s="32">
        <v>0</v>
      </c>
      <c r="AO107" s="32">
        <v>0</v>
      </c>
      <c r="AP107" s="32">
        <v>3</v>
      </c>
      <c r="AQ107" s="1027">
        <v>10000</v>
      </c>
      <c r="AR107" s="390">
        <v>615</v>
      </c>
      <c r="AS107" s="257">
        <v>200</v>
      </c>
      <c r="AT107" s="250">
        <v>6</v>
      </c>
      <c r="AU107" s="337">
        <f>IF(ISBLANK(AT107), "",INT(AR107*AT107))</f>
        <v>3690</v>
      </c>
      <c r="AV107" s="422">
        <f>IF(ISBLANK(AT107),"",INT(AU107*$J107))</f>
        <v>11070</v>
      </c>
      <c r="AW107" s="1151">
        <f>4*24</f>
        <v>96</v>
      </c>
      <c r="AX107" s="1152">
        <f>2720000*1.5</f>
        <v>4080000</v>
      </c>
      <c r="AY107" s="1153">
        <v>0</v>
      </c>
      <c r="AZ107" s="1153">
        <v>0</v>
      </c>
      <c r="BA107" s="1153">
        <v>5</v>
      </c>
      <c r="BB107" s="325">
        <v>10000</v>
      </c>
      <c r="BC107" s="287">
        <v>820</v>
      </c>
      <c r="BD107" s="273">
        <v>267</v>
      </c>
      <c r="BE107" s="299">
        <v>6</v>
      </c>
      <c r="BF107" s="403">
        <f>IF(ISBLANK(BE107), "",INT(BC107*BE107))</f>
        <v>4920</v>
      </c>
      <c r="BG107" s="245">
        <f>IF(ISBLANK(BE107),"",INT(BF107*$J107))</f>
        <v>14760</v>
      </c>
      <c r="BH107" s="33"/>
      <c r="BI107" s="52"/>
      <c r="BJ107" s="32"/>
      <c r="BK107" s="32"/>
      <c r="BL107" s="32"/>
      <c r="BM107" s="325">
        <v>10000</v>
      </c>
      <c r="BN107" s="287">
        <v>1230</v>
      </c>
      <c r="BO107" s="273">
        <v>400</v>
      </c>
      <c r="BP107" s="299">
        <v>6</v>
      </c>
      <c r="BQ107" s="403">
        <f>IF(ISBLANK(BP107), "",INT(BN107*BP107))</f>
        <v>7380</v>
      </c>
      <c r="BR107" s="245">
        <f>IF(ISBLANK(BP107),"",INT(BQ107*$J107))</f>
        <v>22140</v>
      </c>
      <c r="BS107" s="33"/>
      <c r="BT107" s="52"/>
      <c r="BU107" s="32"/>
      <c r="BV107" s="32"/>
      <c r="BW107" s="32"/>
      <c r="BX107" s="325">
        <v>10000</v>
      </c>
      <c r="BY107" s="78"/>
      <c r="BZ107" s="339"/>
      <c r="CA107" s="359">
        <v>10000</v>
      </c>
      <c r="CB107" s="306">
        <v>1000000</v>
      </c>
      <c r="CC107" s="396"/>
      <c r="CD107" s="396"/>
      <c r="CE107" s="396"/>
      <c r="CF107" s="396"/>
      <c r="CG107" s="396"/>
      <c r="CH107" s="396"/>
      <c r="CI107" s="396"/>
      <c r="CJ107" s="396"/>
      <c r="CK107" s="396"/>
      <c r="CL107" s="297"/>
      <c r="CM107" s="259" t="s">
        <v>43</v>
      </c>
      <c r="CN107" s="388"/>
      <c r="CO107" s="465"/>
      <c r="CP107" s="465"/>
      <c r="CQ107" s="335"/>
      <c r="CR107" s="1"/>
      <c r="CS107" s="1"/>
      <c r="CT107" s="1"/>
      <c r="CU107" s="1"/>
      <c r="CV107" s="1"/>
      <c r="CW107" s="2"/>
      <c r="CX107" s="603"/>
    </row>
    <row r="108" spans="1:102">
      <c r="A108" s="472"/>
      <c r="B108" s="29" t="s">
        <v>258</v>
      </c>
      <c r="C108" s="279" t="s">
        <v>77</v>
      </c>
      <c r="D108" s="131"/>
      <c r="E108" s="68" t="s">
        <v>43</v>
      </c>
      <c r="F108" s="30"/>
      <c r="G108" s="31"/>
      <c r="H108" s="340">
        <v>7</v>
      </c>
      <c r="I108" s="386" t="s">
        <v>269</v>
      </c>
      <c r="J108" s="140">
        <v>3</v>
      </c>
      <c r="K108" s="328">
        <v>0.2</v>
      </c>
      <c r="L108" s="397">
        <f>IF(ISBLANK(Q108),"",Q108/R108)</f>
        <v>3.1004901960784315</v>
      </c>
      <c r="M108" s="375">
        <v>30</v>
      </c>
      <c r="N108" s="401">
        <v>7016</v>
      </c>
      <c r="O108" s="383">
        <v>42384</v>
      </c>
      <c r="P108" s="292" t="s">
        <v>206</v>
      </c>
      <c r="Q108" s="169">
        <v>1265</v>
      </c>
      <c r="R108" s="32">
        <v>408</v>
      </c>
      <c r="S108" s="156">
        <v>22770</v>
      </c>
      <c r="T108" s="377" t="s">
        <v>451</v>
      </c>
      <c r="U108" s="265" t="s">
        <v>306</v>
      </c>
      <c r="V108" s="421">
        <v>422</v>
      </c>
      <c r="W108" s="322">
        <v>136</v>
      </c>
      <c r="X108" s="358">
        <v>6</v>
      </c>
      <c r="Y108" s="438">
        <f>IF(ISBLANK(X108), "",INT(V108*X108))</f>
        <v>2532</v>
      </c>
      <c r="Z108" s="311">
        <f>IF(ISBLANK(X108),"",INT(Y108*$J108))</f>
        <v>7596</v>
      </c>
      <c r="AA108" s="33">
        <v>6</v>
      </c>
      <c r="AB108" s="32">
        <v>0</v>
      </c>
      <c r="AC108" s="32">
        <v>0</v>
      </c>
      <c r="AD108" s="32">
        <v>0</v>
      </c>
      <c r="AE108" s="32">
        <v>0</v>
      </c>
      <c r="AF108" s="286">
        <v>10000</v>
      </c>
      <c r="AG108" s="287">
        <v>528</v>
      </c>
      <c r="AH108" s="273">
        <v>170</v>
      </c>
      <c r="AI108" s="358">
        <v>6</v>
      </c>
      <c r="AJ108" s="403">
        <f>IF(ISBLANK(AI108), "",INT(AG108*AI108))</f>
        <v>3168</v>
      </c>
      <c r="AK108" s="245">
        <f>IF(ISBLANK(AI108),"",INT(AJ108*$J108))</f>
        <v>9504</v>
      </c>
      <c r="AL108" s="33"/>
      <c r="AM108" s="52"/>
      <c r="AN108" s="32"/>
      <c r="AO108" s="32"/>
      <c r="AP108" s="32"/>
      <c r="AQ108" s="325">
        <v>10000</v>
      </c>
      <c r="AR108" s="287">
        <v>633</v>
      </c>
      <c r="AS108" s="273">
        <v>204</v>
      </c>
      <c r="AT108" s="358">
        <v>6</v>
      </c>
      <c r="AU108" s="403">
        <f>IF(ISBLANK(AT108), "",INT(AR108*AT108))</f>
        <v>3798</v>
      </c>
      <c r="AV108" s="245">
        <f>IF(ISBLANK(AT108),"",INT(AU108*$J108))</f>
        <v>11394</v>
      </c>
      <c r="AW108" s="33"/>
      <c r="AX108" s="52"/>
      <c r="AY108" s="32"/>
      <c r="AZ108" s="32"/>
      <c r="BA108" s="32"/>
      <c r="BB108" s="325">
        <v>10000</v>
      </c>
      <c r="BC108" s="287">
        <v>844</v>
      </c>
      <c r="BD108" s="273">
        <v>272</v>
      </c>
      <c r="BE108" s="358">
        <v>6</v>
      </c>
      <c r="BF108" s="403">
        <f>IF(ISBLANK(BE108), "",INT(BC108*BE108))</f>
        <v>5064</v>
      </c>
      <c r="BG108" s="245">
        <f>IF(ISBLANK(BE108),"",INT(BF108*$J108))</f>
        <v>15192</v>
      </c>
      <c r="BH108" s="33"/>
      <c r="BI108" s="52"/>
      <c r="BJ108" s="32"/>
      <c r="BK108" s="32"/>
      <c r="BL108" s="32"/>
      <c r="BM108" s="325">
        <v>10000</v>
      </c>
      <c r="BN108" s="421">
        <v>1265</v>
      </c>
      <c r="BO108" s="322">
        <v>408</v>
      </c>
      <c r="BP108" s="358">
        <v>6</v>
      </c>
      <c r="BQ108" s="337">
        <f>IF(ISBLANK(BP108), "",INT(BN108*BP108))</f>
        <v>7590</v>
      </c>
      <c r="BR108" s="422">
        <f>IF(ISBLANK(BP108),"",INT(BQ108*$J108))</f>
        <v>22770</v>
      </c>
      <c r="BS108" s="33"/>
      <c r="BT108" s="52"/>
      <c r="BU108" s="32"/>
      <c r="BV108" s="32"/>
      <c r="BW108" s="32"/>
      <c r="BX108" s="325">
        <v>10000</v>
      </c>
      <c r="BY108" s="78"/>
      <c r="BZ108" s="339"/>
      <c r="CA108" s="359">
        <v>10000</v>
      </c>
      <c r="CB108" s="306">
        <v>1500000</v>
      </c>
      <c r="CC108" s="396"/>
      <c r="CD108" s="396"/>
      <c r="CE108" s="396"/>
      <c r="CF108" s="396"/>
      <c r="CG108" s="396"/>
      <c r="CH108" s="396"/>
      <c r="CI108" s="396"/>
      <c r="CJ108" s="396"/>
      <c r="CK108" s="396"/>
      <c r="CL108" s="297"/>
      <c r="CM108" s="259" t="s">
        <v>43</v>
      </c>
      <c r="CN108" s="388"/>
      <c r="CO108" s="465"/>
      <c r="CP108" s="465"/>
      <c r="CQ108" s="335"/>
      <c r="CR108" s="1"/>
      <c r="CS108" s="1"/>
      <c r="CT108" s="1"/>
      <c r="CU108" s="1"/>
      <c r="CV108" s="1"/>
      <c r="CW108" s="2"/>
      <c r="CX108" s="603"/>
    </row>
    <row r="109" spans="1:102" s="1132" customFormat="1">
      <c r="A109" s="472"/>
      <c r="B109" s="1124" t="s">
        <v>953</v>
      </c>
      <c r="C109" s="279" t="s">
        <v>77</v>
      </c>
      <c r="D109" s="131"/>
      <c r="E109" s="468" t="s">
        <v>43</v>
      </c>
      <c r="F109" s="447"/>
      <c r="G109" s="448"/>
      <c r="H109" s="340">
        <v>7</v>
      </c>
      <c r="I109" s="386" t="s">
        <v>269</v>
      </c>
      <c r="J109" s="140">
        <v>3</v>
      </c>
      <c r="K109" s="328">
        <v>0.2</v>
      </c>
      <c r="L109" s="397">
        <f>IF(ISBLANK(Q109),"",Q109/R109)</f>
        <v>3.125</v>
      </c>
      <c r="M109" s="375">
        <v>30</v>
      </c>
      <c r="N109" s="401">
        <v>7021</v>
      </c>
      <c r="O109" s="383">
        <v>42415</v>
      </c>
      <c r="P109" s="292" t="s">
        <v>206</v>
      </c>
      <c r="Q109" s="169">
        <v>1300</v>
      </c>
      <c r="R109" s="449">
        <v>416</v>
      </c>
      <c r="S109" s="156">
        <v>23400</v>
      </c>
      <c r="T109" s="377" t="s">
        <v>956</v>
      </c>
      <c r="U109" s="265" t="s">
        <v>951</v>
      </c>
      <c r="V109" s="287">
        <v>434</v>
      </c>
      <c r="W109" s="273">
        <v>139</v>
      </c>
      <c r="X109" s="299">
        <v>6</v>
      </c>
      <c r="Y109" s="403">
        <f>IF(ISBLANK(X109), "",INT(V109*X109))</f>
        <v>2604</v>
      </c>
      <c r="Z109" s="245">
        <f>IF(ISBLANK(X109),"",INT(Y109*$J109))</f>
        <v>7812</v>
      </c>
      <c r="AA109" s="450"/>
      <c r="AB109" s="449"/>
      <c r="AC109" s="449"/>
      <c r="AD109" s="449"/>
      <c r="AE109" s="449"/>
      <c r="AF109" s="286">
        <v>10000</v>
      </c>
      <c r="AG109" s="287">
        <v>542</v>
      </c>
      <c r="AH109" s="273">
        <v>174</v>
      </c>
      <c r="AI109" s="299">
        <v>6</v>
      </c>
      <c r="AJ109" s="403">
        <f>IF(ISBLANK(AI109), "",INT(AG109*AI109))</f>
        <v>3252</v>
      </c>
      <c r="AK109" s="245">
        <f>IF(ISBLANK(AI109),"",INT(AJ109*$J109))</f>
        <v>9756</v>
      </c>
      <c r="AL109" s="450"/>
      <c r="AM109" s="463"/>
      <c r="AN109" s="449"/>
      <c r="AO109" s="449"/>
      <c r="AP109" s="449"/>
      <c r="AQ109" s="325">
        <v>10000</v>
      </c>
      <c r="AR109" s="287">
        <v>650</v>
      </c>
      <c r="AS109" s="273">
        <v>208</v>
      </c>
      <c r="AT109" s="299">
        <v>6</v>
      </c>
      <c r="AU109" s="403">
        <f>IF(ISBLANK(AT109), "",INT(AR109*AT109))</f>
        <v>3900</v>
      </c>
      <c r="AV109" s="245">
        <f>IF(ISBLANK(AT109),"",INT(AU109*$J109))</f>
        <v>11700</v>
      </c>
      <c r="AW109" s="450"/>
      <c r="AX109" s="463"/>
      <c r="AY109" s="449"/>
      <c r="AZ109" s="449"/>
      <c r="BA109" s="449"/>
      <c r="BB109" s="325">
        <v>10000</v>
      </c>
      <c r="BC109" s="287">
        <v>867</v>
      </c>
      <c r="BD109" s="273">
        <v>278</v>
      </c>
      <c r="BE109" s="299">
        <v>6</v>
      </c>
      <c r="BF109" s="403">
        <f>IF(ISBLANK(BE109), "",INT(BC109*BE109))</f>
        <v>5202</v>
      </c>
      <c r="BG109" s="245">
        <f>IF(ISBLANK(BE109),"",INT(BF109*$J109))</f>
        <v>15606</v>
      </c>
      <c r="BH109" s="450"/>
      <c r="BI109" s="463"/>
      <c r="BJ109" s="449"/>
      <c r="BK109" s="449"/>
      <c r="BL109" s="449"/>
      <c r="BM109" s="325">
        <v>10000</v>
      </c>
      <c r="BN109" s="390">
        <v>1300</v>
      </c>
      <c r="BO109" s="257">
        <v>416</v>
      </c>
      <c r="BP109" s="250">
        <v>6</v>
      </c>
      <c r="BQ109" s="337">
        <f>IF(ISBLANK(BP109), "",INT(BN109*BP109))</f>
        <v>7800</v>
      </c>
      <c r="BR109" s="422">
        <f>IF(ISBLANK(BP109),"",INT(BQ109*$J109))</f>
        <v>23400</v>
      </c>
      <c r="BS109" s="450"/>
      <c r="BT109" s="463"/>
      <c r="BU109" s="449"/>
      <c r="BV109" s="449"/>
      <c r="BW109" s="449"/>
      <c r="BX109" s="325">
        <v>10000</v>
      </c>
      <c r="BY109" s="471"/>
      <c r="BZ109" s="339"/>
      <c r="CA109" s="359">
        <v>10000</v>
      </c>
      <c r="CB109" s="306">
        <v>2000000</v>
      </c>
      <c r="CC109" s="396"/>
      <c r="CD109" s="396"/>
      <c r="CE109" s="396"/>
      <c r="CF109" s="396"/>
      <c r="CG109" s="396"/>
      <c r="CH109" s="396"/>
      <c r="CI109" s="396"/>
      <c r="CJ109" s="396"/>
      <c r="CK109" s="396"/>
      <c r="CL109" s="297"/>
      <c r="CM109" s="259" t="s">
        <v>43</v>
      </c>
      <c r="CN109" s="388"/>
      <c r="CO109" s="465"/>
      <c r="CP109" s="465"/>
      <c r="CQ109" s="335"/>
      <c r="CR109" s="1"/>
      <c r="CS109" s="1"/>
      <c r="CT109" s="1"/>
      <c r="CU109" s="1"/>
      <c r="CV109" s="1"/>
      <c r="CW109" s="2"/>
      <c r="CX109" s="603"/>
    </row>
    <row r="110" spans="1:102">
      <c r="A110" s="472"/>
      <c r="B110" s="29" t="s">
        <v>111</v>
      </c>
      <c r="C110" s="279" t="s">
        <v>77</v>
      </c>
      <c r="D110" s="131"/>
      <c r="E110" s="68" t="s">
        <v>43</v>
      </c>
      <c r="F110" s="30"/>
      <c r="G110" s="31"/>
      <c r="H110" s="340">
        <v>5</v>
      </c>
      <c r="I110" s="386" t="s">
        <v>282</v>
      </c>
      <c r="J110" s="140">
        <v>3</v>
      </c>
      <c r="K110" s="352">
        <v>0.2</v>
      </c>
      <c r="L110" s="397">
        <f t="shared" si="51"/>
        <v>0.74712643678160917</v>
      </c>
      <c r="M110" s="375">
        <v>100</v>
      </c>
      <c r="N110" s="404">
        <v>76</v>
      </c>
      <c r="O110" s="383">
        <v>42186</v>
      </c>
      <c r="P110" s="292" t="s">
        <v>201</v>
      </c>
      <c r="Q110" s="169">
        <v>130</v>
      </c>
      <c r="R110" s="32">
        <v>174</v>
      </c>
      <c r="S110" s="156">
        <v>1560</v>
      </c>
      <c r="T110" s="377" t="s">
        <v>452</v>
      </c>
      <c r="U110" s="265" t="s">
        <v>678</v>
      </c>
      <c r="V110" s="421">
        <v>130</v>
      </c>
      <c r="W110" s="322">
        <v>174</v>
      </c>
      <c r="X110" s="358">
        <v>4</v>
      </c>
      <c r="Y110" s="438">
        <f t="shared" si="41"/>
        <v>520</v>
      </c>
      <c r="Z110" s="311">
        <f t="shared" si="42"/>
        <v>1560</v>
      </c>
      <c r="AA110" s="33">
        <v>12</v>
      </c>
      <c r="AB110" s="32">
        <v>0</v>
      </c>
      <c r="AC110" s="32">
        <v>0</v>
      </c>
      <c r="AD110" s="32">
        <v>0</v>
      </c>
      <c r="AE110" s="32">
        <v>0</v>
      </c>
      <c r="AF110" s="429">
        <v>1248</v>
      </c>
      <c r="AG110" s="421">
        <v>195</v>
      </c>
      <c r="AH110" s="322">
        <v>261</v>
      </c>
      <c r="AI110" s="358">
        <v>4</v>
      </c>
      <c r="AJ110" s="438">
        <f t="shared" si="43"/>
        <v>780</v>
      </c>
      <c r="AK110" s="311">
        <f t="shared" si="44"/>
        <v>2340</v>
      </c>
      <c r="AL110" s="33">
        <v>5</v>
      </c>
      <c r="AM110" s="52">
        <v>240000</v>
      </c>
      <c r="AN110" s="32">
        <v>0</v>
      </c>
      <c r="AO110" s="32">
        <v>0</v>
      </c>
      <c r="AP110" s="32">
        <v>0</v>
      </c>
      <c r="AQ110" s="360">
        <v>780</v>
      </c>
      <c r="AR110" s="421">
        <v>227</v>
      </c>
      <c r="AS110" s="322">
        <v>304</v>
      </c>
      <c r="AT110" s="358">
        <v>4</v>
      </c>
      <c r="AU110" s="438">
        <f t="shared" si="45"/>
        <v>908</v>
      </c>
      <c r="AV110" s="311">
        <f t="shared" si="46"/>
        <v>2724</v>
      </c>
      <c r="AW110" s="33">
        <v>7</v>
      </c>
      <c r="AX110" s="52">
        <v>360000</v>
      </c>
      <c r="AY110" s="32">
        <v>0</v>
      </c>
      <c r="AZ110" s="32">
        <v>1</v>
      </c>
      <c r="BA110" s="32">
        <v>0</v>
      </c>
      <c r="BB110" s="360">
        <v>1271</v>
      </c>
      <c r="BC110" s="421">
        <v>246</v>
      </c>
      <c r="BD110" s="322">
        <v>330</v>
      </c>
      <c r="BE110" s="358">
        <v>4</v>
      </c>
      <c r="BF110" s="438">
        <f t="shared" si="47"/>
        <v>984</v>
      </c>
      <c r="BG110" s="311">
        <f t="shared" si="48"/>
        <v>2952</v>
      </c>
      <c r="BH110" s="33">
        <v>10</v>
      </c>
      <c r="BI110" s="52">
        <v>480000</v>
      </c>
      <c r="BJ110" s="32">
        <v>0</v>
      </c>
      <c r="BK110" s="32">
        <v>0</v>
      </c>
      <c r="BL110" s="32">
        <v>0</v>
      </c>
      <c r="BM110" s="360">
        <v>1968</v>
      </c>
      <c r="BN110" s="421">
        <v>260</v>
      </c>
      <c r="BO110" s="322">
        <v>348</v>
      </c>
      <c r="BP110" s="358">
        <v>4</v>
      </c>
      <c r="BQ110" s="337">
        <f t="shared" si="49"/>
        <v>1040</v>
      </c>
      <c r="BR110" s="422">
        <f t="shared" si="50"/>
        <v>3120</v>
      </c>
      <c r="BS110" s="33">
        <v>12</v>
      </c>
      <c r="BT110" s="52">
        <v>600000</v>
      </c>
      <c r="BU110" s="32">
        <v>0</v>
      </c>
      <c r="BV110" s="32">
        <v>0</v>
      </c>
      <c r="BW110" s="32">
        <v>1</v>
      </c>
      <c r="BX110" s="360">
        <v>2496</v>
      </c>
      <c r="BY110" s="78">
        <v>13</v>
      </c>
      <c r="BZ110" s="339" t="s">
        <v>43</v>
      </c>
      <c r="CA110" s="359">
        <v>3330</v>
      </c>
      <c r="CB110" s="306">
        <v>10000</v>
      </c>
      <c r="CC110" s="396">
        <v>20000</v>
      </c>
      <c r="CD110" s="396">
        <v>40000</v>
      </c>
      <c r="CE110" s="396">
        <v>80000</v>
      </c>
      <c r="CF110" s="396">
        <v>160000</v>
      </c>
      <c r="CG110" s="396">
        <v>320000</v>
      </c>
      <c r="CH110" s="396">
        <v>640000</v>
      </c>
      <c r="CI110" s="396"/>
      <c r="CJ110" s="396"/>
      <c r="CK110" s="396"/>
      <c r="CL110" s="297"/>
      <c r="CM110" s="259" t="s">
        <v>43</v>
      </c>
      <c r="CN110" s="388"/>
      <c r="CO110" s="465"/>
      <c r="CP110" s="465"/>
      <c r="CQ110" s="335"/>
      <c r="CR110" s="1"/>
      <c r="CS110" s="1"/>
      <c r="CT110" s="1"/>
      <c r="CU110" s="1"/>
      <c r="CV110" s="1"/>
      <c r="CW110" s="2"/>
      <c r="CX110" s="603"/>
    </row>
    <row r="111" spans="1:102">
      <c r="A111" s="472"/>
      <c r="B111" s="29" t="s">
        <v>129</v>
      </c>
      <c r="C111" s="279" t="s">
        <v>77</v>
      </c>
      <c r="D111" s="131"/>
      <c r="E111" s="68"/>
      <c r="F111" s="30"/>
      <c r="G111" s="31" t="s">
        <v>127</v>
      </c>
      <c r="H111" s="340">
        <v>6</v>
      </c>
      <c r="I111" s="386" t="s">
        <v>282</v>
      </c>
      <c r="J111" s="140">
        <v>6</v>
      </c>
      <c r="K111" s="352">
        <v>0.22500000000000001</v>
      </c>
      <c r="L111" s="397">
        <f t="shared" si="51"/>
        <v>0.94786729857819907</v>
      </c>
      <c r="M111" s="375">
        <v>100</v>
      </c>
      <c r="N111" s="404">
        <v>79</v>
      </c>
      <c r="O111" s="383">
        <v>42217</v>
      </c>
      <c r="P111" s="292" t="s">
        <v>201</v>
      </c>
      <c r="Q111" s="169">
        <v>200</v>
      </c>
      <c r="R111" s="32">
        <v>211</v>
      </c>
      <c r="S111" s="156">
        <v>6000</v>
      </c>
      <c r="T111" s="377" t="s">
        <v>453</v>
      </c>
      <c r="U111" s="265" t="s">
        <v>434</v>
      </c>
      <c r="V111" s="421">
        <v>200</v>
      </c>
      <c r="W111" s="322">
        <v>211</v>
      </c>
      <c r="X111" s="358">
        <v>5</v>
      </c>
      <c r="Y111" s="438">
        <f t="shared" si="41"/>
        <v>1000</v>
      </c>
      <c r="Z111" s="311">
        <f t="shared" si="42"/>
        <v>6000</v>
      </c>
      <c r="AA111" s="33">
        <v>18</v>
      </c>
      <c r="AB111" s="32">
        <v>0</v>
      </c>
      <c r="AC111" s="32">
        <v>0</v>
      </c>
      <c r="AD111" s="32">
        <v>0</v>
      </c>
      <c r="AE111" s="32">
        <v>0</v>
      </c>
      <c r="AF111" s="429">
        <v>4050</v>
      </c>
      <c r="AG111" s="421">
        <v>300</v>
      </c>
      <c r="AH111" s="322">
        <v>316</v>
      </c>
      <c r="AI111" s="358">
        <v>5</v>
      </c>
      <c r="AJ111" s="438">
        <f t="shared" si="43"/>
        <v>1500</v>
      </c>
      <c r="AK111" s="311">
        <f t="shared" si="44"/>
        <v>9000</v>
      </c>
      <c r="AL111" s="33">
        <v>7.5</v>
      </c>
      <c r="AM111" s="52">
        <v>1000000</v>
      </c>
      <c r="AN111" s="32">
        <v>0</v>
      </c>
      <c r="AO111" s="32">
        <v>0</v>
      </c>
      <c r="AP111" s="32">
        <v>0</v>
      </c>
      <c r="AQ111" s="360">
        <v>2531</v>
      </c>
      <c r="AR111" s="421">
        <v>350</v>
      </c>
      <c r="AS111" s="322">
        <v>370</v>
      </c>
      <c r="AT111" s="358">
        <v>5</v>
      </c>
      <c r="AU111" s="438">
        <f t="shared" si="45"/>
        <v>1750</v>
      </c>
      <c r="AV111" s="311">
        <f t="shared" si="46"/>
        <v>10500</v>
      </c>
      <c r="AW111" s="33">
        <v>10.5</v>
      </c>
      <c r="AX111" s="52">
        <v>1500000</v>
      </c>
      <c r="AY111" s="32">
        <v>0</v>
      </c>
      <c r="AZ111" s="32">
        <v>1</v>
      </c>
      <c r="BA111" s="32">
        <v>0</v>
      </c>
      <c r="BB111" s="360">
        <v>4134</v>
      </c>
      <c r="BC111" s="421">
        <v>380</v>
      </c>
      <c r="BD111" s="322">
        <v>401</v>
      </c>
      <c r="BE111" s="358">
        <v>5</v>
      </c>
      <c r="BF111" s="438">
        <f t="shared" si="47"/>
        <v>1900</v>
      </c>
      <c r="BG111" s="311">
        <f t="shared" si="48"/>
        <v>11400</v>
      </c>
      <c r="BH111" s="33">
        <v>15</v>
      </c>
      <c r="BI111" s="52">
        <v>2000000</v>
      </c>
      <c r="BJ111" s="32">
        <v>0</v>
      </c>
      <c r="BK111" s="32">
        <v>0</v>
      </c>
      <c r="BL111" s="32">
        <v>0</v>
      </c>
      <c r="BM111" s="360">
        <v>6412</v>
      </c>
      <c r="BN111" s="421">
        <v>400</v>
      </c>
      <c r="BO111" s="322">
        <v>422</v>
      </c>
      <c r="BP111" s="358">
        <v>5</v>
      </c>
      <c r="BQ111" s="337">
        <f t="shared" si="49"/>
        <v>2000</v>
      </c>
      <c r="BR111" s="422">
        <f t="shared" si="50"/>
        <v>12000</v>
      </c>
      <c r="BS111" s="33">
        <v>18</v>
      </c>
      <c r="BT111" s="52">
        <v>2500000</v>
      </c>
      <c r="BU111" s="32">
        <v>0</v>
      </c>
      <c r="BV111" s="32">
        <v>0</v>
      </c>
      <c r="BW111" s="32">
        <v>1</v>
      </c>
      <c r="BX111" s="360">
        <v>8100</v>
      </c>
      <c r="BY111" s="78">
        <v>19</v>
      </c>
      <c r="BZ111" s="339" t="s">
        <v>43</v>
      </c>
      <c r="CA111" s="359">
        <v>10000</v>
      </c>
      <c r="CB111" s="306">
        <v>50000</v>
      </c>
      <c r="CC111" s="396">
        <v>100000</v>
      </c>
      <c r="CD111" s="396">
        <v>200000</v>
      </c>
      <c r="CE111" s="396">
        <v>400000</v>
      </c>
      <c r="CF111" s="396">
        <v>800000</v>
      </c>
      <c r="CG111" s="396"/>
      <c r="CH111" s="396"/>
      <c r="CI111" s="396"/>
      <c r="CJ111" s="396"/>
      <c r="CK111" s="396"/>
      <c r="CL111" s="297"/>
      <c r="CM111" s="259" t="s">
        <v>43</v>
      </c>
      <c r="CN111" s="388"/>
      <c r="CO111" s="465"/>
      <c r="CP111" s="465"/>
      <c r="CQ111" s="335"/>
      <c r="CR111" s="1"/>
      <c r="CS111" s="1"/>
      <c r="CT111" s="1"/>
      <c r="CU111" s="1"/>
      <c r="CV111" s="1"/>
      <c r="CW111" s="2"/>
      <c r="CX111" s="603"/>
    </row>
    <row r="112" spans="1:102">
      <c r="A112" s="472"/>
      <c r="B112" s="29" t="s">
        <v>154</v>
      </c>
      <c r="C112" s="279" t="s">
        <v>77</v>
      </c>
      <c r="D112" s="131"/>
      <c r="E112" s="68" t="s">
        <v>43</v>
      </c>
      <c r="F112" s="30"/>
      <c r="G112" s="31"/>
      <c r="H112" s="340">
        <v>5</v>
      </c>
      <c r="I112" s="386" t="s">
        <v>282</v>
      </c>
      <c r="J112" s="140">
        <v>9</v>
      </c>
      <c r="K112" s="352">
        <v>0.2</v>
      </c>
      <c r="L112" s="397">
        <f t="shared" si="51"/>
        <v>0.97560975609756095</v>
      </c>
      <c r="M112" s="375">
        <v>100</v>
      </c>
      <c r="N112" s="404">
        <v>85</v>
      </c>
      <c r="O112" s="383">
        <v>42265</v>
      </c>
      <c r="P112" s="292" t="s">
        <v>201</v>
      </c>
      <c r="Q112" s="169">
        <v>200</v>
      </c>
      <c r="R112" s="32">
        <v>205</v>
      </c>
      <c r="S112" s="156">
        <v>7200</v>
      </c>
      <c r="T112" s="377" t="s">
        <v>454</v>
      </c>
      <c r="U112" s="265" t="s">
        <v>680</v>
      </c>
      <c r="V112" s="421">
        <v>200</v>
      </c>
      <c r="W112" s="322">
        <v>205</v>
      </c>
      <c r="X112" s="358">
        <v>4</v>
      </c>
      <c r="Y112" s="438">
        <f t="shared" si="41"/>
        <v>800</v>
      </c>
      <c r="Z112" s="311">
        <f t="shared" si="42"/>
        <v>7200</v>
      </c>
      <c r="AA112" s="33">
        <v>15</v>
      </c>
      <c r="AB112" s="32">
        <v>0</v>
      </c>
      <c r="AC112" s="32">
        <v>0</v>
      </c>
      <c r="AD112" s="32">
        <v>0</v>
      </c>
      <c r="AE112" s="32">
        <v>0</v>
      </c>
      <c r="AF112" s="429">
        <v>2400</v>
      </c>
      <c r="AG112" s="421">
        <v>300</v>
      </c>
      <c r="AH112" s="322">
        <v>307</v>
      </c>
      <c r="AI112" s="358">
        <v>4</v>
      </c>
      <c r="AJ112" s="438">
        <f t="shared" si="43"/>
        <v>1200</v>
      </c>
      <c r="AK112" s="311">
        <f t="shared" si="44"/>
        <v>10800</v>
      </c>
      <c r="AL112" s="33">
        <v>4</v>
      </c>
      <c r="AM112" s="52">
        <v>960000</v>
      </c>
      <c r="AN112" s="32">
        <v>0</v>
      </c>
      <c r="AO112" s="32">
        <v>1</v>
      </c>
      <c r="AP112" s="32">
        <v>0</v>
      </c>
      <c r="AQ112" s="360">
        <v>960</v>
      </c>
      <c r="AR112" s="421">
        <v>350</v>
      </c>
      <c r="AS112" s="322">
        <v>357</v>
      </c>
      <c r="AT112" s="358">
        <v>4</v>
      </c>
      <c r="AU112" s="438">
        <f t="shared" si="45"/>
        <v>1400</v>
      </c>
      <c r="AV112" s="311">
        <f t="shared" si="46"/>
        <v>12600</v>
      </c>
      <c r="AW112" s="33">
        <v>8</v>
      </c>
      <c r="AX112" s="52">
        <v>1440000</v>
      </c>
      <c r="AY112" s="32">
        <v>0</v>
      </c>
      <c r="AZ112" s="32">
        <v>2</v>
      </c>
      <c r="BA112" s="32">
        <v>0</v>
      </c>
      <c r="BB112" s="360">
        <v>2240</v>
      </c>
      <c r="BC112" s="421">
        <v>380</v>
      </c>
      <c r="BD112" s="322">
        <v>389</v>
      </c>
      <c r="BE112" s="358">
        <v>4</v>
      </c>
      <c r="BF112" s="438">
        <f t="shared" si="47"/>
        <v>1520</v>
      </c>
      <c r="BG112" s="311">
        <f t="shared" si="48"/>
        <v>13680</v>
      </c>
      <c r="BH112" s="33">
        <v>12</v>
      </c>
      <c r="BI112" s="52">
        <v>1920000</v>
      </c>
      <c r="BJ112" s="32">
        <v>0</v>
      </c>
      <c r="BK112" s="32">
        <v>0</v>
      </c>
      <c r="BL112" s="32">
        <v>1</v>
      </c>
      <c r="BM112" s="360">
        <v>3648</v>
      </c>
      <c r="BN112" s="421">
        <v>400</v>
      </c>
      <c r="BO112" s="322">
        <v>410</v>
      </c>
      <c r="BP112" s="358">
        <v>5</v>
      </c>
      <c r="BQ112" s="337">
        <f t="shared" si="49"/>
        <v>2000</v>
      </c>
      <c r="BR112" s="422">
        <f t="shared" si="50"/>
        <v>18000</v>
      </c>
      <c r="BS112" s="33">
        <v>15</v>
      </c>
      <c r="BT112" s="52">
        <v>2400000</v>
      </c>
      <c r="BU112" s="32">
        <v>0</v>
      </c>
      <c r="BV112" s="32">
        <v>0</v>
      </c>
      <c r="BW112" s="32">
        <v>2</v>
      </c>
      <c r="BX112" s="360">
        <v>6000</v>
      </c>
      <c r="BY112" s="78">
        <v>15</v>
      </c>
      <c r="BZ112" s="339" t="s">
        <v>43</v>
      </c>
      <c r="CA112" s="359">
        <v>10000</v>
      </c>
      <c r="CB112" s="306">
        <v>35000</v>
      </c>
      <c r="CC112" s="396">
        <v>70000</v>
      </c>
      <c r="CD112" s="396">
        <v>140000</v>
      </c>
      <c r="CE112" s="396">
        <v>280000</v>
      </c>
      <c r="CF112" s="396">
        <v>560000</v>
      </c>
      <c r="CG112" s="396"/>
      <c r="CH112" s="396"/>
      <c r="CI112" s="396"/>
      <c r="CJ112" s="396"/>
      <c r="CK112" s="396"/>
      <c r="CL112" s="297"/>
      <c r="CM112" s="259" t="s">
        <v>43</v>
      </c>
      <c r="CN112" s="388"/>
      <c r="CO112" s="465"/>
      <c r="CP112" s="465"/>
      <c r="CQ112" s="335"/>
      <c r="CR112" s="1"/>
      <c r="CS112" s="1"/>
      <c r="CT112" s="1"/>
      <c r="CU112" s="1"/>
      <c r="CV112" s="1"/>
      <c r="CW112" s="2"/>
      <c r="CX112" s="603"/>
    </row>
    <row r="113" spans="1:102">
      <c r="A113" s="472"/>
      <c r="B113" s="29" t="s">
        <v>134</v>
      </c>
      <c r="C113" s="279" t="s">
        <v>77</v>
      </c>
      <c r="D113" s="131"/>
      <c r="E113" s="68" t="s">
        <v>43</v>
      </c>
      <c r="F113" s="30" t="s">
        <v>0</v>
      </c>
      <c r="G113" s="31"/>
      <c r="H113" s="340">
        <v>6</v>
      </c>
      <c r="I113" s="386" t="s">
        <v>270</v>
      </c>
      <c r="J113" s="140">
        <v>4</v>
      </c>
      <c r="K113" s="352">
        <v>0.2</v>
      </c>
      <c r="L113" s="397">
        <f t="shared" si="51"/>
        <v>1</v>
      </c>
      <c r="M113" s="375">
        <v>30</v>
      </c>
      <c r="N113" s="404">
        <v>81</v>
      </c>
      <c r="O113" s="383">
        <v>42231</v>
      </c>
      <c r="P113" s="292" t="s">
        <v>201</v>
      </c>
      <c r="Q113" s="169">
        <v>250</v>
      </c>
      <c r="R113" s="32">
        <v>250</v>
      </c>
      <c r="S113" s="156">
        <v>6000</v>
      </c>
      <c r="T113" s="377" t="s">
        <v>455</v>
      </c>
      <c r="U113" s="265" t="s">
        <v>682</v>
      </c>
      <c r="V113" s="421">
        <v>250</v>
      </c>
      <c r="W113" s="322">
        <v>250</v>
      </c>
      <c r="X113" s="358">
        <v>6</v>
      </c>
      <c r="Y113" s="438">
        <f t="shared" si="41"/>
        <v>1500</v>
      </c>
      <c r="Z113" s="311">
        <f t="shared" si="42"/>
        <v>6000</v>
      </c>
      <c r="AA113" s="33">
        <f>6*24</f>
        <v>144</v>
      </c>
      <c r="AB113" s="32">
        <v>0</v>
      </c>
      <c r="AC113" s="32">
        <v>0</v>
      </c>
      <c r="AD113" s="32">
        <v>0</v>
      </c>
      <c r="AE113" s="32">
        <v>0</v>
      </c>
      <c r="AF113" s="429">
        <v>10000</v>
      </c>
      <c r="AG113" s="421">
        <v>375</v>
      </c>
      <c r="AH113" s="322">
        <v>375</v>
      </c>
      <c r="AI113" s="358">
        <v>6</v>
      </c>
      <c r="AJ113" s="438">
        <f t="shared" si="43"/>
        <v>2250</v>
      </c>
      <c r="AK113" s="311">
        <f t="shared" si="44"/>
        <v>9000</v>
      </c>
      <c r="AL113" s="33">
        <f>1*24+16</f>
        <v>40</v>
      </c>
      <c r="AM113" s="52">
        <v>3400000</v>
      </c>
      <c r="AN113" s="32">
        <v>0</v>
      </c>
      <c r="AO113" s="32">
        <v>5</v>
      </c>
      <c r="AP113" s="32">
        <v>0</v>
      </c>
      <c r="AQ113" s="360">
        <v>10000</v>
      </c>
      <c r="AR113" s="421">
        <v>437</v>
      </c>
      <c r="AS113" s="322">
        <v>437</v>
      </c>
      <c r="AT113" s="358">
        <v>6</v>
      </c>
      <c r="AU113" s="438">
        <f t="shared" si="45"/>
        <v>2622</v>
      </c>
      <c r="AV113" s="311">
        <f t="shared" si="46"/>
        <v>10488</v>
      </c>
      <c r="AW113" s="33">
        <f>3*24</f>
        <v>72</v>
      </c>
      <c r="AX113" s="52">
        <v>5100000</v>
      </c>
      <c r="AY113" s="32">
        <v>0</v>
      </c>
      <c r="AZ113" s="32">
        <v>10</v>
      </c>
      <c r="BA113" s="32">
        <v>0</v>
      </c>
      <c r="BB113" s="360">
        <v>10000</v>
      </c>
      <c r="BC113" s="421">
        <v>475</v>
      </c>
      <c r="BD113" s="322">
        <v>475</v>
      </c>
      <c r="BE113" s="358">
        <v>6</v>
      </c>
      <c r="BF113" s="438">
        <f t="shared" si="47"/>
        <v>2850</v>
      </c>
      <c r="BG113" s="311">
        <f t="shared" si="48"/>
        <v>11400</v>
      </c>
      <c r="BH113" s="33">
        <f>4*24+22</f>
        <v>118</v>
      </c>
      <c r="BI113" s="52">
        <v>6800000</v>
      </c>
      <c r="BJ113" s="32">
        <v>0</v>
      </c>
      <c r="BK113" s="32">
        <v>0</v>
      </c>
      <c r="BL113" s="32">
        <v>5</v>
      </c>
      <c r="BM113" s="360">
        <v>10000</v>
      </c>
      <c r="BN113" s="421">
        <v>500</v>
      </c>
      <c r="BO113" s="322">
        <v>500</v>
      </c>
      <c r="BP113" s="358">
        <v>7</v>
      </c>
      <c r="BQ113" s="337">
        <f t="shared" si="49"/>
        <v>3500</v>
      </c>
      <c r="BR113" s="422">
        <f t="shared" si="50"/>
        <v>14000</v>
      </c>
      <c r="BS113" s="33">
        <f>6*24</f>
        <v>144</v>
      </c>
      <c r="BT113" s="52">
        <v>8500000</v>
      </c>
      <c r="BU113" s="32">
        <v>0</v>
      </c>
      <c r="BV113" s="32">
        <v>0</v>
      </c>
      <c r="BW113" s="32">
        <v>10</v>
      </c>
      <c r="BX113" s="360">
        <v>10000</v>
      </c>
      <c r="BY113" s="78">
        <v>141</v>
      </c>
      <c r="BZ113" s="339" t="s">
        <v>43</v>
      </c>
      <c r="CA113" s="359">
        <v>10000</v>
      </c>
      <c r="CB113" s="306">
        <v>120000</v>
      </c>
      <c r="CC113" s="396">
        <v>240000</v>
      </c>
      <c r="CD113" s="396">
        <v>480000</v>
      </c>
      <c r="CE113" s="396">
        <v>960000</v>
      </c>
      <c r="CF113" s="396"/>
      <c r="CG113" s="396"/>
      <c r="CH113" s="396"/>
      <c r="CI113" s="396"/>
      <c r="CJ113" s="396"/>
      <c r="CK113" s="396"/>
      <c r="CL113" s="297"/>
      <c r="CM113" s="259" t="s">
        <v>43</v>
      </c>
      <c r="CN113" s="388"/>
      <c r="CO113" s="465"/>
      <c r="CP113" s="465"/>
      <c r="CQ113" s="335"/>
      <c r="CR113" s="1"/>
      <c r="CS113" s="1"/>
      <c r="CT113" s="1"/>
      <c r="CU113" s="1"/>
      <c r="CV113" s="1"/>
      <c r="CW113" s="2"/>
      <c r="CX113" s="603"/>
    </row>
    <row r="114" spans="1:102">
      <c r="A114" s="472"/>
      <c r="B114" s="29" t="s">
        <v>151</v>
      </c>
      <c r="C114" s="279" t="s">
        <v>77</v>
      </c>
      <c r="D114" s="131"/>
      <c r="E114" s="68" t="s">
        <v>43</v>
      </c>
      <c r="F114" s="30"/>
      <c r="G114" s="31"/>
      <c r="H114" s="340">
        <v>6</v>
      </c>
      <c r="I114" s="386" t="s">
        <v>270</v>
      </c>
      <c r="J114" s="140">
        <v>7</v>
      </c>
      <c r="K114" s="352">
        <v>0.2</v>
      </c>
      <c r="L114" s="397">
        <f t="shared" si="51"/>
        <v>1.4285714285714286</v>
      </c>
      <c r="M114" s="375">
        <v>30</v>
      </c>
      <c r="N114" s="404">
        <v>6005</v>
      </c>
      <c r="O114" s="383">
        <v>42259</v>
      </c>
      <c r="P114" s="292" t="s">
        <v>201</v>
      </c>
      <c r="Q114" s="169">
        <v>500</v>
      </c>
      <c r="R114" s="32">
        <v>350</v>
      </c>
      <c r="S114" s="156">
        <v>17500</v>
      </c>
      <c r="T114" s="377" t="s">
        <v>456</v>
      </c>
      <c r="U114" s="265" t="s">
        <v>684</v>
      </c>
      <c r="V114" s="421">
        <v>500</v>
      </c>
      <c r="W114" s="322">
        <v>350</v>
      </c>
      <c r="X114" s="358">
        <v>5</v>
      </c>
      <c r="Y114" s="438">
        <f t="shared" si="41"/>
        <v>2500</v>
      </c>
      <c r="Z114" s="311">
        <f t="shared" si="42"/>
        <v>17500</v>
      </c>
      <c r="AA114" s="33">
        <v>6</v>
      </c>
      <c r="AB114" s="32">
        <v>0</v>
      </c>
      <c r="AC114" s="32">
        <v>0</v>
      </c>
      <c r="AD114" s="32">
        <v>0</v>
      </c>
      <c r="AE114" s="32">
        <v>0</v>
      </c>
      <c r="AF114" s="429">
        <v>10000</v>
      </c>
      <c r="AG114" s="421">
        <v>750</v>
      </c>
      <c r="AH114" s="322">
        <v>525</v>
      </c>
      <c r="AI114" s="358">
        <v>5</v>
      </c>
      <c r="AJ114" s="438">
        <f t="shared" si="43"/>
        <v>3750</v>
      </c>
      <c r="AK114" s="311">
        <f t="shared" si="44"/>
        <v>26250</v>
      </c>
      <c r="AL114" s="33">
        <v>22</v>
      </c>
      <c r="AM114" s="52">
        <v>2200000</v>
      </c>
      <c r="AN114" s="32">
        <v>0</v>
      </c>
      <c r="AO114" s="32">
        <v>1</v>
      </c>
      <c r="AP114" s="32">
        <v>0</v>
      </c>
      <c r="AQ114" s="360">
        <v>10000</v>
      </c>
      <c r="AR114" s="421">
        <v>873</v>
      </c>
      <c r="AS114" s="322">
        <v>610</v>
      </c>
      <c r="AT114" s="358">
        <v>5</v>
      </c>
      <c r="AU114" s="438">
        <f t="shared" si="45"/>
        <v>4365</v>
      </c>
      <c r="AV114" s="311">
        <f t="shared" si="46"/>
        <v>30555</v>
      </c>
      <c r="AW114" s="33">
        <f>2*24+4</f>
        <v>52</v>
      </c>
      <c r="AX114" s="52">
        <v>3200000</v>
      </c>
      <c r="AY114" s="32">
        <v>0</v>
      </c>
      <c r="AZ114" s="32">
        <v>3</v>
      </c>
      <c r="BA114" s="32">
        <v>0</v>
      </c>
      <c r="BB114" s="360">
        <v>10000</v>
      </c>
      <c r="BC114" s="421">
        <v>950</v>
      </c>
      <c r="BD114" s="322">
        <v>665</v>
      </c>
      <c r="BE114" s="358">
        <v>5</v>
      </c>
      <c r="BF114" s="438">
        <f t="shared" si="47"/>
        <v>4750</v>
      </c>
      <c r="BG114" s="311">
        <f t="shared" si="48"/>
        <v>33250</v>
      </c>
      <c r="BH114" s="33">
        <f>4*24+4</f>
        <v>100</v>
      </c>
      <c r="BI114" s="52">
        <v>4200000</v>
      </c>
      <c r="BJ114" s="32">
        <v>0</v>
      </c>
      <c r="BK114" s="32">
        <v>5</v>
      </c>
      <c r="BL114" s="32">
        <v>0</v>
      </c>
      <c r="BM114" s="360">
        <v>10000</v>
      </c>
      <c r="BN114" s="421">
        <v>1000</v>
      </c>
      <c r="BO114" s="322">
        <v>700</v>
      </c>
      <c r="BP114" s="358">
        <v>5</v>
      </c>
      <c r="BQ114" s="337">
        <f t="shared" si="49"/>
        <v>5000</v>
      </c>
      <c r="BR114" s="422">
        <f t="shared" si="50"/>
        <v>35000</v>
      </c>
      <c r="BS114" s="33">
        <f>7*24+4</f>
        <v>172</v>
      </c>
      <c r="BT114" s="52">
        <v>5200000</v>
      </c>
      <c r="BU114" s="32">
        <v>0</v>
      </c>
      <c r="BV114" s="32">
        <v>10</v>
      </c>
      <c r="BW114" s="32">
        <v>0</v>
      </c>
      <c r="BX114" s="360">
        <v>10000</v>
      </c>
      <c r="BY114" s="78">
        <v>96</v>
      </c>
      <c r="BZ114" s="339" t="s">
        <v>43</v>
      </c>
      <c r="CA114" s="359">
        <v>10000</v>
      </c>
      <c r="CB114" s="306">
        <v>130000</v>
      </c>
      <c r="CC114" s="396">
        <v>260000</v>
      </c>
      <c r="CD114" s="396">
        <v>520000</v>
      </c>
      <c r="CE114" s="396"/>
      <c r="CF114" s="396"/>
      <c r="CG114" s="396"/>
      <c r="CH114" s="396"/>
      <c r="CI114" s="396"/>
      <c r="CJ114" s="396"/>
      <c r="CK114" s="396"/>
      <c r="CL114" s="297"/>
      <c r="CM114" s="259" t="s">
        <v>43</v>
      </c>
      <c r="CN114" s="388"/>
      <c r="CO114" s="465"/>
      <c r="CP114" s="465"/>
      <c r="CQ114" s="335"/>
      <c r="CR114" s="1"/>
      <c r="CS114" s="1"/>
      <c r="CT114" s="1"/>
      <c r="CU114" s="1"/>
      <c r="CV114" s="1"/>
      <c r="CW114" s="2"/>
      <c r="CX114" s="603"/>
    </row>
    <row r="115" spans="1:102">
      <c r="A115" s="472"/>
      <c r="B115" s="29" t="s">
        <v>165</v>
      </c>
      <c r="C115" s="279" t="s">
        <v>77</v>
      </c>
      <c r="D115" s="131"/>
      <c r="E115" s="68" t="s">
        <v>43</v>
      </c>
      <c r="F115" s="30"/>
      <c r="G115" s="31"/>
      <c r="H115" s="340">
        <v>6</v>
      </c>
      <c r="I115" s="386" t="s">
        <v>270</v>
      </c>
      <c r="J115" s="140">
        <v>7</v>
      </c>
      <c r="K115" s="352">
        <v>0.2</v>
      </c>
      <c r="L115" s="397">
        <f t="shared" si="51"/>
        <v>1.4285714285714286</v>
      </c>
      <c r="M115" s="375">
        <v>30</v>
      </c>
      <c r="N115" s="404">
        <v>6010</v>
      </c>
      <c r="O115" s="383">
        <v>42273</v>
      </c>
      <c r="P115" s="292" t="s">
        <v>201</v>
      </c>
      <c r="Q115" s="169">
        <v>510</v>
      </c>
      <c r="R115" s="32">
        <v>357</v>
      </c>
      <c r="S115" s="156">
        <v>17850</v>
      </c>
      <c r="T115" s="377" t="s">
        <v>457</v>
      </c>
      <c r="U115" s="265" t="s">
        <v>470</v>
      </c>
      <c r="V115" s="421">
        <v>510</v>
      </c>
      <c r="W115" s="322">
        <v>357</v>
      </c>
      <c r="X115" s="358">
        <v>5</v>
      </c>
      <c r="Y115" s="438">
        <f t="shared" si="41"/>
        <v>2550</v>
      </c>
      <c r="Z115" s="311">
        <f t="shared" si="42"/>
        <v>17850</v>
      </c>
      <c r="AA115" s="33">
        <v>2</v>
      </c>
      <c r="AB115" s="32">
        <v>0</v>
      </c>
      <c r="AC115" s="32">
        <v>0</v>
      </c>
      <c r="AD115" s="32">
        <v>0</v>
      </c>
      <c r="AE115" s="32">
        <v>0</v>
      </c>
      <c r="AF115" s="429">
        <v>10000</v>
      </c>
      <c r="AG115" s="421">
        <v>765</v>
      </c>
      <c r="AH115" s="322">
        <v>535</v>
      </c>
      <c r="AI115" s="358">
        <v>5</v>
      </c>
      <c r="AJ115" s="438">
        <f t="shared" si="43"/>
        <v>3825</v>
      </c>
      <c r="AK115" s="311">
        <f t="shared" si="44"/>
        <v>26775</v>
      </c>
      <c r="AL115" s="33">
        <f>24</f>
        <v>24</v>
      </c>
      <c r="AM115" s="52">
        <v>2120000</v>
      </c>
      <c r="AN115" s="32">
        <v>0</v>
      </c>
      <c r="AO115" s="32">
        <v>1</v>
      </c>
      <c r="AP115" s="32">
        <v>0</v>
      </c>
      <c r="AQ115" s="360">
        <v>10000</v>
      </c>
      <c r="AR115" s="421">
        <v>889</v>
      </c>
      <c r="AS115" s="322">
        <v>622</v>
      </c>
      <c r="AT115" s="358">
        <v>5</v>
      </c>
      <c r="AU115" s="438">
        <f t="shared" si="45"/>
        <v>4445</v>
      </c>
      <c r="AV115" s="311">
        <f t="shared" si="46"/>
        <v>31115</v>
      </c>
      <c r="AW115" s="33">
        <f>2*24+8</f>
        <v>56</v>
      </c>
      <c r="AX115" s="52">
        <v>3180000</v>
      </c>
      <c r="AY115" s="32">
        <v>0</v>
      </c>
      <c r="AZ115" s="32">
        <v>3</v>
      </c>
      <c r="BA115" s="32">
        <v>0</v>
      </c>
      <c r="BB115" s="360">
        <v>10000</v>
      </c>
      <c r="BC115" s="421">
        <v>969</v>
      </c>
      <c r="BD115" s="322">
        <v>678</v>
      </c>
      <c r="BE115" s="358">
        <v>5</v>
      </c>
      <c r="BF115" s="438">
        <f t="shared" si="47"/>
        <v>4845</v>
      </c>
      <c r="BG115" s="311">
        <f t="shared" si="48"/>
        <v>33915</v>
      </c>
      <c r="BH115" s="33">
        <f>4*24+6</f>
        <v>102</v>
      </c>
      <c r="BI115" s="52">
        <v>4240000</v>
      </c>
      <c r="BJ115" s="32">
        <v>0</v>
      </c>
      <c r="BK115" s="32">
        <v>5</v>
      </c>
      <c r="BL115" s="32">
        <v>0</v>
      </c>
      <c r="BM115" s="360">
        <v>10000</v>
      </c>
      <c r="BN115" s="421">
        <v>1020</v>
      </c>
      <c r="BO115" s="322">
        <v>714</v>
      </c>
      <c r="BP115" s="358">
        <v>5</v>
      </c>
      <c r="BQ115" s="337">
        <f t="shared" si="49"/>
        <v>5100</v>
      </c>
      <c r="BR115" s="422">
        <f t="shared" si="50"/>
        <v>35700</v>
      </c>
      <c r="BS115" s="33">
        <f>8*24</f>
        <v>192</v>
      </c>
      <c r="BT115" s="52">
        <v>5300000</v>
      </c>
      <c r="BU115" s="32">
        <v>0</v>
      </c>
      <c r="BV115" s="32">
        <v>10</v>
      </c>
      <c r="BW115" s="32">
        <v>0</v>
      </c>
      <c r="BX115" s="360">
        <v>10000</v>
      </c>
      <c r="BY115" s="78">
        <v>103</v>
      </c>
      <c r="BZ115" s="339" t="s">
        <v>43</v>
      </c>
      <c r="CA115" s="359">
        <v>10000</v>
      </c>
      <c r="CB115" s="306">
        <v>110000</v>
      </c>
      <c r="CC115" s="396">
        <v>220000</v>
      </c>
      <c r="CD115" s="396">
        <v>440000</v>
      </c>
      <c r="CE115" s="396">
        <v>880000</v>
      </c>
      <c r="CF115" s="396"/>
      <c r="CG115" s="396"/>
      <c r="CH115" s="396"/>
      <c r="CI115" s="396"/>
      <c r="CJ115" s="396"/>
      <c r="CK115" s="396"/>
      <c r="CL115" s="297"/>
      <c r="CM115" s="259" t="s">
        <v>43</v>
      </c>
      <c r="CN115" s="388"/>
      <c r="CO115" s="465"/>
      <c r="CP115" s="465"/>
      <c r="CQ115" s="335"/>
      <c r="CR115" s="1"/>
      <c r="CS115" s="1"/>
      <c r="CT115" s="1"/>
      <c r="CU115" s="1"/>
      <c r="CV115" s="1"/>
      <c r="CW115" s="2"/>
      <c r="CX115" s="603"/>
    </row>
    <row r="116" spans="1:102">
      <c r="A116" s="472"/>
      <c r="B116" s="29" t="s">
        <v>178</v>
      </c>
      <c r="C116" s="279" t="s">
        <v>77</v>
      </c>
      <c r="D116" s="131"/>
      <c r="E116" s="68" t="s">
        <v>43</v>
      </c>
      <c r="F116" s="30" t="s">
        <v>179</v>
      </c>
      <c r="G116" s="31"/>
      <c r="H116" s="340">
        <v>6</v>
      </c>
      <c r="I116" s="386" t="s">
        <v>270</v>
      </c>
      <c r="J116" s="140">
        <v>7</v>
      </c>
      <c r="K116" s="352">
        <v>0.2</v>
      </c>
      <c r="L116" s="397">
        <f t="shared" si="51"/>
        <v>1.4246575342465753</v>
      </c>
      <c r="M116" s="375">
        <v>30</v>
      </c>
      <c r="N116" s="404">
        <v>6015</v>
      </c>
      <c r="O116" s="383">
        <v>42301</v>
      </c>
      <c r="P116" s="292" t="s">
        <v>201</v>
      </c>
      <c r="Q116" s="169">
        <v>520</v>
      </c>
      <c r="R116" s="32">
        <v>365</v>
      </c>
      <c r="S116" s="156">
        <v>18200</v>
      </c>
      <c r="T116" s="377" t="s">
        <v>458</v>
      </c>
      <c r="U116" s="265" t="s">
        <v>686</v>
      </c>
      <c r="V116" s="421">
        <v>520</v>
      </c>
      <c r="W116" s="322">
        <v>365</v>
      </c>
      <c r="X116" s="358">
        <v>5</v>
      </c>
      <c r="Y116" s="438">
        <f t="shared" si="41"/>
        <v>2600</v>
      </c>
      <c r="Z116" s="311">
        <f t="shared" si="42"/>
        <v>18200</v>
      </c>
      <c r="AA116" s="33">
        <v>2</v>
      </c>
      <c r="AB116" s="32">
        <v>0</v>
      </c>
      <c r="AC116" s="32">
        <v>0</v>
      </c>
      <c r="AD116" s="32">
        <v>0</v>
      </c>
      <c r="AE116" s="32">
        <v>0</v>
      </c>
      <c r="AF116" s="429">
        <v>10000</v>
      </c>
      <c r="AG116" s="421">
        <v>780</v>
      </c>
      <c r="AH116" s="322">
        <v>548</v>
      </c>
      <c r="AI116" s="358">
        <v>5</v>
      </c>
      <c r="AJ116" s="438">
        <f t="shared" si="43"/>
        <v>3900</v>
      </c>
      <c r="AK116" s="311">
        <f t="shared" si="44"/>
        <v>27300</v>
      </c>
      <c r="AL116" s="33">
        <f>24</f>
        <v>24</v>
      </c>
      <c r="AM116" s="52">
        <v>2160000</v>
      </c>
      <c r="AN116" s="32">
        <v>0</v>
      </c>
      <c r="AO116" s="32">
        <v>1</v>
      </c>
      <c r="AP116" s="32">
        <v>0</v>
      </c>
      <c r="AQ116" s="360">
        <v>10000</v>
      </c>
      <c r="AR116" s="421">
        <v>908</v>
      </c>
      <c r="AS116" s="322">
        <v>637</v>
      </c>
      <c r="AT116" s="358">
        <v>5</v>
      </c>
      <c r="AU116" s="438">
        <f t="shared" si="45"/>
        <v>4540</v>
      </c>
      <c r="AV116" s="311">
        <f t="shared" si="46"/>
        <v>31780</v>
      </c>
      <c r="AW116" s="33">
        <f>2*24+8</f>
        <v>56</v>
      </c>
      <c r="AX116" s="52">
        <v>3240000</v>
      </c>
      <c r="AY116" s="32">
        <v>0</v>
      </c>
      <c r="AZ116" s="32">
        <v>3</v>
      </c>
      <c r="BA116" s="32">
        <v>0</v>
      </c>
      <c r="BB116" s="360">
        <v>10000</v>
      </c>
      <c r="BC116" s="421">
        <v>988</v>
      </c>
      <c r="BD116" s="322">
        <v>694</v>
      </c>
      <c r="BE116" s="358">
        <v>5</v>
      </c>
      <c r="BF116" s="438">
        <f t="shared" si="47"/>
        <v>4940</v>
      </c>
      <c r="BG116" s="311">
        <f t="shared" si="48"/>
        <v>34580</v>
      </c>
      <c r="BH116" s="33">
        <f>4*24+6</f>
        <v>102</v>
      </c>
      <c r="BI116" s="52">
        <v>4320000</v>
      </c>
      <c r="BJ116" s="32">
        <v>0</v>
      </c>
      <c r="BK116" s="32">
        <v>5</v>
      </c>
      <c r="BL116" s="32">
        <v>0</v>
      </c>
      <c r="BM116" s="360">
        <v>10000</v>
      </c>
      <c r="BN116" s="421">
        <v>1040</v>
      </c>
      <c r="BO116" s="322">
        <v>730</v>
      </c>
      <c r="BP116" s="358">
        <v>5</v>
      </c>
      <c r="BQ116" s="337">
        <f t="shared" si="49"/>
        <v>5200</v>
      </c>
      <c r="BR116" s="422">
        <f t="shared" si="50"/>
        <v>36400</v>
      </c>
      <c r="BS116" s="33">
        <f>8*24</f>
        <v>192</v>
      </c>
      <c r="BT116" s="52">
        <v>5400000</v>
      </c>
      <c r="BU116" s="32">
        <v>0</v>
      </c>
      <c r="BV116" s="32">
        <v>10</v>
      </c>
      <c r="BW116" s="32">
        <v>0</v>
      </c>
      <c r="BX116" s="1027">
        <v>10000</v>
      </c>
      <c r="BY116" s="1149">
        <v>103</v>
      </c>
      <c r="BZ116" s="339" t="s">
        <v>43</v>
      </c>
      <c r="CA116" s="359">
        <v>10000</v>
      </c>
      <c r="CB116" s="306">
        <v>110000</v>
      </c>
      <c r="CC116" s="396">
        <v>220000</v>
      </c>
      <c r="CD116" s="396">
        <v>440000</v>
      </c>
      <c r="CE116" s="396">
        <v>880000</v>
      </c>
      <c r="CF116" s="396"/>
      <c r="CG116" s="396"/>
      <c r="CH116" s="396"/>
      <c r="CI116" s="396"/>
      <c r="CJ116" s="396"/>
      <c r="CK116" s="396"/>
      <c r="CL116" s="297"/>
      <c r="CM116" s="259" t="s">
        <v>43</v>
      </c>
      <c r="CN116" s="388"/>
      <c r="CO116" s="465"/>
      <c r="CP116" s="465"/>
      <c r="CQ116" s="335"/>
      <c r="CR116" s="1"/>
      <c r="CS116" s="1"/>
      <c r="CT116" s="1"/>
      <c r="CU116" s="1"/>
      <c r="CV116" s="1"/>
      <c r="CW116" s="2"/>
      <c r="CX116" s="603"/>
    </row>
    <row r="117" spans="1:102">
      <c r="A117" s="472"/>
      <c r="B117" s="29" t="s">
        <v>205</v>
      </c>
      <c r="C117" s="279" t="s">
        <v>77</v>
      </c>
      <c r="D117" s="131"/>
      <c r="E117" s="68" t="s">
        <v>43</v>
      </c>
      <c r="F117" s="30"/>
      <c r="G117" s="31"/>
      <c r="H117" s="340">
        <v>6</v>
      </c>
      <c r="I117" s="386" t="s">
        <v>270</v>
      </c>
      <c r="J117" s="140">
        <v>7</v>
      </c>
      <c r="K117" s="352">
        <v>0.2</v>
      </c>
      <c r="L117" s="397">
        <f t="shared" si="51"/>
        <v>1.44</v>
      </c>
      <c r="M117" s="375">
        <v>30</v>
      </c>
      <c r="N117" s="404">
        <v>6020</v>
      </c>
      <c r="O117" s="383">
        <v>42336</v>
      </c>
      <c r="P117" s="292" t="s">
        <v>204</v>
      </c>
      <c r="Q117" s="169">
        <v>1080</v>
      </c>
      <c r="R117" s="32">
        <v>750</v>
      </c>
      <c r="S117" s="156">
        <v>45360</v>
      </c>
      <c r="T117" s="377" t="s">
        <v>459</v>
      </c>
      <c r="U117" s="265" t="s">
        <v>688</v>
      </c>
      <c r="V117" s="421">
        <v>360</v>
      </c>
      <c r="W117" s="322">
        <v>250</v>
      </c>
      <c r="X117" s="358">
        <v>5</v>
      </c>
      <c r="Y117" s="438">
        <f t="shared" si="41"/>
        <v>1800</v>
      </c>
      <c r="Z117" s="311">
        <f t="shared" si="42"/>
        <v>12600</v>
      </c>
      <c r="AA117" s="33">
        <v>2.5</v>
      </c>
      <c r="AB117" s="32">
        <v>0</v>
      </c>
      <c r="AC117" s="32">
        <v>0</v>
      </c>
      <c r="AD117" s="32">
        <v>0</v>
      </c>
      <c r="AE117" s="32">
        <v>0</v>
      </c>
      <c r="AF117" s="429">
        <v>10000</v>
      </c>
      <c r="AG117" s="421">
        <v>450</v>
      </c>
      <c r="AH117" s="322">
        <v>313</v>
      </c>
      <c r="AI117" s="358">
        <v>5</v>
      </c>
      <c r="AJ117" s="438">
        <f t="shared" si="43"/>
        <v>2250</v>
      </c>
      <c r="AK117" s="311">
        <f t="shared" si="44"/>
        <v>15750</v>
      </c>
      <c r="AL117" s="33">
        <f>1*24+8</f>
        <v>32</v>
      </c>
      <c r="AM117" s="52">
        <v>2200000</v>
      </c>
      <c r="AN117" s="32">
        <v>0</v>
      </c>
      <c r="AO117" s="32">
        <v>2</v>
      </c>
      <c r="AP117" s="32">
        <v>0</v>
      </c>
      <c r="AQ117" s="360">
        <v>10000</v>
      </c>
      <c r="AR117" s="421">
        <v>540</v>
      </c>
      <c r="AS117" s="322">
        <v>375</v>
      </c>
      <c r="AT117" s="358">
        <v>5</v>
      </c>
      <c r="AU117" s="438">
        <f t="shared" si="45"/>
        <v>2700</v>
      </c>
      <c r="AV117" s="311">
        <f t="shared" si="46"/>
        <v>18900</v>
      </c>
      <c r="AW117" s="33">
        <f>3*24</f>
        <v>72</v>
      </c>
      <c r="AX117" s="52">
        <v>3300000</v>
      </c>
      <c r="AY117" s="32">
        <v>0</v>
      </c>
      <c r="AZ117" s="32">
        <v>4</v>
      </c>
      <c r="BA117" s="32">
        <v>0</v>
      </c>
      <c r="BB117" s="360">
        <v>10000</v>
      </c>
      <c r="BC117" s="421">
        <v>720</v>
      </c>
      <c r="BD117" s="322">
        <v>500</v>
      </c>
      <c r="BE117" s="358">
        <v>5</v>
      </c>
      <c r="BF117" s="438">
        <f t="shared" si="47"/>
        <v>3600</v>
      </c>
      <c r="BG117" s="311">
        <f t="shared" si="48"/>
        <v>25200</v>
      </c>
      <c r="BH117" s="33">
        <f>5*24</f>
        <v>120</v>
      </c>
      <c r="BI117" s="52">
        <v>4400000</v>
      </c>
      <c r="BJ117" s="32">
        <v>0</v>
      </c>
      <c r="BK117" s="32">
        <v>6</v>
      </c>
      <c r="BL117" s="32">
        <v>0</v>
      </c>
      <c r="BM117" s="360">
        <v>10000</v>
      </c>
      <c r="BN117" s="421">
        <v>1080</v>
      </c>
      <c r="BO117" s="322">
        <v>750</v>
      </c>
      <c r="BP117" s="358">
        <v>6</v>
      </c>
      <c r="BQ117" s="337">
        <f t="shared" si="49"/>
        <v>6480</v>
      </c>
      <c r="BR117" s="422">
        <f t="shared" si="50"/>
        <v>45360</v>
      </c>
      <c r="BS117" s="33">
        <f>9*24</f>
        <v>216</v>
      </c>
      <c r="BT117" s="52">
        <v>5500000</v>
      </c>
      <c r="BU117" s="32">
        <v>0</v>
      </c>
      <c r="BV117" s="32">
        <v>12</v>
      </c>
      <c r="BW117" s="32">
        <v>0</v>
      </c>
      <c r="BX117" s="325">
        <v>10000</v>
      </c>
      <c r="BY117" s="78"/>
      <c r="BZ117" s="339"/>
      <c r="CA117" s="359">
        <v>10000</v>
      </c>
      <c r="CB117" s="306">
        <v>200000</v>
      </c>
      <c r="CC117" s="396">
        <v>400000</v>
      </c>
      <c r="CD117" s="396">
        <v>800000</v>
      </c>
      <c r="CE117" s="396"/>
      <c r="CF117" s="396"/>
      <c r="CG117" s="396"/>
      <c r="CH117" s="396"/>
      <c r="CI117" s="396"/>
      <c r="CJ117" s="396"/>
      <c r="CK117" s="396"/>
      <c r="CL117" s="297"/>
      <c r="CM117" s="259" t="s">
        <v>43</v>
      </c>
      <c r="CN117" s="388"/>
      <c r="CO117" s="465"/>
      <c r="CP117" s="465"/>
      <c r="CQ117" s="335"/>
      <c r="CR117" s="1"/>
      <c r="CS117" s="1"/>
      <c r="CT117" s="1"/>
      <c r="CU117" s="1"/>
      <c r="CV117" s="1"/>
      <c r="CW117" s="2"/>
      <c r="CX117" s="603"/>
    </row>
    <row r="118" spans="1:102">
      <c r="A118" s="472"/>
      <c r="B118" s="29" t="s">
        <v>232</v>
      </c>
      <c r="C118" s="279" t="s">
        <v>77</v>
      </c>
      <c r="D118" s="131"/>
      <c r="E118" s="68" t="s">
        <v>43</v>
      </c>
      <c r="F118" s="30" t="s">
        <v>228</v>
      </c>
      <c r="G118" s="31"/>
      <c r="H118" s="340">
        <v>6</v>
      </c>
      <c r="I118" s="386" t="s">
        <v>270</v>
      </c>
      <c r="J118" s="140">
        <v>7</v>
      </c>
      <c r="K118" s="352">
        <v>0.2</v>
      </c>
      <c r="L118" s="397">
        <f t="shared" si="51"/>
        <v>1.4419525065963061</v>
      </c>
      <c r="M118" s="375">
        <v>30</v>
      </c>
      <c r="N118" s="404">
        <v>6024</v>
      </c>
      <c r="O118" s="383">
        <v>42363</v>
      </c>
      <c r="P118" s="292" t="s">
        <v>206</v>
      </c>
      <c r="Q118" s="169">
        <v>1093</v>
      </c>
      <c r="R118" s="32">
        <v>758</v>
      </c>
      <c r="S118" s="156">
        <v>45906</v>
      </c>
      <c r="T118" s="377" t="s">
        <v>460</v>
      </c>
      <c r="U118" s="265" t="s">
        <v>426</v>
      </c>
      <c r="V118" s="421">
        <v>365</v>
      </c>
      <c r="W118" s="322">
        <v>253</v>
      </c>
      <c r="X118" s="358">
        <v>6</v>
      </c>
      <c r="Y118" s="438">
        <f t="shared" si="41"/>
        <v>2190</v>
      </c>
      <c r="Z118" s="311">
        <f t="shared" si="42"/>
        <v>15330</v>
      </c>
      <c r="AA118" s="33">
        <v>3</v>
      </c>
      <c r="AB118" s="32">
        <v>0</v>
      </c>
      <c r="AC118" s="32">
        <v>0</v>
      </c>
      <c r="AD118" s="32">
        <v>0</v>
      </c>
      <c r="AE118" s="32">
        <v>0</v>
      </c>
      <c r="AF118" s="429">
        <v>10000</v>
      </c>
      <c r="AG118" s="421">
        <v>456</v>
      </c>
      <c r="AH118" s="322">
        <v>316</v>
      </c>
      <c r="AI118" s="358">
        <v>6</v>
      </c>
      <c r="AJ118" s="438">
        <f t="shared" si="43"/>
        <v>2736</v>
      </c>
      <c r="AK118" s="311">
        <f t="shared" si="44"/>
        <v>19152</v>
      </c>
      <c r="AL118" s="33">
        <f>1*24+12</f>
        <v>36</v>
      </c>
      <c r="AM118" s="52">
        <v>2280000</v>
      </c>
      <c r="AN118" s="32">
        <v>0</v>
      </c>
      <c r="AO118" s="32">
        <v>3</v>
      </c>
      <c r="AP118" s="32">
        <v>0</v>
      </c>
      <c r="AQ118" s="360">
        <v>10000</v>
      </c>
      <c r="AR118" s="421">
        <v>547</v>
      </c>
      <c r="AS118" s="322">
        <v>379</v>
      </c>
      <c r="AT118" s="358">
        <v>6</v>
      </c>
      <c r="AU118" s="438">
        <f t="shared" si="45"/>
        <v>3282</v>
      </c>
      <c r="AV118" s="311">
        <f t="shared" si="46"/>
        <v>22974</v>
      </c>
      <c r="AW118" s="33">
        <f>4*24</f>
        <v>96</v>
      </c>
      <c r="AX118" s="52">
        <v>3420000</v>
      </c>
      <c r="AY118" s="32">
        <v>0</v>
      </c>
      <c r="AZ118" s="32">
        <v>5</v>
      </c>
      <c r="BA118" s="32">
        <v>0</v>
      </c>
      <c r="BB118" s="360">
        <v>10000</v>
      </c>
      <c r="BC118" s="421">
        <v>729</v>
      </c>
      <c r="BD118" s="322">
        <v>506</v>
      </c>
      <c r="BE118" s="358">
        <v>6</v>
      </c>
      <c r="BF118" s="438">
        <f t="shared" si="47"/>
        <v>4374</v>
      </c>
      <c r="BG118" s="311">
        <f t="shared" si="48"/>
        <v>30618</v>
      </c>
      <c r="BH118" s="33">
        <f>6*24</f>
        <v>144</v>
      </c>
      <c r="BI118" s="52">
        <v>4560000</v>
      </c>
      <c r="BJ118" s="32">
        <v>0</v>
      </c>
      <c r="BK118" s="32">
        <v>8</v>
      </c>
      <c r="BL118" s="32">
        <v>0</v>
      </c>
      <c r="BM118" s="360">
        <v>10000</v>
      </c>
      <c r="BN118" s="421">
        <v>1093</v>
      </c>
      <c r="BO118" s="322">
        <v>758</v>
      </c>
      <c r="BP118" s="358">
        <v>6</v>
      </c>
      <c r="BQ118" s="337">
        <f t="shared" si="49"/>
        <v>6558</v>
      </c>
      <c r="BR118" s="422">
        <f t="shared" si="50"/>
        <v>45906</v>
      </c>
      <c r="BS118" s="33">
        <f>9*24</f>
        <v>216</v>
      </c>
      <c r="BT118" s="52">
        <v>5700000</v>
      </c>
      <c r="BU118" s="32">
        <v>0</v>
      </c>
      <c r="BV118" s="32">
        <v>10</v>
      </c>
      <c r="BW118" s="32">
        <v>0</v>
      </c>
      <c r="BX118" s="1027">
        <v>10000</v>
      </c>
      <c r="BY118" s="1149">
        <v>135</v>
      </c>
      <c r="BZ118" s="339" t="s">
        <v>43</v>
      </c>
      <c r="CA118" s="359">
        <v>10000</v>
      </c>
      <c r="CB118" s="306">
        <v>250000</v>
      </c>
      <c r="CC118" s="396">
        <v>500000</v>
      </c>
      <c r="CD118" s="396">
        <v>1000000</v>
      </c>
      <c r="CE118" s="396"/>
      <c r="CF118" s="396"/>
      <c r="CG118" s="396"/>
      <c r="CH118" s="396"/>
      <c r="CI118" s="396"/>
      <c r="CJ118" s="396"/>
      <c r="CK118" s="396"/>
      <c r="CL118" s="297"/>
      <c r="CM118" s="259" t="s">
        <v>43</v>
      </c>
      <c r="CN118" s="388"/>
      <c r="CO118" s="465"/>
      <c r="CP118" s="465"/>
      <c r="CQ118" s="335"/>
      <c r="CR118" s="1"/>
      <c r="CS118" s="1"/>
      <c r="CT118" s="1"/>
      <c r="CU118" s="1"/>
      <c r="CV118" s="1"/>
      <c r="CW118" s="2"/>
      <c r="CX118" s="603"/>
    </row>
    <row r="119" spans="1:102">
      <c r="A119" s="472"/>
      <c r="B119" s="29" t="s">
        <v>240</v>
      </c>
      <c r="C119" s="279" t="s">
        <v>77</v>
      </c>
      <c r="D119" s="131"/>
      <c r="E119" s="68" t="s">
        <v>43</v>
      </c>
      <c r="F119" s="30"/>
      <c r="G119" s="31"/>
      <c r="H119" s="340">
        <v>6</v>
      </c>
      <c r="I119" s="386" t="s">
        <v>270</v>
      </c>
      <c r="J119" s="140">
        <v>7</v>
      </c>
      <c r="K119" s="328">
        <v>0.2</v>
      </c>
      <c r="L119" s="397">
        <f t="shared" si="51"/>
        <v>1.2402088772845954</v>
      </c>
      <c r="M119" s="375">
        <v>30</v>
      </c>
      <c r="N119" s="404">
        <v>6028</v>
      </c>
      <c r="O119" s="383">
        <v>42367</v>
      </c>
      <c r="P119" s="292" t="s">
        <v>206</v>
      </c>
      <c r="Q119" s="169">
        <v>950</v>
      </c>
      <c r="R119" s="32">
        <v>766</v>
      </c>
      <c r="S119" s="156">
        <v>46550</v>
      </c>
      <c r="T119" s="377" t="s">
        <v>461</v>
      </c>
      <c r="U119" s="265" t="s">
        <v>428</v>
      </c>
      <c r="V119" s="421">
        <v>317</v>
      </c>
      <c r="W119" s="322">
        <v>256</v>
      </c>
      <c r="X119" s="358">
        <v>7</v>
      </c>
      <c r="Y119" s="438">
        <f t="shared" si="41"/>
        <v>2219</v>
      </c>
      <c r="Z119" s="311">
        <f t="shared" si="42"/>
        <v>15533</v>
      </c>
      <c r="AA119" s="33">
        <v>3</v>
      </c>
      <c r="AB119" s="32">
        <v>0</v>
      </c>
      <c r="AC119" s="32">
        <v>0</v>
      </c>
      <c r="AD119" s="32">
        <v>0</v>
      </c>
      <c r="AE119" s="32">
        <v>0</v>
      </c>
      <c r="AF119" s="286">
        <v>10000</v>
      </c>
      <c r="AG119" s="287">
        <v>396</v>
      </c>
      <c r="AH119" s="273">
        <v>320</v>
      </c>
      <c r="AI119" s="358">
        <v>7</v>
      </c>
      <c r="AJ119" s="403">
        <f t="shared" si="43"/>
        <v>2772</v>
      </c>
      <c r="AK119" s="245">
        <f t="shared" si="44"/>
        <v>19404</v>
      </c>
      <c r="AL119" s="33"/>
      <c r="AM119" s="52"/>
      <c r="AN119" s="32"/>
      <c r="AO119" s="32"/>
      <c r="AP119" s="32"/>
      <c r="AQ119" s="325">
        <v>10000</v>
      </c>
      <c r="AR119" s="287">
        <v>475</v>
      </c>
      <c r="AS119" s="273">
        <v>383</v>
      </c>
      <c r="AT119" s="358">
        <v>7</v>
      </c>
      <c r="AU119" s="403">
        <f t="shared" si="45"/>
        <v>3325</v>
      </c>
      <c r="AV119" s="245">
        <f t="shared" si="46"/>
        <v>23275</v>
      </c>
      <c r="AW119" s="33"/>
      <c r="AX119" s="52"/>
      <c r="AY119" s="32"/>
      <c r="AZ119" s="32"/>
      <c r="BA119" s="32"/>
      <c r="BB119" s="325">
        <v>10000</v>
      </c>
      <c r="BC119" s="287">
        <v>634</v>
      </c>
      <c r="BD119" s="273">
        <v>511</v>
      </c>
      <c r="BE119" s="358">
        <v>7</v>
      </c>
      <c r="BF119" s="403">
        <f t="shared" si="47"/>
        <v>4438</v>
      </c>
      <c r="BG119" s="245">
        <f t="shared" si="48"/>
        <v>31066</v>
      </c>
      <c r="BH119" s="33"/>
      <c r="BI119" s="52"/>
      <c r="BJ119" s="32"/>
      <c r="BK119" s="32"/>
      <c r="BL119" s="32"/>
      <c r="BM119" s="325">
        <v>10000</v>
      </c>
      <c r="BN119" s="421">
        <v>950</v>
      </c>
      <c r="BO119" s="322">
        <v>766</v>
      </c>
      <c r="BP119" s="358">
        <v>7</v>
      </c>
      <c r="BQ119" s="337">
        <f t="shared" si="49"/>
        <v>6650</v>
      </c>
      <c r="BR119" s="422">
        <f t="shared" si="50"/>
        <v>46550</v>
      </c>
      <c r="BS119" s="33"/>
      <c r="BT119" s="52"/>
      <c r="BU119" s="32"/>
      <c r="BV119" s="32"/>
      <c r="BW119" s="32"/>
      <c r="BX119" s="325">
        <v>10000</v>
      </c>
      <c r="BY119" s="78"/>
      <c r="BZ119" s="339"/>
      <c r="CA119" s="359">
        <v>10000</v>
      </c>
      <c r="CB119" s="306">
        <v>280000</v>
      </c>
      <c r="CC119" s="396">
        <v>560000</v>
      </c>
      <c r="CD119" s="396"/>
      <c r="CE119" s="396"/>
      <c r="CF119" s="396"/>
      <c r="CG119" s="396"/>
      <c r="CH119" s="396"/>
      <c r="CI119" s="396"/>
      <c r="CJ119" s="396"/>
      <c r="CK119" s="396"/>
      <c r="CL119" s="297"/>
      <c r="CM119" s="259" t="s">
        <v>43</v>
      </c>
      <c r="CN119" s="388"/>
      <c r="CO119" s="465"/>
      <c r="CP119" s="465"/>
      <c r="CQ119" s="335"/>
      <c r="CR119" s="1"/>
      <c r="CS119" s="1"/>
      <c r="CT119" s="1"/>
      <c r="CU119" s="1"/>
      <c r="CV119" s="1"/>
      <c r="CW119" s="2"/>
      <c r="CX119" s="603"/>
    </row>
    <row r="120" spans="1:102">
      <c r="A120" s="472"/>
      <c r="B120" s="29" t="s">
        <v>244</v>
      </c>
      <c r="C120" s="279" t="s">
        <v>77</v>
      </c>
      <c r="D120" s="131"/>
      <c r="E120" s="68" t="s">
        <v>43</v>
      </c>
      <c r="F120" s="30"/>
      <c r="G120" s="31"/>
      <c r="H120" s="340">
        <v>6</v>
      </c>
      <c r="I120" s="386" t="s">
        <v>270</v>
      </c>
      <c r="J120" s="140">
        <v>7</v>
      </c>
      <c r="K120" s="328">
        <v>0.2</v>
      </c>
      <c r="L120" s="397">
        <f t="shared" si="51"/>
        <v>1.2403100775193798</v>
      </c>
      <c r="M120" s="375">
        <v>30</v>
      </c>
      <c r="N120" s="404">
        <v>6033</v>
      </c>
      <c r="O120" s="383">
        <v>42372</v>
      </c>
      <c r="P120" s="292" t="s">
        <v>206</v>
      </c>
      <c r="Q120" s="169">
        <v>960</v>
      </c>
      <c r="R120" s="32">
        <v>774</v>
      </c>
      <c r="S120" s="156">
        <v>47040</v>
      </c>
      <c r="T120" s="377" t="s">
        <v>462</v>
      </c>
      <c r="U120" s="265" t="s">
        <v>389</v>
      </c>
      <c r="V120" s="421">
        <v>320</v>
      </c>
      <c r="W120" s="322">
        <v>258</v>
      </c>
      <c r="X120" s="358">
        <v>7</v>
      </c>
      <c r="Y120" s="438">
        <f t="shared" si="41"/>
        <v>2240</v>
      </c>
      <c r="Z120" s="311">
        <f t="shared" si="42"/>
        <v>15680</v>
      </c>
      <c r="AA120" s="33">
        <v>3</v>
      </c>
      <c r="AB120" s="32">
        <v>0</v>
      </c>
      <c r="AC120" s="32">
        <v>0</v>
      </c>
      <c r="AD120" s="32">
        <v>0</v>
      </c>
      <c r="AE120" s="32">
        <v>0</v>
      </c>
      <c r="AF120" s="286">
        <v>10000</v>
      </c>
      <c r="AG120" s="287">
        <v>400</v>
      </c>
      <c r="AH120" s="273">
        <v>323</v>
      </c>
      <c r="AI120" s="358">
        <v>7</v>
      </c>
      <c r="AJ120" s="403">
        <f t="shared" si="43"/>
        <v>2800</v>
      </c>
      <c r="AK120" s="245">
        <f t="shared" si="44"/>
        <v>19600</v>
      </c>
      <c r="AL120" s="33"/>
      <c r="AM120" s="52"/>
      <c r="AN120" s="32"/>
      <c r="AO120" s="32"/>
      <c r="AP120" s="32"/>
      <c r="AQ120" s="325">
        <v>10000</v>
      </c>
      <c r="AR120" s="287">
        <v>480</v>
      </c>
      <c r="AS120" s="273">
        <v>387</v>
      </c>
      <c r="AT120" s="358">
        <v>7</v>
      </c>
      <c r="AU120" s="403">
        <f t="shared" si="45"/>
        <v>3360</v>
      </c>
      <c r="AV120" s="245">
        <f t="shared" si="46"/>
        <v>23520</v>
      </c>
      <c r="AW120" s="33"/>
      <c r="AX120" s="52"/>
      <c r="AY120" s="32"/>
      <c r="AZ120" s="32"/>
      <c r="BA120" s="32"/>
      <c r="BB120" s="325">
        <v>10000</v>
      </c>
      <c r="BC120" s="287">
        <v>640</v>
      </c>
      <c r="BD120" s="273">
        <v>516</v>
      </c>
      <c r="BE120" s="358">
        <v>7</v>
      </c>
      <c r="BF120" s="403">
        <f t="shared" si="47"/>
        <v>4480</v>
      </c>
      <c r="BG120" s="245">
        <f t="shared" si="48"/>
        <v>31360</v>
      </c>
      <c r="BH120" s="33"/>
      <c r="BI120" s="52"/>
      <c r="BJ120" s="32"/>
      <c r="BK120" s="32"/>
      <c r="BL120" s="32"/>
      <c r="BM120" s="325">
        <v>10000</v>
      </c>
      <c r="BN120" s="421">
        <v>960</v>
      </c>
      <c r="BO120" s="322">
        <v>774</v>
      </c>
      <c r="BP120" s="358">
        <v>7</v>
      </c>
      <c r="BQ120" s="337">
        <f t="shared" si="49"/>
        <v>6720</v>
      </c>
      <c r="BR120" s="422">
        <f t="shared" si="50"/>
        <v>47040</v>
      </c>
      <c r="BS120" s="33"/>
      <c r="BT120" s="52"/>
      <c r="BU120" s="32"/>
      <c r="BV120" s="32"/>
      <c r="BW120" s="32"/>
      <c r="BX120" s="325">
        <v>10000</v>
      </c>
      <c r="BY120" s="78"/>
      <c r="BZ120" s="339"/>
      <c r="CA120" s="359">
        <v>10000</v>
      </c>
      <c r="CB120" s="306">
        <v>330000</v>
      </c>
      <c r="CC120" s="396">
        <v>660000</v>
      </c>
      <c r="CD120" s="396"/>
      <c r="CE120" s="396"/>
      <c r="CF120" s="396"/>
      <c r="CG120" s="396"/>
      <c r="CH120" s="396"/>
      <c r="CI120" s="396"/>
      <c r="CJ120" s="396"/>
      <c r="CK120" s="396"/>
      <c r="CL120" s="297"/>
      <c r="CM120" s="259" t="s">
        <v>43</v>
      </c>
      <c r="CN120" s="388"/>
      <c r="CO120" s="465"/>
      <c r="CP120" s="465"/>
      <c r="CQ120" s="335"/>
      <c r="CR120" s="1"/>
      <c r="CS120" s="1"/>
      <c r="CT120" s="1"/>
      <c r="CU120" s="1"/>
      <c r="CV120" s="1"/>
      <c r="CW120" s="2"/>
      <c r="CX120" s="603"/>
    </row>
    <row r="121" spans="1:102">
      <c r="A121" s="472"/>
      <c r="B121" s="29" t="s">
        <v>252</v>
      </c>
      <c r="C121" s="279" t="s">
        <v>77</v>
      </c>
      <c r="D121" s="131"/>
      <c r="E121" s="68" t="s">
        <v>43</v>
      </c>
      <c r="F121" s="30"/>
      <c r="G121" s="31"/>
      <c r="H121" s="340">
        <v>6</v>
      </c>
      <c r="I121" s="386" t="s">
        <v>270</v>
      </c>
      <c r="J121" s="140">
        <v>7</v>
      </c>
      <c r="K121" s="328">
        <v>0.2</v>
      </c>
      <c r="L121" s="397">
        <f t="shared" si="51"/>
        <v>1.2429667519181586</v>
      </c>
      <c r="M121" s="375">
        <v>30</v>
      </c>
      <c r="N121" s="404">
        <v>6037</v>
      </c>
      <c r="O121" s="383">
        <v>42379</v>
      </c>
      <c r="P121" s="292" t="s">
        <v>206</v>
      </c>
      <c r="Q121" s="169">
        <v>972</v>
      </c>
      <c r="R121" s="32">
        <v>782</v>
      </c>
      <c r="S121" s="156">
        <v>47628</v>
      </c>
      <c r="T121" s="377" t="s">
        <v>463</v>
      </c>
      <c r="U121" s="265" t="s">
        <v>690</v>
      </c>
      <c r="V121" s="421">
        <v>324</v>
      </c>
      <c r="W121" s="322">
        <v>261</v>
      </c>
      <c r="X121" s="358">
        <v>7</v>
      </c>
      <c r="Y121" s="438">
        <f t="shared" si="41"/>
        <v>2268</v>
      </c>
      <c r="Z121" s="311">
        <f t="shared" si="42"/>
        <v>15876</v>
      </c>
      <c r="AA121" s="33">
        <v>3</v>
      </c>
      <c r="AB121" s="32">
        <v>0</v>
      </c>
      <c r="AC121" s="32">
        <v>0</v>
      </c>
      <c r="AD121" s="32">
        <v>0</v>
      </c>
      <c r="AE121" s="32">
        <v>0</v>
      </c>
      <c r="AF121" s="286">
        <v>10000</v>
      </c>
      <c r="AG121" s="287">
        <v>405</v>
      </c>
      <c r="AH121" s="273">
        <v>326</v>
      </c>
      <c r="AI121" s="358">
        <v>7</v>
      </c>
      <c r="AJ121" s="403">
        <f t="shared" si="43"/>
        <v>2835</v>
      </c>
      <c r="AK121" s="245">
        <f t="shared" si="44"/>
        <v>19845</v>
      </c>
      <c r="AL121" s="33"/>
      <c r="AM121" s="52"/>
      <c r="AN121" s="32"/>
      <c r="AO121" s="32"/>
      <c r="AP121" s="32"/>
      <c r="AQ121" s="325">
        <v>10000</v>
      </c>
      <c r="AR121" s="287">
        <v>486</v>
      </c>
      <c r="AS121" s="273">
        <v>391</v>
      </c>
      <c r="AT121" s="358">
        <v>7</v>
      </c>
      <c r="AU121" s="403">
        <f t="shared" si="45"/>
        <v>3402</v>
      </c>
      <c r="AV121" s="245">
        <f t="shared" si="46"/>
        <v>23814</v>
      </c>
      <c r="AW121" s="33"/>
      <c r="AX121" s="52"/>
      <c r="AY121" s="32"/>
      <c r="AZ121" s="32"/>
      <c r="BA121" s="32"/>
      <c r="BB121" s="325">
        <v>10000</v>
      </c>
      <c r="BC121" s="287">
        <v>648</v>
      </c>
      <c r="BD121" s="273">
        <v>522</v>
      </c>
      <c r="BE121" s="358">
        <v>7</v>
      </c>
      <c r="BF121" s="403">
        <f t="shared" si="47"/>
        <v>4536</v>
      </c>
      <c r="BG121" s="245">
        <f t="shared" si="48"/>
        <v>31752</v>
      </c>
      <c r="BH121" s="33"/>
      <c r="BI121" s="52"/>
      <c r="BJ121" s="32"/>
      <c r="BK121" s="32"/>
      <c r="BL121" s="32"/>
      <c r="BM121" s="325">
        <v>10000</v>
      </c>
      <c r="BN121" s="421">
        <v>972</v>
      </c>
      <c r="BO121" s="322">
        <v>782</v>
      </c>
      <c r="BP121" s="358">
        <v>7</v>
      </c>
      <c r="BQ121" s="337">
        <f t="shared" si="49"/>
        <v>6804</v>
      </c>
      <c r="BR121" s="422">
        <f t="shared" si="50"/>
        <v>47628</v>
      </c>
      <c r="BS121" s="33"/>
      <c r="BT121" s="52"/>
      <c r="BU121" s="32"/>
      <c r="BV121" s="32"/>
      <c r="BW121" s="32"/>
      <c r="BX121" s="325">
        <v>10000</v>
      </c>
      <c r="BY121" s="78"/>
      <c r="BZ121" s="339"/>
      <c r="CA121" s="359">
        <v>10000</v>
      </c>
      <c r="CB121" s="306">
        <v>370000</v>
      </c>
      <c r="CC121" s="396">
        <v>740000</v>
      </c>
      <c r="CD121" s="396"/>
      <c r="CE121" s="396"/>
      <c r="CF121" s="396"/>
      <c r="CG121" s="396"/>
      <c r="CH121" s="396"/>
      <c r="CI121" s="396"/>
      <c r="CJ121" s="396"/>
      <c r="CK121" s="396"/>
      <c r="CL121" s="297"/>
      <c r="CM121" s="259" t="s">
        <v>43</v>
      </c>
      <c r="CN121" s="388"/>
      <c r="CO121" s="465"/>
      <c r="CP121" s="465"/>
      <c r="CQ121" s="335"/>
      <c r="CR121" s="1"/>
      <c r="CS121" s="1"/>
      <c r="CT121" s="1"/>
      <c r="CU121" s="1"/>
      <c r="CV121" s="1"/>
      <c r="CW121" s="2"/>
      <c r="CX121" s="603"/>
    </row>
    <row r="122" spans="1:102" s="444" customFormat="1">
      <c r="A122" s="472"/>
      <c r="B122" s="446" t="s">
        <v>436</v>
      </c>
      <c r="C122" s="279" t="s">
        <v>77</v>
      </c>
      <c r="D122" s="131"/>
      <c r="E122" s="468" t="s">
        <v>309</v>
      </c>
      <c r="F122" s="447"/>
      <c r="G122" s="448"/>
      <c r="H122" s="340">
        <v>6</v>
      </c>
      <c r="I122" s="386" t="s">
        <v>270</v>
      </c>
      <c r="J122" s="140">
        <v>7</v>
      </c>
      <c r="K122" s="328">
        <v>0.2</v>
      </c>
      <c r="L122" s="397">
        <f t="shared" si="51"/>
        <v>1.2443037974683544</v>
      </c>
      <c r="M122" s="375">
        <v>30</v>
      </c>
      <c r="N122" s="404">
        <v>6040</v>
      </c>
      <c r="O122" s="383">
        <v>42399</v>
      </c>
      <c r="P122" s="292" t="s">
        <v>206</v>
      </c>
      <c r="Q122" s="169">
        <v>983</v>
      </c>
      <c r="R122" s="449">
        <v>790</v>
      </c>
      <c r="S122" s="156">
        <v>48167</v>
      </c>
      <c r="T122" s="377" t="s">
        <v>464</v>
      </c>
      <c r="U122" s="265" t="s">
        <v>692</v>
      </c>
      <c r="V122" s="312">
        <v>328</v>
      </c>
      <c r="W122" s="323">
        <v>264</v>
      </c>
      <c r="X122" s="304">
        <v>7</v>
      </c>
      <c r="Y122" s="438">
        <f t="shared" si="41"/>
        <v>2296</v>
      </c>
      <c r="Z122" s="311">
        <f t="shared" si="42"/>
        <v>16072</v>
      </c>
      <c r="AA122" s="450">
        <v>3</v>
      </c>
      <c r="AB122" s="449">
        <v>0</v>
      </c>
      <c r="AC122" s="449">
        <v>0</v>
      </c>
      <c r="AD122" s="449">
        <v>0</v>
      </c>
      <c r="AE122" s="449">
        <v>0</v>
      </c>
      <c r="AF122" s="332">
        <v>10000</v>
      </c>
      <c r="AG122" s="312">
        <v>410</v>
      </c>
      <c r="AH122" s="323">
        <v>330</v>
      </c>
      <c r="AI122" s="304">
        <v>7</v>
      </c>
      <c r="AJ122" s="438">
        <f t="shared" si="43"/>
        <v>2870</v>
      </c>
      <c r="AK122" s="311">
        <f t="shared" si="44"/>
        <v>20090</v>
      </c>
      <c r="AL122" s="450">
        <f>1*24+12</f>
        <v>36</v>
      </c>
      <c r="AM122" s="463">
        <v>2400000</v>
      </c>
      <c r="AN122" s="449">
        <v>0</v>
      </c>
      <c r="AO122" s="449">
        <v>5</v>
      </c>
      <c r="AP122" s="449">
        <v>0</v>
      </c>
      <c r="AQ122" s="1027">
        <v>10000</v>
      </c>
      <c r="AR122" s="312">
        <v>492</v>
      </c>
      <c r="AS122" s="323">
        <v>395</v>
      </c>
      <c r="AT122" s="304">
        <v>7</v>
      </c>
      <c r="AU122" s="438">
        <f t="shared" si="45"/>
        <v>3444</v>
      </c>
      <c r="AV122" s="311">
        <f t="shared" si="46"/>
        <v>24108</v>
      </c>
      <c r="AW122" s="450">
        <f>4*24</f>
        <v>96</v>
      </c>
      <c r="AX122" s="463">
        <v>3600000</v>
      </c>
      <c r="AY122" s="449">
        <v>0</v>
      </c>
      <c r="AZ122" s="449">
        <v>7</v>
      </c>
      <c r="BA122" s="449">
        <v>0</v>
      </c>
      <c r="BB122" s="1027">
        <v>10000</v>
      </c>
      <c r="BC122" s="390">
        <v>656</v>
      </c>
      <c r="BD122" s="257">
        <v>527</v>
      </c>
      <c r="BE122" s="250">
        <v>7</v>
      </c>
      <c r="BF122" s="337">
        <f t="shared" si="47"/>
        <v>4592</v>
      </c>
      <c r="BG122" s="422">
        <f t="shared" si="48"/>
        <v>32144</v>
      </c>
      <c r="BH122" s="450">
        <f>6*24</f>
        <v>144</v>
      </c>
      <c r="BI122" s="463">
        <v>4800000</v>
      </c>
      <c r="BJ122" s="449">
        <v>0</v>
      </c>
      <c r="BK122" s="449">
        <v>10</v>
      </c>
      <c r="BL122" s="449">
        <v>0</v>
      </c>
      <c r="BM122" s="325">
        <v>10000</v>
      </c>
      <c r="BN122" s="390">
        <v>983</v>
      </c>
      <c r="BO122" s="257">
        <v>790</v>
      </c>
      <c r="BP122" s="250">
        <v>7</v>
      </c>
      <c r="BQ122" s="337">
        <f t="shared" si="49"/>
        <v>6881</v>
      </c>
      <c r="BR122" s="422">
        <f t="shared" si="50"/>
        <v>48167</v>
      </c>
      <c r="BS122" s="237">
        <v>216</v>
      </c>
      <c r="BT122" s="424">
        <f>4800000*1.25</f>
        <v>6000000</v>
      </c>
      <c r="BU122" s="432">
        <v>0</v>
      </c>
      <c r="BV122" s="432">
        <v>12</v>
      </c>
      <c r="BW122" s="432">
        <v>0</v>
      </c>
      <c r="BX122" s="325">
        <v>10000</v>
      </c>
      <c r="BY122" s="471"/>
      <c r="BZ122" s="339"/>
      <c r="CA122" s="359">
        <v>10000</v>
      </c>
      <c r="CB122" s="306">
        <v>410000</v>
      </c>
      <c r="CC122" s="396">
        <v>820000</v>
      </c>
      <c r="CD122" s="396">
        <v>1640000</v>
      </c>
      <c r="CE122" s="396"/>
      <c r="CF122" s="396"/>
      <c r="CG122" s="396"/>
      <c r="CH122" s="396"/>
      <c r="CI122" s="396"/>
      <c r="CJ122" s="396"/>
      <c r="CK122" s="396"/>
      <c r="CL122" s="297"/>
      <c r="CM122" s="259" t="s">
        <v>43</v>
      </c>
      <c r="CN122" s="388"/>
      <c r="CO122" s="465"/>
      <c r="CP122" s="465"/>
      <c r="CQ122" s="335"/>
      <c r="CR122" s="1"/>
      <c r="CS122" s="1"/>
      <c r="CT122" s="1"/>
      <c r="CU122" s="1"/>
      <c r="CV122" s="1"/>
      <c r="CW122" s="2"/>
      <c r="CX122" s="603"/>
    </row>
    <row r="123" spans="1:102">
      <c r="A123" s="472"/>
      <c r="B123" s="29" t="s">
        <v>106</v>
      </c>
      <c r="C123" s="279" t="s">
        <v>77</v>
      </c>
      <c r="D123" s="131"/>
      <c r="E123" s="68" t="s">
        <v>43</v>
      </c>
      <c r="F123" s="30"/>
      <c r="G123" s="31"/>
      <c r="H123" s="340">
        <v>4</v>
      </c>
      <c r="I123" s="386" t="s">
        <v>272</v>
      </c>
      <c r="J123" s="140">
        <v>3</v>
      </c>
      <c r="K123" s="352">
        <v>0.22500000000000001</v>
      </c>
      <c r="L123" s="397">
        <f>IF(ISBLANK(Q123),"",Q123/R123)</f>
        <v>0.4854368932038835</v>
      </c>
      <c r="M123" s="375">
        <v>100</v>
      </c>
      <c r="N123" s="404">
        <v>505</v>
      </c>
      <c r="O123" s="383">
        <v>42172</v>
      </c>
      <c r="P123" s="292" t="s">
        <v>201</v>
      </c>
      <c r="Q123" s="169">
        <v>100</v>
      </c>
      <c r="R123" s="32">
        <v>206</v>
      </c>
      <c r="S123" s="156">
        <v>1800</v>
      </c>
      <c r="T123" s="377" t="s">
        <v>465</v>
      </c>
      <c r="U123" s="265" t="s">
        <v>471</v>
      </c>
      <c r="V123" s="421">
        <v>100</v>
      </c>
      <c r="W123" s="322">
        <v>206</v>
      </c>
      <c r="X123" s="358">
        <v>6</v>
      </c>
      <c r="Y123" s="438">
        <f>IF(ISBLANK(X123), "",INT(V123*X123))</f>
        <v>600</v>
      </c>
      <c r="Z123" s="311">
        <f>IF(ISBLANK(X123),"",INT(Y123*$J123))</f>
        <v>1800</v>
      </c>
      <c r="AA123" s="33">
        <v>9</v>
      </c>
      <c r="AB123" s="32">
        <v>0</v>
      </c>
      <c r="AC123" s="32">
        <v>0</v>
      </c>
      <c r="AD123" s="32">
        <v>0</v>
      </c>
      <c r="AE123" s="32">
        <v>0</v>
      </c>
      <c r="AF123" s="429">
        <v>1015</v>
      </c>
      <c r="AG123" s="421">
        <v>150</v>
      </c>
      <c r="AH123" s="322">
        <v>308</v>
      </c>
      <c r="AI123" s="358">
        <v>6</v>
      </c>
      <c r="AJ123" s="438">
        <f>IF(ISBLANK(AI123), "",INT(AG123*AI123))</f>
        <v>900</v>
      </c>
      <c r="AK123" s="311">
        <f>IF(ISBLANK(AI123),"",INT(AJ123*$J123))</f>
        <v>2700</v>
      </c>
      <c r="AL123" s="33">
        <v>3</v>
      </c>
      <c r="AM123" s="52">
        <v>750000</v>
      </c>
      <c r="AN123" s="32">
        <v>0</v>
      </c>
      <c r="AO123" s="32">
        <v>0</v>
      </c>
      <c r="AP123" s="32">
        <v>0</v>
      </c>
      <c r="AQ123" s="360">
        <v>379</v>
      </c>
      <c r="AR123" s="421">
        <v>174</v>
      </c>
      <c r="AS123" s="322">
        <v>360</v>
      </c>
      <c r="AT123" s="358">
        <v>6</v>
      </c>
      <c r="AU123" s="438">
        <f>IF(ISBLANK(AT123), "",INT(AR123*AT123))</f>
        <v>1044</v>
      </c>
      <c r="AV123" s="311">
        <f>IF(ISBLANK(AT123),"",INT(AU123*$J123))</f>
        <v>3132</v>
      </c>
      <c r="AW123" s="33">
        <v>6</v>
      </c>
      <c r="AX123" s="52">
        <v>1150000</v>
      </c>
      <c r="AY123" s="32">
        <v>0</v>
      </c>
      <c r="AZ123" s="32">
        <v>1</v>
      </c>
      <c r="BA123" s="32">
        <v>0</v>
      </c>
      <c r="BB123" s="360">
        <v>885</v>
      </c>
      <c r="BC123" s="421">
        <v>190</v>
      </c>
      <c r="BD123" s="322">
        <v>390</v>
      </c>
      <c r="BE123" s="358">
        <v>6</v>
      </c>
      <c r="BF123" s="438">
        <f>IF(ISBLANK(BE123), "",INT(BC123*BE123))</f>
        <v>1140</v>
      </c>
      <c r="BG123" s="311">
        <f>IF(ISBLANK(BE123),"",INT(BF123*$J123))</f>
        <v>3420</v>
      </c>
      <c r="BH123" s="33">
        <v>9</v>
      </c>
      <c r="BI123" s="52">
        <v>1500000</v>
      </c>
      <c r="BJ123" s="32">
        <v>0</v>
      </c>
      <c r="BK123" s="32">
        <v>0</v>
      </c>
      <c r="BL123" s="32">
        <v>0</v>
      </c>
      <c r="BM123" s="360">
        <v>1441</v>
      </c>
      <c r="BN123" s="421">
        <v>200</v>
      </c>
      <c r="BO123" s="322">
        <v>412</v>
      </c>
      <c r="BP123" s="358">
        <v>6</v>
      </c>
      <c r="BQ123" s="337">
        <f>IF(ISBLANK(BP123), "",INT(BN123*BP123))</f>
        <v>1200</v>
      </c>
      <c r="BR123" s="422">
        <f>IF(ISBLANK(BP123),"",INT(BQ123*$J123))</f>
        <v>3600</v>
      </c>
      <c r="BS123" s="33">
        <v>11</v>
      </c>
      <c r="BT123" s="52">
        <v>1900000</v>
      </c>
      <c r="BU123" s="32">
        <v>0</v>
      </c>
      <c r="BV123" s="32">
        <v>0</v>
      </c>
      <c r="BW123" s="32">
        <v>1</v>
      </c>
      <c r="BX123" s="360">
        <v>2032</v>
      </c>
      <c r="BY123" s="78">
        <v>2</v>
      </c>
      <c r="BZ123" s="339" t="s">
        <v>43</v>
      </c>
      <c r="CA123" s="359"/>
      <c r="CB123" s="306"/>
      <c r="CC123" s="396"/>
      <c r="CD123" s="396"/>
      <c r="CE123" s="396"/>
      <c r="CF123" s="396"/>
      <c r="CG123" s="396"/>
      <c r="CH123" s="396"/>
      <c r="CI123" s="396"/>
      <c r="CJ123" s="396"/>
      <c r="CK123" s="396"/>
      <c r="CL123" s="297"/>
      <c r="CM123" s="259" t="s">
        <v>308</v>
      </c>
      <c r="CN123" s="388"/>
      <c r="CO123" s="465"/>
      <c r="CP123" s="465"/>
      <c r="CQ123" s="335"/>
      <c r="CR123" s="1"/>
      <c r="CS123" s="1"/>
      <c r="CT123" s="1"/>
      <c r="CU123" s="1"/>
      <c r="CV123" s="1"/>
      <c r="CW123" s="2"/>
      <c r="CX123" s="603"/>
    </row>
    <row r="124" spans="1:102">
      <c r="A124" s="472"/>
      <c r="B124" s="29" t="s">
        <v>104</v>
      </c>
      <c r="C124" s="279" t="s">
        <v>77</v>
      </c>
      <c r="D124" s="131"/>
      <c r="E124" s="68" t="s">
        <v>43</v>
      </c>
      <c r="F124" s="30" t="s">
        <v>0</v>
      </c>
      <c r="G124" s="31"/>
      <c r="H124" s="340">
        <v>4</v>
      </c>
      <c r="I124" s="386" t="s">
        <v>272</v>
      </c>
      <c r="J124" s="140">
        <v>3</v>
      </c>
      <c r="K124" s="352">
        <v>0.22500000000000001</v>
      </c>
      <c r="L124" s="397">
        <f>IF(ISBLANK(Q124),"",Q124/R124)</f>
        <v>0.49180327868852458</v>
      </c>
      <c r="M124" s="375">
        <v>100</v>
      </c>
      <c r="N124" s="404">
        <v>506</v>
      </c>
      <c r="O124" s="383">
        <v>42172</v>
      </c>
      <c r="P124" s="292" t="s">
        <v>201</v>
      </c>
      <c r="Q124" s="169">
        <v>120</v>
      </c>
      <c r="R124" s="32">
        <v>244</v>
      </c>
      <c r="S124" s="156">
        <v>2160</v>
      </c>
      <c r="T124" s="377" t="s">
        <v>466</v>
      </c>
      <c r="U124" s="265" t="s">
        <v>471</v>
      </c>
      <c r="V124" s="421">
        <v>120</v>
      </c>
      <c r="W124" s="322">
        <v>244</v>
      </c>
      <c r="X124" s="358">
        <v>6</v>
      </c>
      <c r="Y124" s="438">
        <f>IF(ISBLANK(X124), "",INT(V124*X124))</f>
        <v>720</v>
      </c>
      <c r="Z124" s="311">
        <f>IF(ISBLANK(X124),"",INT(Y124*$J124))</f>
        <v>2160</v>
      </c>
      <c r="AA124" s="33">
        <v>14</v>
      </c>
      <c r="AB124" s="32">
        <v>0</v>
      </c>
      <c r="AC124" s="32">
        <v>0</v>
      </c>
      <c r="AD124" s="32">
        <v>0</v>
      </c>
      <c r="AE124" s="32">
        <v>0</v>
      </c>
      <c r="AF124" s="429">
        <v>1354</v>
      </c>
      <c r="AG124" s="421">
        <v>180</v>
      </c>
      <c r="AH124" s="322">
        <v>366</v>
      </c>
      <c r="AI124" s="358">
        <v>6</v>
      </c>
      <c r="AJ124" s="438">
        <f>IF(ISBLANK(AI124), "",INT(AG124*AI124))</f>
        <v>1080</v>
      </c>
      <c r="AK124" s="311">
        <f>IF(ISBLANK(AI124),"",INT(AJ124*$J124))</f>
        <v>3240</v>
      </c>
      <c r="AL124" s="33">
        <v>4</v>
      </c>
      <c r="AM124" s="52">
        <v>1000000</v>
      </c>
      <c r="AN124" s="32">
        <v>0</v>
      </c>
      <c r="AO124" s="32">
        <v>0</v>
      </c>
      <c r="AP124" s="32">
        <v>0</v>
      </c>
      <c r="AQ124" s="360">
        <v>506</v>
      </c>
      <c r="AR124" s="421">
        <v>210</v>
      </c>
      <c r="AS124" s="322">
        <v>426</v>
      </c>
      <c r="AT124" s="358">
        <v>6</v>
      </c>
      <c r="AU124" s="438">
        <f>IF(ISBLANK(AT124), "",INT(AR124*AT124))</f>
        <v>1260</v>
      </c>
      <c r="AV124" s="311">
        <f>IF(ISBLANK(AT124),"",INT(AU124*$J124))</f>
        <v>3780</v>
      </c>
      <c r="AW124" s="33">
        <v>8</v>
      </c>
      <c r="AX124" s="52">
        <v>1500000</v>
      </c>
      <c r="AY124" s="32">
        <v>0</v>
      </c>
      <c r="AZ124" s="32">
        <v>1</v>
      </c>
      <c r="BA124" s="32">
        <v>0</v>
      </c>
      <c r="BB124" s="360">
        <v>1180</v>
      </c>
      <c r="BC124" s="421">
        <v>228</v>
      </c>
      <c r="BD124" s="322">
        <v>462</v>
      </c>
      <c r="BE124" s="358">
        <v>6</v>
      </c>
      <c r="BF124" s="438">
        <f>IF(ISBLANK(BE124), "",INT(BC124*BE124))</f>
        <v>1368</v>
      </c>
      <c r="BG124" s="311">
        <f>IF(ISBLANK(BE124),"",INT(BF124*$J124))</f>
        <v>4104</v>
      </c>
      <c r="BH124" s="33">
        <v>12</v>
      </c>
      <c r="BI124" s="52">
        <v>2000000</v>
      </c>
      <c r="BJ124" s="32">
        <v>0</v>
      </c>
      <c r="BK124" s="32">
        <v>0</v>
      </c>
      <c r="BL124" s="32">
        <v>0</v>
      </c>
      <c r="BM124" s="360">
        <v>1922</v>
      </c>
      <c r="BN124" s="421">
        <v>240</v>
      </c>
      <c r="BO124" s="322">
        <v>488</v>
      </c>
      <c r="BP124" s="358">
        <v>6</v>
      </c>
      <c r="BQ124" s="337">
        <f>IF(ISBLANK(BP124), "",INT(BN124*BP124))</f>
        <v>1440</v>
      </c>
      <c r="BR124" s="422">
        <f>IF(ISBLANK(BP124),"",INT(BQ124*$J124))</f>
        <v>4320</v>
      </c>
      <c r="BS124" s="33">
        <v>14</v>
      </c>
      <c r="BT124" s="52">
        <v>2500000</v>
      </c>
      <c r="BU124" s="32">
        <v>0</v>
      </c>
      <c r="BV124" s="32">
        <v>0</v>
      </c>
      <c r="BW124" s="32">
        <v>1</v>
      </c>
      <c r="BX124" s="360">
        <v>2710</v>
      </c>
      <c r="BY124" s="78">
        <v>2</v>
      </c>
      <c r="BZ124" s="339" t="s">
        <v>43</v>
      </c>
      <c r="CA124" s="359"/>
      <c r="CB124" s="306"/>
      <c r="CC124" s="396"/>
      <c r="CD124" s="396"/>
      <c r="CE124" s="396"/>
      <c r="CF124" s="396"/>
      <c r="CG124" s="396"/>
      <c r="CH124" s="396"/>
      <c r="CI124" s="396"/>
      <c r="CJ124" s="396"/>
      <c r="CK124" s="396"/>
      <c r="CL124" s="297"/>
      <c r="CM124" s="259" t="s">
        <v>308</v>
      </c>
      <c r="CN124" s="388"/>
      <c r="CO124" s="465"/>
      <c r="CP124" s="465"/>
      <c r="CQ124" s="335"/>
      <c r="CR124" s="1"/>
      <c r="CS124" s="1"/>
      <c r="CT124" s="1"/>
      <c r="CU124" s="1"/>
      <c r="CV124" s="1"/>
      <c r="CW124" s="2"/>
      <c r="CX124" s="603"/>
    </row>
    <row r="125" spans="1:102">
      <c r="A125" s="472"/>
      <c r="B125" s="29" t="s">
        <v>105</v>
      </c>
      <c r="C125" s="279" t="s">
        <v>77</v>
      </c>
      <c r="D125" s="131"/>
      <c r="E125" s="68" t="s">
        <v>43</v>
      </c>
      <c r="F125" s="30"/>
      <c r="G125" s="31"/>
      <c r="H125" s="340">
        <v>4</v>
      </c>
      <c r="I125" s="386" t="s">
        <v>272</v>
      </c>
      <c r="J125" s="140">
        <v>3</v>
      </c>
      <c r="K125" s="352">
        <v>0.22500000000000001</v>
      </c>
      <c r="L125" s="397">
        <f>IF(ISBLANK(Q125),"",Q125/R125)</f>
        <v>0.50359712230215825</v>
      </c>
      <c r="M125" s="375">
        <v>100</v>
      </c>
      <c r="N125" s="404">
        <v>507</v>
      </c>
      <c r="O125" s="383">
        <v>42172</v>
      </c>
      <c r="P125" s="292" t="s">
        <v>201</v>
      </c>
      <c r="Q125" s="169">
        <v>140</v>
      </c>
      <c r="R125" s="32">
        <v>278</v>
      </c>
      <c r="S125" s="156">
        <v>2520</v>
      </c>
      <c r="T125" s="377" t="s">
        <v>467</v>
      </c>
      <c r="U125" s="265" t="s">
        <v>471</v>
      </c>
      <c r="V125" s="421">
        <v>140</v>
      </c>
      <c r="W125" s="322">
        <v>278</v>
      </c>
      <c r="X125" s="358">
        <v>6</v>
      </c>
      <c r="Y125" s="438">
        <f>IF(ISBLANK(X125), "",INT(V125*X125))</f>
        <v>840</v>
      </c>
      <c r="Z125" s="311">
        <f>IF(ISBLANK(X125),"",INT(Y125*$J125))</f>
        <v>2520</v>
      </c>
      <c r="AA125" s="33">
        <v>18</v>
      </c>
      <c r="AB125" s="32">
        <v>0</v>
      </c>
      <c r="AC125" s="32">
        <v>0</v>
      </c>
      <c r="AD125" s="32">
        <v>0</v>
      </c>
      <c r="AE125" s="32">
        <v>0</v>
      </c>
      <c r="AF125" s="429">
        <v>1692</v>
      </c>
      <c r="AG125" s="421">
        <v>210</v>
      </c>
      <c r="AH125" s="322">
        <v>416</v>
      </c>
      <c r="AI125" s="358">
        <v>6</v>
      </c>
      <c r="AJ125" s="438">
        <f>IF(ISBLANK(AI125), "",INT(AG125*AI125))</f>
        <v>1260</v>
      </c>
      <c r="AK125" s="311">
        <f>IF(ISBLANK(AI125),"",INT(AJ125*$J125))</f>
        <v>3780</v>
      </c>
      <c r="AL125" s="33">
        <v>5</v>
      </c>
      <c r="AM125" s="52">
        <v>1250000</v>
      </c>
      <c r="AN125" s="32">
        <v>0</v>
      </c>
      <c r="AO125" s="32">
        <v>0</v>
      </c>
      <c r="AP125" s="32">
        <v>0</v>
      </c>
      <c r="AQ125" s="360">
        <v>632</v>
      </c>
      <c r="AR125" s="421">
        <v>244</v>
      </c>
      <c r="AS125" s="322">
        <v>486</v>
      </c>
      <c r="AT125" s="358">
        <v>6</v>
      </c>
      <c r="AU125" s="438">
        <f>IF(ISBLANK(AT125), "",INT(AR125*AT125))</f>
        <v>1464</v>
      </c>
      <c r="AV125" s="311">
        <f>IF(ISBLANK(AT125),"",INT(AU125*$J125))</f>
        <v>4392</v>
      </c>
      <c r="AW125" s="33">
        <v>10</v>
      </c>
      <c r="AX125" s="52">
        <v>1900000</v>
      </c>
      <c r="AY125" s="32">
        <v>0</v>
      </c>
      <c r="AZ125" s="32">
        <v>1</v>
      </c>
      <c r="BA125" s="32">
        <v>0</v>
      </c>
      <c r="BB125" s="360">
        <v>1475</v>
      </c>
      <c r="BC125" s="421">
        <v>266</v>
      </c>
      <c r="BD125" s="322">
        <v>528</v>
      </c>
      <c r="BE125" s="358">
        <v>6</v>
      </c>
      <c r="BF125" s="438">
        <f>IF(ISBLANK(BE125), "",INT(BC125*BE125))</f>
        <v>1596</v>
      </c>
      <c r="BG125" s="311">
        <f>IF(ISBLANK(BE125),"",INT(BF125*$J125))</f>
        <v>4788</v>
      </c>
      <c r="BH125" s="33">
        <v>15</v>
      </c>
      <c r="BI125" s="52">
        <v>2500000</v>
      </c>
      <c r="BJ125" s="32">
        <v>0</v>
      </c>
      <c r="BK125" s="32">
        <v>0</v>
      </c>
      <c r="BL125" s="32">
        <v>0</v>
      </c>
      <c r="BM125" s="360">
        <v>2402</v>
      </c>
      <c r="BN125" s="421">
        <v>280</v>
      </c>
      <c r="BO125" s="322">
        <v>556</v>
      </c>
      <c r="BP125" s="358">
        <v>6</v>
      </c>
      <c r="BQ125" s="337">
        <f>IF(ISBLANK(BP125), "",INT(BN125*BP125))</f>
        <v>1680</v>
      </c>
      <c r="BR125" s="422">
        <f>IF(ISBLANK(BP125),"",INT(BQ125*$J125))</f>
        <v>5040</v>
      </c>
      <c r="BS125" s="33">
        <v>18</v>
      </c>
      <c r="BT125" s="52">
        <v>3200000</v>
      </c>
      <c r="BU125" s="32">
        <v>0</v>
      </c>
      <c r="BV125" s="32">
        <v>0</v>
      </c>
      <c r="BW125" s="32">
        <v>1</v>
      </c>
      <c r="BX125" s="360">
        <v>3387</v>
      </c>
      <c r="BY125" s="78">
        <v>12</v>
      </c>
      <c r="BZ125" s="339" t="s">
        <v>43</v>
      </c>
      <c r="CA125" s="359"/>
      <c r="CB125" s="306"/>
      <c r="CC125" s="396"/>
      <c r="CD125" s="396"/>
      <c r="CE125" s="396"/>
      <c r="CF125" s="396"/>
      <c r="CG125" s="396"/>
      <c r="CH125" s="396"/>
      <c r="CI125" s="396"/>
      <c r="CJ125" s="396"/>
      <c r="CK125" s="396"/>
      <c r="CL125" s="297"/>
      <c r="CM125" s="259" t="s">
        <v>308</v>
      </c>
      <c r="CN125" s="388"/>
      <c r="CO125" s="465"/>
      <c r="CP125" s="465"/>
      <c r="CQ125" s="335"/>
      <c r="CR125" s="1"/>
      <c r="CS125" s="1"/>
      <c r="CT125" s="1"/>
      <c r="CU125" s="1"/>
      <c r="CV125" s="1"/>
      <c r="CW125" s="2"/>
      <c r="CX125" s="603"/>
    </row>
    <row r="126" spans="1:102">
      <c r="A126" s="472"/>
      <c r="B126" s="29" t="s">
        <v>102</v>
      </c>
      <c r="C126" s="279" t="s">
        <v>77</v>
      </c>
      <c r="D126" s="131"/>
      <c r="E126" s="68" t="s">
        <v>43</v>
      </c>
      <c r="F126" s="30" t="s">
        <v>0</v>
      </c>
      <c r="G126" s="31"/>
      <c r="H126" s="340">
        <v>4</v>
      </c>
      <c r="I126" s="386" t="s">
        <v>272</v>
      </c>
      <c r="J126" s="140">
        <v>4</v>
      </c>
      <c r="K126" s="328">
        <v>0.22500000000000001</v>
      </c>
      <c r="L126" s="397">
        <f>IF(ISBLANK(Q126),"",Q126/R126)</f>
        <v>0.60509554140127386</v>
      </c>
      <c r="M126" s="375">
        <v>100</v>
      </c>
      <c r="N126" s="404">
        <v>508</v>
      </c>
      <c r="O126" s="383">
        <v>42172</v>
      </c>
      <c r="P126" s="292" t="s">
        <v>201</v>
      </c>
      <c r="Q126" s="169">
        <v>190</v>
      </c>
      <c r="R126" s="32">
        <v>314</v>
      </c>
      <c r="S126" s="156">
        <v>6080</v>
      </c>
      <c r="T126" s="377" t="s">
        <v>468</v>
      </c>
      <c r="U126" s="265" t="s">
        <v>471</v>
      </c>
      <c r="V126" s="421">
        <v>190</v>
      </c>
      <c r="W126" s="322">
        <v>314</v>
      </c>
      <c r="X126" s="358">
        <v>8</v>
      </c>
      <c r="Y126" s="438">
        <f>IF(ISBLANK(X126), "",INT(V126*X126))</f>
        <v>1520</v>
      </c>
      <c r="Z126" s="311">
        <f>IF(ISBLANK(X126),"",INT(Y126*$J126))</f>
        <v>6080</v>
      </c>
      <c r="AA126" s="33">
        <v>21</v>
      </c>
      <c r="AB126" s="32">
        <v>0</v>
      </c>
      <c r="AC126" s="32">
        <v>0</v>
      </c>
      <c r="AD126" s="32">
        <v>0</v>
      </c>
      <c r="AE126" s="32">
        <v>0</v>
      </c>
      <c r="AF126" s="286">
        <v>1974</v>
      </c>
      <c r="AG126" s="421">
        <v>284</v>
      </c>
      <c r="AH126" s="322">
        <v>470</v>
      </c>
      <c r="AI126" s="358">
        <v>8</v>
      </c>
      <c r="AJ126" s="438">
        <f>IF(ISBLANK(AI126), "",INT(AG126*AI126))</f>
        <v>2272</v>
      </c>
      <c r="AK126" s="311">
        <f>IF(ISBLANK(AI126),"",INT(AJ126*$J126))</f>
        <v>9088</v>
      </c>
      <c r="AL126" s="33">
        <v>6</v>
      </c>
      <c r="AM126" s="52">
        <v>1500000</v>
      </c>
      <c r="AN126" s="32">
        <v>0</v>
      </c>
      <c r="AO126" s="32">
        <v>0</v>
      </c>
      <c r="AP126" s="32">
        <v>0</v>
      </c>
      <c r="AQ126" s="325">
        <v>758</v>
      </c>
      <c r="AR126" s="287">
        <v>332</v>
      </c>
      <c r="AS126" s="273">
        <v>549</v>
      </c>
      <c r="AT126" s="358">
        <v>8</v>
      </c>
      <c r="AU126" s="403">
        <f>IF(ISBLANK(AT126), "",INT(AR126*AT126))</f>
        <v>2656</v>
      </c>
      <c r="AV126" s="245">
        <f>IF(ISBLANK(AT126),"",INT(AU126*$J126))</f>
        <v>10624</v>
      </c>
      <c r="AW126" s="237">
        <v>12</v>
      </c>
      <c r="AX126" s="424">
        <v>2250000</v>
      </c>
      <c r="AY126" s="432">
        <v>0</v>
      </c>
      <c r="AZ126" s="432">
        <v>1</v>
      </c>
      <c r="BA126" s="432">
        <v>0</v>
      </c>
      <c r="BB126" s="325">
        <v>1770</v>
      </c>
      <c r="BC126" s="287">
        <v>361</v>
      </c>
      <c r="BD126" s="273">
        <v>596</v>
      </c>
      <c r="BE126" s="358">
        <v>8</v>
      </c>
      <c r="BF126" s="403">
        <f>IF(ISBLANK(BE126), "",INT(BC126*BE126))</f>
        <v>2888</v>
      </c>
      <c r="BG126" s="245">
        <f>IF(ISBLANK(BE126),"",INT(BF126*$J126))</f>
        <v>11552</v>
      </c>
      <c r="BH126" s="237">
        <f>18</f>
        <v>18</v>
      </c>
      <c r="BI126" s="424">
        <v>3000000</v>
      </c>
      <c r="BJ126" s="432">
        <v>0</v>
      </c>
      <c r="BK126" s="432">
        <v>0</v>
      </c>
      <c r="BL126" s="432">
        <v>0</v>
      </c>
      <c r="BM126" s="325">
        <v>2882</v>
      </c>
      <c r="BN126" s="421">
        <v>380</v>
      </c>
      <c r="BO126" s="322">
        <v>628</v>
      </c>
      <c r="BP126" s="358">
        <v>8</v>
      </c>
      <c r="BQ126" s="337">
        <f>IF(ISBLANK(BP126), "",INT(BN126*BP126))</f>
        <v>3040</v>
      </c>
      <c r="BR126" s="422">
        <f>IF(ISBLANK(BP126),"",INT(BQ126*$J126))</f>
        <v>12160</v>
      </c>
      <c r="BS126" s="237">
        <f>21</f>
        <v>21</v>
      </c>
      <c r="BT126" s="424">
        <v>3750000</v>
      </c>
      <c r="BU126" s="432">
        <v>0</v>
      </c>
      <c r="BV126" s="432">
        <v>0</v>
      </c>
      <c r="BW126" s="432">
        <v>1</v>
      </c>
      <c r="BX126" s="325">
        <v>3951</v>
      </c>
      <c r="BY126" s="385">
        <v>14</v>
      </c>
      <c r="BZ126" s="339" t="s">
        <v>43</v>
      </c>
      <c r="CA126" s="359"/>
      <c r="CB126" s="306"/>
      <c r="CC126" s="396"/>
      <c r="CD126" s="396"/>
      <c r="CE126" s="396"/>
      <c r="CF126" s="396"/>
      <c r="CG126" s="396"/>
      <c r="CH126" s="396"/>
      <c r="CI126" s="396"/>
      <c r="CJ126" s="396"/>
      <c r="CK126" s="396"/>
      <c r="CL126" s="297"/>
      <c r="CM126" s="259" t="s">
        <v>308</v>
      </c>
      <c r="CN126" s="388"/>
      <c r="CO126" s="465"/>
      <c r="CP126" s="465"/>
      <c r="CQ126" s="335"/>
      <c r="CR126" s="1"/>
      <c r="CS126" s="1"/>
      <c r="CT126" s="1"/>
      <c r="CU126" s="1"/>
      <c r="CV126" s="1"/>
      <c r="CW126" s="2"/>
      <c r="CX126" s="603"/>
    </row>
    <row r="127" spans="1:102">
      <c r="A127" s="472"/>
      <c r="B127" s="29" t="s">
        <v>253</v>
      </c>
      <c r="C127" s="279" t="s">
        <v>77</v>
      </c>
      <c r="D127" s="131"/>
      <c r="E127" s="68" t="s">
        <v>43</v>
      </c>
      <c r="F127" s="30"/>
      <c r="G127" s="31"/>
      <c r="H127" s="340">
        <v>7</v>
      </c>
      <c r="I127" s="386" t="s">
        <v>271</v>
      </c>
      <c r="J127" s="140">
        <v>12</v>
      </c>
      <c r="K127" s="391">
        <v>0.2</v>
      </c>
      <c r="L127" s="397">
        <f t="shared" si="51"/>
        <v>2</v>
      </c>
      <c r="M127" s="375">
        <v>100</v>
      </c>
      <c r="N127" s="404">
        <v>530</v>
      </c>
      <c r="O127" s="383">
        <v>42382</v>
      </c>
      <c r="P127" s="292" t="s">
        <v>206</v>
      </c>
      <c r="Q127" s="169">
        <v>1000</v>
      </c>
      <c r="R127" s="32">
        <v>500</v>
      </c>
      <c r="S127" s="156">
        <v>156000</v>
      </c>
      <c r="T127" s="377" t="s">
        <v>469</v>
      </c>
      <c r="U127" s="265" t="s">
        <v>339</v>
      </c>
      <c r="V127" s="421">
        <v>334</v>
      </c>
      <c r="W127" s="322">
        <v>167</v>
      </c>
      <c r="X127" s="358">
        <v>13</v>
      </c>
      <c r="Y127" s="438">
        <f t="shared" si="41"/>
        <v>4342</v>
      </c>
      <c r="Z127" s="311">
        <f t="shared" si="42"/>
        <v>52104</v>
      </c>
      <c r="AA127" s="33">
        <f>1.5</f>
        <v>1.5</v>
      </c>
      <c r="AB127" s="32">
        <v>0</v>
      </c>
      <c r="AC127" s="32">
        <v>0</v>
      </c>
      <c r="AD127" s="32">
        <v>0</v>
      </c>
      <c r="AE127" s="32">
        <v>0</v>
      </c>
      <c r="AF127" s="429">
        <v>1303</v>
      </c>
      <c r="AG127" s="421">
        <v>417</v>
      </c>
      <c r="AH127" s="322">
        <v>209</v>
      </c>
      <c r="AI127" s="358">
        <v>13</v>
      </c>
      <c r="AJ127" s="438">
        <f t="shared" si="43"/>
        <v>5421</v>
      </c>
      <c r="AK127" s="311">
        <f t="shared" si="44"/>
        <v>65052</v>
      </c>
      <c r="AL127" s="33">
        <v>9</v>
      </c>
      <c r="AM127" s="52">
        <v>4000000</v>
      </c>
      <c r="AN127" s="32">
        <v>0</v>
      </c>
      <c r="AO127" s="32">
        <v>5</v>
      </c>
      <c r="AP127" s="32">
        <v>0</v>
      </c>
      <c r="AQ127" s="360">
        <v>9758</v>
      </c>
      <c r="AR127" s="421">
        <v>500</v>
      </c>
      <c r="AS127" s="322">
        <v>250</v>
      </c>
      <c r="AT127" s="358">
        <v>13</v>
      </c>
      <c r="AU127" s="438">
        <f t="shared" si="45"/>
        <v>6500</v>
      </c>
      <c r="AV127" s="311">
        <f t="shared" si="46"/>
        <v>78000</v>
      </c>
      <c r="AW127" s="33">
        <v>18</v>
      </c>
      <c r="AX127" s="52">
        <v>6000000</v>
      </c>
      <c r="AY127" s="32">
        <v>0</v>
      </c>
      <c r="AZ127" s="32">
        <v>10</v>
      </c>
      <c r="BA127" s="32">
        <v>0</v>
      </c>
      <c r="BB127" s="360">
        <v>10000</v>
      </c>
      <c r="BC127" s="421">
        <v>667</v>
      </c>
      <c r="BD127" s="322">
        <v>334</v>
      </c>
      <c r="BE127" s="358">
        <v>13</v>
      </c>
      <c r="BF127" s="438">
        <f t="shared" si="47"/>
        <v>8671</v>
      </c>
      <c r="BG127" s="311">
        <f t="shared" si="48"/>
        <v>104052</v>
      </c>
      <c r="BH127" s="33">
        <f>1*24+12</f>
        <v>36</v>
      </c>
      <c r="BI127" s="52">
        <v>8000000</v>
      </c>
      <c r="BJ127" s="32">
        <v>0</v>
      </c>
      <c r="BK127" s="32">
        <v>0</v>
      </c>
      <c r="BL127" s="32">
        <v>5</v>
      </c>
      <c r="BM127" s="370">
        <v>10000</v>
      </c>
      <c r="BN127" s="421">
        <v>1000</v>
      </c>
      <c r="BO127" s="322">
        <v>500</v>
      </c>
      <c r="BP127" s="358">
        <v>13</v>
      </c>
      <c r="BQ127" s="337">
        <f t="shared" si="49"/>
        <v>13000</v>
      </c>
      <c r="BR127" s="422">
        <f t="shared" si="50"/>
        <v>156000</v>
      </c>
      <c r="BS127" s="33">
        <f>3*24</f>
        <v>72</v>
      </c>
      <c r="BT127" s="52">
        <v>10000000</v>
      </c>
      <c r="BU127" s="32">
        <v>0</v>
      </c>
      <c r="BV127" s="32">
        <v>0</v>
      </c>
      <c r="BW127" s="32">
        <v>10</v>
      </c>
      <c r="BX127" s="325">
        <v>10000</v>
      </c>
      <c r="BY127" s="78"/>
      <c r="BZ127" s="339"/>
      <c r="CA127" s="359"/>
      <c r="CB127" s="306"/>
      <c r="CC127" s="396"/>
      <c r="CD127" s="396"/>
      <c r="CE127" s="396"/>
      <c r="CF127" s="396"/>
      <c r="CG127" s="396"/>
      <c r="CH127" s="396"/>
      <c r="CI127" s="396"/>
      <c r="CJ127" s="396"/>
      <c r="CK127" s="396"/>
      <c r="CL127" s="297"/>
      <c r="CM127" s="259" t="s">
        <v>308</v>
      </c>
      <c r="CN127" s="388"/>
      <c r="CO127" s="465"/>
      <c r="CP127" s="465"/>
      <c r="CQ127" s="335"/>
      <c r="CR127" s="1"/>
      <c r="CS127" s="1"/>
      <c r="CT127" s="1"/>
      <c r="CU127" s="1"/>
      <c r="CV127" s="1"/>
      <c r="CW127" s="2"/>
      <c r="CX127" s="603"/>
    </row>
    <row r="128" spans="1:102">
      <c r="A128" s="472"/>
      <c r="B128" s="44" t="s">
        <v>65</v>
      </c>
      <c r="C128" s="473" t="s">
        <v>10</v>
      </c>
      <c r="D128" s="132"/>
      <c r="E128" s="69" t="s">
        <v>0</v>
      </c>
      <c r="F128" s="45" t="s">
        <v>0</v>
      </c>
      <c r="G128" s="46"/>
      <c r="H128" s="475">
        <v>1</v>
      </c>
      <c r="I128" s="476" t="s">
        <v>268</v>
      </c>
      <c r="J128" s="141">
        <v>2.5</v>
      </c>
      <c r="K128" s="477">
        <v>0.1</v>
      </c>
      <c r="L128" s="512">
        <f t="shared" si="51"/>
        <v>0.88888888888888884</v>
      </c>
      <c r="M128" s="173">
        <v>30</v>
      </c>
      <c r="N128" s="45">
        <v>16</v>
      </c>
      <c r="O128" s="511" t="s">
        <v>472</v>
      </c>
      <c r="P128" s="165" t="s">
        <v>201</v>
      </c>
      <c r="Q128" s="170">
        <v>120</v>
      </c>
      <c r="R128" s="47">
        <v>135</v>
      </c>
      <c r="S128" s="212">
        <v>900</v>
      </c>
      <c r="T128" s="318" t="s">
        <v>473</v>
      </c>
      <c r="U128" s="510" t="s">
        <v>472</v>
      </c>
      <c r="V128" s="483">
        <v>120</v>
      </c>
      <c r="W128" s="98">
        <v>135</v>
      </c>
      <c r="X128" s="484">
        <v>3</v>
      </c>
      <c r="Y128" s="508">
        <f t="shared" ref="Y128:Y161" si="52">IF(ISBLANK(X128), "",INT(V128*X128))</f>
        <v>360</v>
      </c>
      <c r="Z128" s="509">
        <f t="shared" ref="Z128:Z161" si="53">IF(ISBLANK(X128),"",INT(Y128*$J128))</f>
        <v>900</v>
      </c>
      <c r="AA128" s="48">
        <v>2</v>
      </c>
      <c r="AB128" s="47">
        <v>4000</v>
      </c>
      <c r="AC128" s="47">
        <v>0</v>
      </c>
      <c r="AD128" s="47">
        <v>0</v>
      </c>
      <c r="AE128" s="47">
        <v>0</v>
      </c>
      <c r="AF128" s="491">
        <v>72</v>
      </c>
      <c r="AG128" s="483">
        <v>180</v>
      </c>
      <c r="AH128" s="98">
        <v>202</v>
      </c>
      <c r="AI128" s="484">
        <v>3</v>
      </c>
      <c r="AJ128" s="508">
        <f t="shared" ref="AJ128:AJ161" si="54">IF(ISBLANK(AI128), "",INT(AG128*AI128))</f>
        <v>540</v>
      </c>
      <c r="AK128" s="509">
        <f t="shared" ref="AK128:AK161" si="55">IF(ISBLANK(AI128),"",INT(AJ128*$J128))</f>
        <v>1350</v>
      </c>
      <c r="AL128" s="48">
        <v>0.5</v>
      </c>
      <c r="AM128" s="53">
        <v>5000</v>
      </c>
      <c r="AN128" s="47">
        <v>0</v>
      </c>
      <c r="AO128" s="47">
        <v>0</v>
      </c>
      <c r="AP128" s="47">
        <v>0</v>
      </c>
      <c r="AQ128" s="493">
        <v>27</v>
      </c>
      <c r="AR128" s="483">
        <v>210</v>
      </c>
      <c r="AS128" s="98">
        <v>236</v>
      </c>
      <c r="AT128" s="484">
        <v>3</v>
      </c>
      <c r="AU128" s="508">
        <f t="shared" ref="AU128:AU161" si="56">IF(ISBLANK(AT128), "",INT(AR128*AT128))</f>
        <v>630</v>
      </c>
      <c r="AV128" s="509">
        <f t="shared" ref="AV128:AV161" si="57">IF(ISBLANK(AT128),"",INT(AU128*$J128))</f>
        <v>1575</v>
      </c>
      <c r="AW128" s="48">
        <v>1</v>
      </c>
      <c r="AX128" s="53">
        <v>10000</v>
      </c>
      <c r="AY128" s="47">
        <v>1</v>
      </c>
      <c r="AZ128" s="47">
        <v>0</v>
      </c>
      <c r="BA128" s="47">
        <v>0</v>
      </c>
      <c r="BB128" s="493">
        <v>63</v>
      </c>
      <c r="BC128" s="483">
        <v>228</v>
      </c>
      <c r="BD128" s="98">
        <v>256</v>
      </c>
      <c r="BE128" s="484">
        <v>3</v>
      </c>
      <c r="BF128" s="508">
        <f t="shared" ref="BF128:BF161" si="58">IF(ISBLANK(BE128), "",INT(BC128*BE128))</f>
        <v>684</v>
      </c>
      <c r="BG128" s="509">
        <f t="shared" ref="BG128:BG161" si="59">IF(ISBLANK(BE128),"",INT(BF128*$J128))</f>
        <v>1710</v>
      </c>
      <c r="BH128" s="48">
        <v>2</v>
      </c>
      <c r="BI128" s="53">
        <v>15000</v>
      </c>
      <c r="BJ128" s="47">
        <v>0</v>
      </c>
      <c r="BK128" s="47">
        <v>0</v>
      </c>
      <c r="BL128" s="47">
        <v>0</v>
      </c>
      <c r="BM128" s="493">
        <v>102</v>
      </c>
      <c r="BN128" s="483">
        <v>240</v>
      </c>
      <c r="BO128" s="98">
        <v>270</v>
      </c>
      <c r="BP128" s="484">
        <v>3</v>
      </c>
      <c r="BQ128" s="506">
        <f t="shared" ref="BQ128:BQ161" si="60">IF(ISBLANK(BP128), "",INT(BN128*BP128))</f>
        <v>720</v>
      </c>
      <c r="BR128" s="507">
        <f t="shared" ref="BR128:BR161" si="61">IF(ISBLANK(BP128),"",INT(BQ128*$J128))</f>
        <v>1800</v>
      </c>
      <c r="BS128" s="48">
        <v>2</v>
      </c>
      <c r="BT128" s="53">
        <v>20000</v>
      </c>
      <c r="BU128" s="47">
        <v>0</v>
      </c>
      <c r="BV128" s="47">
        <v>1</v>
      </c>
      <c r="BW128" s="47">
        <v>0</v>
      </c>
      <c r="BX128" s="493">
        <v>144</v>
      </c>
      <c r="BY128" s="77">
        <v>2</v>
      </c>
      <c r="BZ128" s="504" t="s">
        <v>43</v>
      </c>
      <c r="CA128" s="496"/>
      <c r="CB128" s="497"/>
      <c r="CC128" s="498"/>
      <c r="CD128" s="498"/>
      <c r="CE128" s="498"/>
      <c r="CF128" s="498"/>
      <c r="CG128" s="498"/>
      <c r="CH128" s="498"/>
      <c r="CI128" s="498"/>
      <c r="CJ128" s="498"/>
      <c r="CK128" s="498"/>
      <c r="CL128" s="499"/>
      <c r="CM128" s="500" t="s">
        <v>528</v>
      </c>
      <c r="CN128" s="501">
        <v>6</v>
      </c>
      <c r="CO128" s="502">
        <v>6</v>
      </c>
      <c r="CP128" s="502">
        <v>16</v>
      </c>
      <c r="CQ128" s="503">
        <v>26</v>
      </c>
      <c r="CR128" s="1"/>
      <c r="CS128" s="1"/>
      <c r="CT128" s="1"/>
      <c r="CU128" s="1"/>
      <c r="CV128" s="1"/>
      <c r="CW128" s="2"/>
      <c r="CX128" s="603"/>
    </row>
    <row r="129" spans="1:102">
      <c r="A129" s="79"/>
      <c r="B129" s="44" t="s">
        <v>16</v>
      </c>
      <c r="C129" s="473" t="s">
        <v>10</v>
      </c>
      <c r="D129" s="132"/>
      <c r="E129" s="69"/>
      <c r="F129" s="45" t="s">
        <v>0</v>
      </c>
      <c r="G129" s="46"/>
      <c r="H129" s="475">
        <v>1</v>
      </c>
      <c r="I129" s="476" t="s">
        <v>268</v>
      </c>
      <c r="J129" s="141">
        <v>1</v>
      </c>
      <c r="K129" s="477">
        <v>0.13250000000000001</v>
      </c>
      <c r="L129" s="512">
        <f t="shared" si="51"/>
        <v>0.57647058823529407</v>
      </c>
      <c r="M129" s="173">
        <v>30</v>
      </c>
      <c r="N129" s="45">
        <v>9</v>
      </c>
      <c r="O129" s="511" t="s">
        <v>472</v>
      </c>
      <c r="P129" s="165" t="s">
        <v>201</v>
      </c>
      <c r="Q129" s="170">
        <v>98</v>
      </c>
      <c r="R129" s="47">
        <v>170</v>
      </c>
      <c r="S129" s="212">
        <v>686</v>
      </c>
      <c r="T129" s="318" t="s">
        <v>474</v>
      </c>
      <c r="U129" s="510" t="s">
        <v>472</v>
      </c>
      <c r="V129" s="483">
        <v>98</v>
      </c>
      <c r="W129" s="98">
        <v>170</v>
      </c>
      <c r="X129" s="484">
        <v>7</v>
      </c>
      <c r="Y129" s="508">
        <f t="shared" si="52"/>
        <v>686</v>
      </c>
      <c r="Z129" s="509">
        <f t="shared" si="53"/>
        <v>686</v>
      </c>
      <c r="AA129" s="48">
        <v>4</v>
      </c>
      <c r="AB129" s="47">
        <v>10000</v>
      </c>
      <c r="AC129" s="47">
        <v>0</v>
      </c>
      <c r="AD129" s="47">
        <v>0</v>
      </c>
      <c r="AE129" s="47">
        <v>0</v>
      </c>
      <c r="AF129" s="491">
        <v>363</v>
      </c>
      <c r="AG129" s="483">
        <v>147</v>
      </c>
      <c r="AH129" s="98">
        <v>255</v>
      </c>
      <c r="AI129" s="484">
        <v>7</v>
      </c>
      <c r="AJ129" s="508">
        <f t="shared" si="54"/>
        <v>1029</v>
      </c>
      <c r="AK129" s="509">
        <f t="shared" si="55"/>
        <v>1029</v>
      </c>
      <c r="AL129" s="48">
        <v>1</v>
      </c>
      <c r="AM129" s="53">
        <v>10000</v>
      </c>
      <c r="AN129" s="47">
        <v>0</v>
      </c>
      <c r="AO129" s="47">
        <v>0</v>
      </c>
      <c r="AP129" s="47">
        <v>0</v>
      </c>
      <c r="AQ129" s="493">
        <v>136</v>
      </c>
      <c r="AR129" s="483">
        <v>171</v>
      </c>
      <c r="AS129" s="98">
        <v>297</v>
      </c>
      <c r="AT129" s="484">
        <v>8</v>
      </c>
      <c r="AU129" s="508">
        <f t="shared" si="56"/>
        <v>1368</v>
      </c>
      <c r="AV129" s="509">
        <f t="shared" si="57"/>
        <v>1368</v>
      </c>
      <c r="AW129" s="48">
        <v>2</v>
      </c>
      <c r="AX129" s="53">
        <v>15000</v>
      </c>
      <c r="AY129" s="47">
        <v>1</v>
      </c>
      <c r="AZ129" s="47">
        <v>0</v>
      </c>
      <c r="BA129" s="47">
        <v>0</v>
      </c>
      <c r="BB129" s="493">
        <v>362</v>
      </c>
      <c r="BC129" s="483">
        <v>186</v>
      </c>
      <c r="BD129" s="98">
        <v>323</v>
      </c>
      <c r="BE129" s="484">
        <v>8</v>
      </c>
      <c r="BF129" s="508">
        <f t="shared" si="58"/>
        <v>1488</v>
      </c>
      <c r="BG129" s="509">
        <f t="shared" si="59"/>
        <v>1488</v>
      </c>
      <c r="BH129" s="48">
        <v>3</v>
      </c>
      <c r="BI129" s="53">
        <v>20000</v>
      </c>
      <c r="BJ129" s="47">
        <v>0</v>
      </c>
      <c r="BK129" s="47">
        <v>0</v>
      </c>
      <c r="BL129" s="47">
        <v>0</v>
      </c>
      <c r="BM129" s="493">
        <v>591</v>
      </c>
      <c r="BN129" s="483">
        <v>196</v>
      </c>
      <c r="BO129" s="98">
        <v>340</v>
      </c>
      <c r="BP129" s="484">
        <v>8</v>
      </c>
      <c r="BQ129" s="506">
        <f t="shared" si="60"/>
        <v>1568</v>
      </c>
      <c r="BR129" s="507">
        <f t="shared" si="61"/>
        <v>1568</v>
      </c>
      <c r="BS129" s="48">
        <v>4</v>
      </c>
      <c r="BT129" s="53">
        <v>25000</v>
      </c>
      <c r="BU129" s="47">
        <v>0</v>
      </c>
      <c r="BV129" s="47">
        <v>1</v>
      </c>
      <c r="BW129" s="47">
        <v>0</v>
      </c>
      <c r="BX129" s="493">
        <v>831</v>
      </c>
      <c r="BY129" s="77">
        <v>4</v>
      </c>
      <c r="BZ129" s="504" t="s">
        <v>43</v>
      </c>
      <c r="CA129" s="496"/>
      <c r="CB129" s="497"/>
      <c r="CC129" s="498"/>
      <c r="CD129" s="498"/>
      <c r="CE129" s="498"/>
      <c r="CF129" s="498"/>
      <c r="CG129" s="498"/>
      <c r="CH129" s="498"/>
      <c r="CI129" s="498"/>
      <c r="CJ129" s="498"/>
      <c r="CK129" s="498"/>
      <c r="CL129" s="499"/>
      <c r="CM129" s="500" t="s">
        <v>528</v>
      </c>
      <c r="CN129" s="501">
        <v>9</v>
      </c>
      <c r="CO129" s="502">
        <v>9</v>
      </c>
      <c r="CP129" s="502">
        <v>19</v>
      </c>
      <c r="CQ129" s="503">
        <v>29</v>
      </c>
      <c r="CR129" s="1"/>
      <c r="CS129" s="1"/>
      <c r="CT129" s="1"/>
      <c r="CU129" s="1"/>
      <c r="CV129" s="1"/>
      <c r="CW129" s="2"/>
      <c r="CX129" s="603"/>
    </row>
    <row r="130" spans="1:102">
      <c r="A130" s="472"/>
      <c r="B130" s="44" t="s">
        <v>71</v>
      </c>
      <c r="C130" s="473" t="s">
        <v>10</v>
      </c>
      <c r="D130" s="132"/>
      <c r="E130" s="69" t="s">
        <v>9</v>
      </c>
      <c r="F130" s="45" t="s">
        <v>9</v>
      </c>
      <c r="G130" s="46"/>
      <c r="H130" s="475">
        <v>2</v>
      </c>
      <c r="I130" s="476" t="s">
        <v>268</v>
      </c>
      <c r="J130" s="142">
        <v>3</v>
      </c>
      <c r="K130" s="477">
        <v>0.1</v>
      </c>
      <c r="L130" s="512">
        <f t="shared" si="51"/>
        <v>0.90322580645161288</v>
      </c>
      <c r="M130" s="173">
        <v>30</v>
      </c>
      <c r="N130" s="45">
        <v>24</v>
      </c>
      <c r="O130" s="511" t="s">
        <v>472</v>
      </c>
      <c r="P130" s="165" t="s">
        <v>201</v>
      </c>
      <c r="Q130" s="170">
        <v>140</v>
      </c>
      <c r="R130" s="47">
        <v>155</v>
      </c>
      <c r="S130" s="157">
        <v>1260</v>
      </c>
      <c r="T130" s="318" t="s">
        <v>475</v>
      </c>
      <c r="U130" s="510" t="s">
        <v>472</v>
      </c>
      <c r="V130" s="485">
        <v>140</v>
      </c>
      <c r="W130" s="98">
        <v>155</v>
      </c>
      <c r="X130" s="486">
        <v>3</v>
      </c>
      <c r="Y130" s="508">
        <f t="shared" si="52"/>
        <v>420</v>
      </c>
      <c r="Z130" s="509">
        <f t="shared" si="53"/>
        <v>1260</v>
      </c>
      <c r="AA130" s="48">
        <v>8</v>
      </c>
      <c r="AB130" s="47">
        <v>25000</v>
      </c>
      <c r="AC130" s="47">
        <v>0</v>
      </c>
      <c r="AD130" s="47">
        <v>0</v>
      </c>
      <c r="AE130" s="47">
        <v>0</v>
      </c>
      <c r="AF130" s="491">
        <v>336</v>
      </c>
      <c r="AG130" s="483">
        <v>210</v>
      </c>
      <c r="AH130" s="98">
        <v>232</v>
      </c>
      <c r="AI130" s="486">
        <v>3</v>
      </c>
      <c r="AJ130" s="508">
        <f t="shared" si="54"/>
        <v>630</v>
      </c>
      <c r="AK130" s="509">
        <f t="shared" si="55"/>
        <v>1890</v>
      </c>
      <c r="AL130" s="48">
        <v>2</v>
      </c>
      <c r="AM130" s="53">
        <v>25000</v>
      </c>
      <c r="AN130" s="47">
        <v>0</v>
      </c>
      <c r="AO130" s="47">
        <v>0</v>
      </c>
      <c r="AP130" s="47">
        <v>0</v>
      </c>
      <c r="AQ130" s="493">
        <v>126</v>
      </c>
      <c r="AR130" s="483">
        <v>245</v>
      </c>
      <c r="AS130" s="98">
        <v>271</v>
      </c>
      <c r="AT130" s="486">
        <v>3</v>
      </c>
      <c r="AU130" s="508">
        <f t="shared" si="56"/>
        <v>735</v>
      </c>
      <c r="AV130" s="509">
        <f t="shared" si="57"/>
        <v>2205</v>
      </c>
      <c r="AW130" s="48">
        <v>4</v>
      </c>
      <c r="AX130" s="53">
        <v>37500</v>
      </c>
      <c r="AY130" s="47">
        <v>1</v>
      </c>
      <c r="AZ130" s="47">
        <v>0</v>
      </c>
      <c r="BA130" s="47">
        <v>0</v>
      </c>
      <c r="BB130" s="493">
        <v>294</v>
      </c>
      <c r="BC130" s="483">
        <v>266</v>
      </c>
      <c r="BD130" s="98">
        <v>294</v>
      </c>
      <c r="BE130" s="486">
        <v>3</v>
      </c>
      <c r="BF130" s="508">
        <f t="shared" si="58"/>
        <v>798</v>
      </c>
      <c r="BG130" s="509">
        <f t="shared" si="59"/>
        <v>2394</v>
      </c>
      <c r="BH130" s="48">
        <v>6</v>
      </c>
      <c r="BI130" s="53">
        <v>50000</v>
      </c>
      <c r="BJ130" s="47">
        <v>0</v>
      </c>
      <c r="BK130" s="47">
        <v>0</v>
      </c>
      <c r="BL130" s="47">
        <v>0</v>
      </c>
      <c r="BM130" s="493">
        <v>478</v>
      </c>
      <c r="BN130" s="483">
        <v>280</v>
      </c>
      <c r="BO130" s="98">
        <v>310</v>
      </c>
      <c r="BP130" s="486">
        <v>3</v>
      </c>
      <c r="BQ130" s="506">
        <f t="shared" si="60"/>
        <v>840</v>
      </c>
      <c r="BR130" s="507">
        <f t="shared" si="61"/>
        <v>2520</v>
      </c>
      <c r="BS130" s="48">
        <v>8</v>
      </c>
      <c r="BT130" s="53">
        <v>62500</v>
      </c>
      <c r="BU130" s="47">
        <v>0</v>
      </c>
      <c r="BV130" s="47">
        <v>1</v>
      </c>
      <c r="BW130" s="47">
        <v>0</v>
      </c>
      <c r="BX130" s="493">
        <v>672</v>
      </c>
      <c r="BY130" s="77">
        <v>8</v>
      </c>
      <c r="BZ130" s="504" t="s">
        <v>43</v>
      </c>
      <c r="CA130" s="496"/>
      <c r="CB130" s="497"/>
      <c r="CC130" s="498"/>
      <c r="CD130" s="498"/>
      <c r="CE130" s="498"/>
      <c r="CF130" s="498"/>
      <c r="CG130" s="498"/>
      <c r="CH130" s="498"/>
      <c r="CI130" s="498"/>
      <c r="CJ130" s="498"/>
      <c r="CK130" s="498"/>
      <c r="CL130" s="499"/>
      <c r="CM130" s="500" t="s">
        <v>528</v>
      </c>
      <c r="CN130" s="501">
        <v>11</v>
      </c>
      <c r="CO130" s="502">
        <v>11</v>
      </c>
      <c r="CP130" s="502">
        <v>21</v>
      </c>
      <c r="CQ130" s="503">
        <v>31</v>
      </c>
      <c r="CR130" s="1"/>
      <c r="CS130" s="1"/>
      <c r="CT130" s="1"/>
      <c r="CU130" s="1"/>
      <c r="CV130" s="1"/>
      <c r="CW130" s="2"/>
      <c r="CX130" s="603"/>
    </row>
    <row r="131" spans="1:102">
      <c r="A131" s="472"/>
      <c r="B131" s="44" t="s">
        <v>75</v>
      </c>
      <c r="C131" s="473" t="s">
        <v>10</v>
      </c>
      <c r="D131" s="132"/>
      <c r="E131" s="69" t="s">
        <v>9</v>
      </c>
      <c r="F131" s="45"/>
      <c r="G131" s="46"/>
      <c r="H131" s="475">
        <v>3</v>
      </c>
      <c r="I131" s="476" t="s">
        <v>268</v>
      </c>
      <c r="J131" s="141">
        <v>3.5</v>
      </c>
      <c r="K131" s="477">
        <v>0.1</v>
      </c>
      <c r="L131" s="512">
        <f t="shared" si="51"/>
        <v>0.93567251461988299</v>
      </c>
      <c r="M131" s="173">
        <v>30</v>
      </c>
      <c r="N131" s="45">
        <v>33</v>
      </c>
      <c r="O131" s="511" t="s">
        <v>472</v>
      </c>
      <c r="P131" s="165" t="s">
        <v>201</v>
      </c>
      <c r="Q131" s="170">
        <v>160</v>
      </c>
      <c r="R131" s="47">
        <v>171</v>
      </c>
      <c r="S131" s="212">
        <v>2240</v>
      </c>
      <c r="T131" s="318" t="s">
        <v>964</v>
      </c>
      <c r="U131" s="510" t="s">
        <v>472</v>
      </c>
      <c r="V131" s="483">
        <v>160</v>
      </c>
      <c r="W131" s="98">
        <v>171</v>
      </c>
      <c r="X131" s="484">
        <v>4</v>
      </c>
      <c r="Y131" s="508">
        <f t="shared" si="52"/>
        <v>640</v>
      </c>
      <c r="Z131" s="509">
        <f t="shared" si="53"/>
        <v>2240</v>
      </c>
      <c r="AA131" s="48">
        <v>36</v>
      </c>
      <c r="AB131" s="47">
        <v>170000</v>
      </c>
      <c r="AC131" s="47">
        <v>0</v>
      </c>
      <c r="AD131" s="47">
        <v>0</v>
      </c>
      <c r="AE131" s="47">
        <v>0</v>
      </c>
      <c r="AF131" s="491">
        <v>2304</v>
      </c>
      <c r="AG131" s="483">
        <v>240</v>
      </c>
      <c r="AH131" s="98">
        <v>256</v>
      </c>
      <c r="AI131" s="494">
        <v>4</v>
      </c>
      <c r="AJ131" s="508">
        <f t="shared" si="54"/>
        <v>960</v>
      </c>
      <c r="AK131" s="509">
        <f t="shared" si="55"/>
        <v>3360</v>
      </c>
      <c r="AL131" s="48">
        <v>9</v>
      </c>
      <c r="AM131" s="53">
        <v>170000</v>
      </c>
      <c r="AN131" s="47">
        <v>0</v>
      </c>
      <c r="AO131" s="47">
        <v>0</v>
      </c>
      <c r="AP131" s="47">
        <v>0</v>
      </c>
      <c r="AQ131" s="493">
        <v>864</v>
      </c>
      <c r="AR131" s="483">
        <v>280</v>
      </c>
      <c r="AS131" s="98">
        <v>299</v>
      </c>
      <c r="AT131" s="494">
        <v>4</v>
      </c>
      <c r="AU131" s="508">
        <f t="shared" si="56"/>
        <v>1120</v>
      </c>
      <c r="AV131" s="509">
        <f t="shared" si="57"/>
        <v>3920</v>
      </c>
      <c r="AW131" s="48">
        <v>18</v>
      </c>
      <c r="AX131" s="53">
        <v>255000</v>
      </c>
      <c r="AY131" s="47">
        <v>1</v>
      </c>
      <c r="AZ131" s="47">
        <v>0</v>
      </c>
      <c r="BA131" s="47">
        <v>0</v>
      </c>
      <c r="BB131" s="493">
        <v>2016</v>
      </c>
      <c r="BC131" s="483">
        <v>304</v>
      </c>
      <c r="BD131" s="98">
        <v>324</v>
      </c>
      <c r="BE131" s="494">
        <v>4</v>
      </c>
      <c r="BF131" s="508">
        <f t="shared" si="58"/>
        <v>1216</v>
      </c>
      <c r="BG131" s="509">
        <f t="shared" si="59"/>
        <v>4256</v>
      </c>
      <c r="BH131" s="48">
        <f>24+3</f>
        <v>27</v>
      </c>
      <c r="BI131" s="53">
        <v>340000</v>
      </c>
      <c r="BJ131" s="47">
        <v>0</v>
      </c>
      <c r="BK131" s="47">
        <v>0</v>
      </c>
      <c r="BL131" s="47">
        <v>0</v>
      </c>
      <c r="BM131" s="493">
        <v>3283</v>
      </c>
      <c r="BN131" s="483">
        <v>320</v>
      </c>
      <c r="BO131" s="98">
        <v>342</v>
      </c>
      <c r="BP131" s="494">
        <v>4</v>
      </c>
      <c r="BQ131" s="506">
        <f t="shared" si="60"/>
        <v>1280</v>
      </c>
      <c r="BR131" s="507">
        <f t="shared" si="61"/>
        <v>4480</v>
      </c>
      <c r="BS131" s="48">
        <v>36</v>
      </c>
      <c r="BT131" s="53">
        <v>425000</v>
      </c>
      <c r="BU131" s="47">
        <v>0</v>
      </c>
      <c r="BV131" s="47">
        <v>1</v>
      </c>
      <c r="BW131" s="47">
        <v>0</v>
      </c>
      <c r="BX131" s="493">
        <v>4608</v>
      </c>
      <c r="BY131" s="77">
        <v>34</v>
      </c>
      <c r="BZ131" s="504" t="s">
        <v>43</v>
      </c>
      <c r="CA131" s="496"/>
      <c r="CB131" s="497"/>
      <c r="CC131" s="498"/>
      <c r="CD131" s="498"/>
      <c r="CE131" s="498"/>
      <c r="CF131" s="498"/>
      <c r="CG131" s="498"/>
      <c r="CH131" s="498"/>
      <c r="CI131" s="498"/>
      <c r="CJ131" s="498"/>
      <c r="CK131" s="498"/>
      <c r="CL131" s="499"/>
      <c r="CM131" s="500" t="s">
        <v>528</v>
      </c>
      <c r="CN131" s="501">
        <v>18</v>
      </c>
      <c r="CO131" s="502">
        <v>18</v>
      </c>
      <c r="CP131" s="502">
        <v>28</v>
      </c>
      <c r="CQ131" s="503">
        <v>38</v>
      </c>
      <c r="CR131" s="1"/>
      <c r="CS131" s="1"/>
      <c r="CT131" s="1"/>
      <c r="CU131" s="1"/>
      <c r="CV131" s="1"/>
      <c r="CW131" s="2"/>
      <c r="CX131" s="603"/>
    </row>
    <row r="132" spans="1:102">
      <c r="A132" s="472"/>
      <c r="B132" s="44" t="s">
        <v>44</v>
      </c>
      <c r="C132" s="473" t="s">
        <v>42</v>
      </c>
      <c r="D132" s="132"/>
      <c r="E132" s="69" t="s">
        <v>43</v>
      </c>
      <c r="F132" s="45" t="s">
        <v>43</v>
      </c>
      <c r="G132" s="46"/>
      <c r="H132" s="475">
        <v>3</v>
      </c>
      <c r="I132" s="476" t="s">
        <v>268</v>
      </c>
      <c r="J132" s="141">
        <v>4</v>
      </c>
      <c r="K132" s="477">
        <v>0.1</v>
      </c>
      <c r="L132" s="512">
        <f>IF(ISBLANK(Q132),"",Q132/R132)</f>
        <v>1.0857142857142856</v>
      </c>
      <c r="M132" s="173">
        <v>30</v>
      </c>
      <c r="N132" s="45">
        <v>46</v>
      </c>
      <c r="O132" s="511" t="s">
        <v>472</v>
      </c>
      <c r="P132" s="165" t="s">
        <v>201</v>
      </c>
      <c r="Q132" s="170">
        <v>190</v>
      </c>
      <c r="R132" s="47">
        <v>175</v>
      </c>
      <c r="S132" s="212">
        <v>3040</v>
      </c>
      <c r="T132" s="318" t="s">
        <v>477</v>
      </c>
      <c r="U132" s="510" t="s">
        <v>472</v>
      </c>
      <c r="V132" s="483">
        <v>190</v>
      </c>
      <c r="W132" s="98">
        <v>175</v>
      </c>
      <c r="X132" s="484">
        <v>4</v>
      </c>
      <c r="Y132" s="508">
        <f>IF(ISBLANK(X132), "",INT(V132*X132))</f>
        <v>760</v>
      </c>
      <c r="Z132" s="509">
        <f>IF(ISBLANK(X132),"",INT(Y132*$J132))</f>
        <v>3040</v>
      </c>
      <c r="AA132" s="48">
        <f>4*24</f>
        <v>96</v>
      </c>
      <c r="AB132" s="47">
        <v>800000</v>
      </c>
      <c r="AC132" s="47">
        <v>0</v>
      </c>
      <c r="AD132" s="47">
        <v>0</v>
      </c>
      <c r="AE132" s="47">
        <v>0</v>
      </c>
      <c r="AF132" s="491">
        <v>7296</v>
      </c>
      <c r="AG132" s="483">
        <v>285</v>
      </c>
      <c r="AH132" s="98">
        <v>262</v>
      </c>
      <c r="AI132" s="494">
        <v>4</v>
      </c>
      <c r="AJ132" s="508">
        <f>IF(ISBLANK(AI132), "",INT(AG132*AI132))</f>
        <v>1140</v>
      </c>
      <c r="AK132" s="509">
        <f>IF(ISBLANK(AI132),"",INT(AJ132*$J132))</f>
        <v>4560</v>
      </c>
      <c r="AL132" s="48">
        <v>24</v>
      </c>
      <c r="AM132" s="53">
        <v>800000</v>
      </c>
      <c r="AN132" s="47">
        <v>0</v>
      </c>
      <c r="AO132" s="47">
        <v>0</v>
      </c>
      <c r="AP132" s="47">
        <v>0</v>
      </c>
      <c r="AQ132" s="493">
        <v>2736</v>
      </c>
      <c r="AR132" s="483">
        <v>332</v>
      </c>
      <c r="AS132" s="98">
        <v>306</v>
      </c>
      <c r="AT132" s="494">
        <v>4</v>
      </c>
      <c r="AU132" s="508">
        <f>IF(ISBLANK(AT132), "",INT(AR132*AT132))</f>
        <v>1328</v>
      </c>
      <c r="AV132" s="509">
        <f>IF(ISBLANK(AT132),"",INT(AU132*$J132))</f>
        <v>5312</v>
      </c>
      <c r="AW132" s="48">
        <f>24*2</f>
        <v>48</v>
      </c>
      <c r="AX132" s="53">
        <v>1200000</v>
      </c>
      <c r="AY132" s="47">
        <v>1</v>
      </c>
      <c r="AZ132" s="47">
        <v>0</v>
      </c>
      <c r="BA132" s="47">
        <v>0</v>
      </c>
      <c r="BB132" s="493">
        <v>6374</v>
      </c>
      <c r="BC132" s="483">
        <v>361</v>
      </c>
      <c r="BD132" s="98">
        <v>332</v>
      </c>
      <c r="BE132" s="494">
        <v>4</v>
      </c>
      <c r="BF132" s="508">
        <f>IF(ISBLANK(BE132), "",INT(BC132*BE132))</f>
        <v>1444</v>
      </c>
      <c r="BG132" s="509">
        <f>IF(ISBLANK(BE132),"",INT(BF132*$J132))</f>
        <v>5776</v>
      </c>
      <c r="BH132" s="48">
        <f>3*24</f>
        <v>72</v>
      </c>
      <c r="BI132" s="53">
        <v>1600000</v>
      </c>
      <c r="BJ132" s="47">
        <v>0</v>
      </c>
      <c r="BK132" s="47">
        <v>0</v>
      </c>
      <c r="BL132" s="47">
        <v>0</v>
      </c>
      <c r="BM132" s="493">
        <v>10000</v>
      </c>
      <c r="BN132" s="483">
        <v>380</v>
      </c>
      <c r="BO132" s="98">
        <v>350</v>
      </c>
      <c r="BP132" s="494">
        <v>4</v>
      </c>
      <c r="BQ132" s="506">
        <f>IF(ISBLANK(BP132), "",INT(BN132*BP132))</f>
        <v>1520</v>
      </c>
      <c r="BR132" s="507">
        <f>IF(ISBLANK(BP132),"",INT(BQ132*$J132))</f>
        <v>6080</v>
      </c>
      <c r="BS132" s="48">
        <f>4*24</f>
        <v>96</v>
      </c>
      <c r="BT132" s="53">
        <v>2000000</v>
      </c>
      <c r="BU132" s="47">
        <v>0</v>
      </c>
      <c r="BV132" s="47">
        <v>1</v>
      </c>
      <c r="BW132" s="47">
        <v>0</v>
      </c>
      <c r="BX132" s="493">
        <v>10000</v>
      </c>
      <c r="BY132" s="77">
        <v>92</v>
      </c>
      <c r="BZ132" s="504" t="s">
        <v>43</v>
      </c>
      <c r="CA132" s="496"/>
      <c r="CB132" s="497"/>
      <c r="CC132" s="498"/>
      <c r="CD132" s="498"/>
      <c r="CE132" s="498"/>
      <c r="CF132" s="498"/>
      <c r="CG132" s="498"/>
      <c r="CH132" s="498"/>
      <c r="CI132" s="498"/>
      <c r="CJ132" s="498"/>
      <c r="CK132" s="498"/>
      <c r="CL132" s="499"/>
      <c r="CM132" s="500" t="s">
        <v>528</v>
      </c>
      <c r="CN132" s="501">
        <v>31</v>
      </c>
      <c r="CO132" s="502">
        <v>31</v>
      </c>
      <c r="CP132" s="502">
        <v>41</v>
      </c>
      <c r="CQ132" s="503">
        <v>51</v>
      </c>
      <c r="CR132" s="1"/>
      <c r="CS132" s="1"/>
      <c r="CT132" s="1"/>
      <c r="CU132" s="1"/>
      <c r="CV132" s="1"/>
      <c r="CW132" s="2"/>
      <c r="CX132" s="603"/>
    </row>
    <row r="133" spans="1:102">
      <c r="A133" s="472"/>
      <c r="B133" s="44" t="s">
        <v>95</v>
      </c>
      <c r="C133" s="473" t="s">
        <v>42</v>
      </c>
      <c r="D133" s="132"/>
      <c r="E133" s="69" t="s">
        <v>70</v>
      </c>
      <c r="F133" s="45"/>
      <c r="G133" s="46"/>
      <c r="H133" s="475">
        <v>3</v>
      </c>
      <c r="I133" s="476" t="s">
        <v>268</v>
      </c>
      <c r="J133" s="141">
        <v>4.5</v>
      </c>
      <c r="K133" s="477">
        <v>0.1</v>
      </c>
      <c r="L133" s="512">
        <f>IF(ISBLANK(Q133),"",Q133/R133)</f>
        <v>1.2359550561797752</v>
      </c>
      <c r="M133" s="173">
        <v>30</v>
      </c>
      <c r="N133" s="45">
        <v>53</v>
      </c>
      <c r="O133" s="511" t="s">
        <v>472</v>
      </c>
      <c r="P133" s="165" t="s">
        <v>201</v>
      </c>
      <c r="Q133" s="170">
        <v>220</v>
      </c>
      <c r="R133" s="47">
        <v>178</v>
      </c>
      <c r="S133" s="212">
        <v>3960</v>
      </c>
      <c r="T133" s="318" t="s">
        <v>478</v>
      </c>
      <c r="U133" s="510" t="s">
        <v>472</v>
      </c>
      <c r="V133" s="483">
        <v>220</v>
      </c>
      <c r="W133" s="98">
        <v>178</v>
      </c>
      <c r="X133" s="484">
        <v>4</v>
      </c>
      <c r="Y133" s="508">
        <f>IF(ISBLANK(X133), "",INT(V133*X133))</f>
        <v>880</v>
      </c>
      <c r="Z133" s="509">
        <f>IF(ISBLANK(X133),"",INT(Y133*$J133))</f>
        <v>3960</v>
      </c>
      <c r="AA133" s="48">
        <f>7*24</f>
        <v>168</v>
      </c>
      <c r="AB133" s="47">
        <v>2000000</v>
      </c>
      <c r="AC133" s="47">
        <v>0</v>
      </c>
      <c r="AD133" s="47">
        <v>0</v>
      </c>
      <c r="AE133" s="47">
        <v>0</v>
      </c>
      <c r="AF133" s="491">
        <v>10000</v>
      </c>
      <c r="AG133" s="483">
        <v>330</v>
      </c>
      <c r="AH133" s="98">
        <v>267</v>
      </c>
      <c r="AI133" s="484">
        <v>4</v>
      </c>
      <c r="AJ133" s="508">
        <f>IF(ISBLANK(AI133), "",INT(AG133*AI133))</f>
        <v>1320</v>
      </c>
      <c r="AK133" s="509">
        <f>IF(ISBLANK(AI133),"",INT(AJ133*$J133))</f>
        <v>5940</v>
      </c>
      <c r="AL133" s="48">
        <f>1*24+18</f>
        <v>42</v>
      </c>
      <c r="AM133" s="53">
        <v>2000000</v>
      </c>
      <c r="AN133" s="47">
        <v>0</v>
      </c>
      <c r="AO133" s="47">
        <v>0</v>
      </c>
      <c r="AP133" s="47">
        <v>0</v>
      </c>
      <c r="AQ133" s="493">
        <v>5544</v>
      </c>
      <c r="AR133" s="483">
        <v>385</v>
      </c>
      <c r="AS133" s="98">
        <v>311</v>
      </c>
      <c r="AT133" s="484">
        <v>4</v>
      </c>
      <c r="AU133" s="508">
        <f>IF(ISBLANK(AT133), "",INT(AR133*AT133))</f>
        <v>1540</v>
      </c>
      <c r="AV133" s="509">
        <f>IF(ISBLANK(AT133),"",INT(AU133*$J133))</f>
        <v>6930</v>
      </c>
      <c r="AW133" s="48">
        <f>3*24+12</f>
        <v>84</v>
      </c>
      <c r="AX133" s="53">
        <v>3000000</v>
      </c>
      <c r="AY133" s="47">
        <v>1</v>
      </c>
      <c r="AZ133" s="47">
        <v>0</v>
      </c>
      <c r="BA133" s="47">
        <v>0</v>
      </c>
      <c r="BB133" s="493">
        <v>10000</v>
      </c>
      <c r="BC133" s="483">
        <v>418</v>
      </c>
      <c r="BD133" s="98">
        <v>338</v>
      </c>
      <c r="BE133" s="484">
        <v>4</v>
      </c>
      <c r="BF133" s="508">
        <f>IF(ISBLANK(BE133), "",INT(BC133*BE133))</f>
        <v>1672</v>
      </c>
      <c r="BG133" s="509">
        <f>IF(ISBLANK(BE133),"",INT(BF133*$J133))</f>
        <v>7524</v>
      </c>
      <c r="BH133" s="48">
        <f>5*24+6</f>
        <v>126</v>
      </c>
      <c r="BI133" s="53">
        <v>4000000</v>
      </c>
      <c r="BJ133" s="47">
        <v>0</v>
      </c>
      <c r="BK133" s="47">
        <v>0</v>
      </c>
      <c r="BL133" s="47">
        <v>0</v>
      </c>
      <c r="BM133" s="493">
        <v>10000</v>
      </c>
      <c r="BN133" s="483">
        <v>440</v>
      </c>
      <c r="BO133" s="98">
        <v>356</v>
      </c>
      <c r="BP133" s="484">
        <v>4</v>
      </c>
      <c r="BQ133" s="506">
        <f>IF(ISBLANK(BP133), "",INT(BN133*BP133))</f>
        <v>1760</v>
      </c>
      <c r="BR133" s="507">
        <f>IF(ISBLANK(BP133),"",INT(BQ133*$J133))</f>
        <v>7920</v>
      </c>
      <c r="BS133" s="48">
        <f>7*24</f>
        <v>168</v>
      </c>
      <c r="BT133" s="53">
        <v>5000000</v>
      </c>
      <c r="BU133" s="47">
        <v>0</v>
      </c>
      <c r="BV133" s="47">
        <v>1</v>
      </c>
      <c r="BW133" s="47">
        <v>0</v>
      </c>
      <c r="BX133" s="493">
        <v>10000</v>
      </c>
      <c r="BY133" s="77">
        <v>160</v>
      </c>
      <c r="BZ133" s="504" t="s">
        <v>43</v>
      </c>
      <c r="CA133" s="496"/>
      <c r="CB133" s="497"/>
      <c r="CC133" s="498"/>
      <c r="CD133" s="498"/>
      <c r="CE133" s="498"/>
      <c r="CF133" s="498"/>
      <c r="CG133" s="498"/>
      <c r="CH133" s="498"/>
      <c r="CI133" s="498"/>
      <c r="CJ133" s="498"/>
      <c r="CK133" s="498"/>
      <c r="CL133" s="499"/>
      <c r="CM133" s="500" t="s">
        <v>528</v>
      </c>
      <c r="CN133" s="501">
        <v>44</v>
      </c>
      <c r="CO133" s="502">
        <v>44</v>
      </c>
      <c r="CP133" s="502">
        <v>54</v>
      </c>
      <c r="CQ133" s="503">
        <v>64</v>
      </c>
      <c r="CR133" s="1"/>
      <c r="CS133" s="1"/>
      <c r="CT133" s="1"/>
      <c r="CU133" s="1"/>
      <c r="CV133" s="1"/>
      <c r="CW133" s="2"/>
      <c r="CX133" s="603"/>
    </row>
    <row r="134" spans="1:102">
      <c r="A134" s="472"/>
      <c r="B134" s="44" t="s">
        <v>100</v>
      </c>
      <c r="C134" s="473" t="s">
        <v>42</v>
      </c>
      <c r="D134" s="132" t="s">
        <v>109</v>
      </c>
      <c r="E134" s="69" t="s">
        <v>43</v>
      </c>
      <c r="F134" s="45"/>
      <c r="G134" s="46"/>
      <c r="H134" s="475">
        <v>3</v>
      </c>
      <c r="I134" s="476" t="s">
        <v>268</v>
      </c>
      <c r="J134" s="141">
        <v>5</v>
      </c>
      <c r="K134" s="477">
        <v>0.1</v>
      </c>
      <c r="L134" s="512">
        <f>IF(ISBLANK(Q134),"",Q134/R134)</f>
        <v>1.3850415512465375</v>
      </c>
      <c r="M134" s="173">
        <v>30</v>
      </c>
      <c r="N134" s="45">
        <v>62</v>
      </c>
      <c r="O134" s="511" t="s">
        <v>472</v>
      </c>
      <c r="P134" s="165" t="s">
        <v>201</v>
      </c>
      <c r="Q134" s="170">
        <v>500</v>
      </c>
      <c r="R134" s="47">
        <v>361</v>
      </c>
      <c r="S134" s="212">
        <v>22500</v>
      </c>
      <c r="T134" s="318" t="s">
        <v>1038</v>
      </c>
      <c r="U134" s="510" t="s">
        <v>472</v>
      </c>
      <c r="V134" s="483">
        <v>500</v>
      </c>
      <c r="W134" s="98">
        <v>361</v>
      </c>
      <c r="X134" s="484">
        <v>9</v>
      </c>
      <c r="Y134" s="508">
        <f>IF(ISBLANK(X134), "",INT(V134*X134))</f>
        <v>4500</v>
      </c>
      <c r="Z134" s="509">
        <f>IF(ISBLANK(X134),"",INT(Y134*$J134))</f>
        <v>22500</v>
      </c>
      <c r="AA134" s="48">
        <f>10*24</f>
        <v>240</v>
      </c>
      <c r="AB134" s="47">
        <v>10000000</v>
      </c>
      <c r="AC134" s="47">
        <v>0</v>
      </c>
      <c r="AD134" s="47">
        <v>0</v>
      </c>
      <c r="AE134" s="47">
        <v>0</v>
      </c>
      <c r="AF134" s="491">
        <v>10000</v>
      </c>
      <c r="AG134" s="483">
        <v>750</v>
      </c>
      <c r="AH134" s="98">
        <v>541</v>
      </c>
      <c r="AI134" s="484">
        <v>9</v>
      </c>
      <c r="AJ134" s="508">
        <f>IF(ISBLANK(AI134), "",INT(AG134*AI134))</f>
        <v>6750</v>
      </c>
      <c r="AK134" s="509">
        <f>IF(ISBLANK(AI134),"",INT(AJ134*$J134))</f>
        <v>33750</v>
      </c>
      <c r="AL134" s="48">
        <f>2*24+12</f>
        <v>60</v>
      </c>
      <c r="AM134" s="53">
        <v>10000000</v>
      </c>
      <c r="AN134" s="47">
        <v>0</v>
      </c>
      <c r="AO134" s="47">
        <v>0</v>
      </c>
      <c r="AP134" s="47">
        <v>0</v>
      </c>
      <c r="AQ134" s="493">
        <v>10000</v>
      </c>
      <c r="AR134" s="483">
        <v>875</v>
      </c>
      <c r="AS134" s="98">
        <v>631</v>
      </c>
      <c r="AT134" s="484">
        <v>10</v>
      </c>
      <c r="AU134" s="508">
        <f>IF(ISBLANK(AT134), "",INT(AR134*AT134))</f>
        <v>8750</v>
      </c>
      <c r="AV134" s="509">
        <f>IF(ISBLANK(AT134),"",INT(AU134*$J134))</f>
        <v>43750</v>
      </c>
      <c r="AW134" s="48">
        <f>5*24</f>
        <v>120</v>
      </c>
      <c r="AX134" s="53">
        <v>15000000</v>
      </c>
      <c r="AY134" s="47">
        <v>1</v>
      </c>
      <c r="AZ134" s="47">
        <v>0</v>
      </c>
      <c r="BA134" s="47">
        <v>0</v>
      </c>
      <c r="BB134" s="493">
        <v>10000</v>
      </c>
      <c r="BC134" s="483">
        <v>950</v>
      </c>
      <c r="BD134" s="98">
        <v>685</v>
      </c>
      <c r="BE134" s="484">
        <v>10</v>
      </c>
      <c r="BF134" s="508">
        <f>IF(ISBLANK(BE134), "",INT(BC134*BE134))</f>
        <v>9500</v>
      </c>
      <c r="BG134" s="509">
        <f>IF(ISBLANK(BE134),"",INT(BF134*$J134))</f>
        <v>47500</v>
      </c>
      <c r="BH134" s="48">
        <f>7*24+12</f>
        <v>180</v>
      </c>
      <c r="BI134" s="53">
        <v>20000000</v>
      </c>
      <c r="BJ134" s="47">
        <v>0</v>
      </c>
      <c r="BK134" s="47">
        <v>0</v>
      </c>
      <c r="BL134" s="47">
        <v>0</v>
      </c>
      <c r="BM134" s="493">
        <v>10000</v>
      </c>
      <c r="BN134" s="483">
        <v>1000</v>
      </c>
      <c r="BO134" s="98">
        <v>722</v>
      </c>
      <c r="BP134" s="484">
        <v>10</v>
      </c>
      <c r="BQ134" s="506">
        <f>IF(ISBLANK(BP134), "",INT(BN134*BP134))</f>
        <v>10000</v>
      </c>
      <c r="BR134" s="507">
        <f>IF(ISBLANK(BP134),"",INT(BQ134*$J134))</f>
        <v>50000</v>
      </c>
      <c r="BS134" s="48">
        <f>10*24</f>
        <v>240</v>
      </c>
      <c r="BT134" s="53">
        <v>25000000</v>
      </c>
      <c r="BU134" s="47">
        <v>0</v>
      </c>
      <c r="BV134" s="47">
        <v>1</v>
      </c>
      <c r="BW134" s="47">
        <v>0</v>
      </c>
      <c r="BX134" s="493">
        <v>10000</v>
      </c>
      <c r="BY134" s="77">
        <v>229</v>
      </c>
      <c r="BZ134" s="504" t="s">
        <v>43</v>
      </c>
      <c r="CA134" s="496"/>
      <c r="CB134" s="497"/>
      <c r="CC134" s="498"/>
      <c r="CD134" s="498"/>
      <c r="CE134" s="498"/>
      <c r="CF134" s="498"/>
      <c r="CG134" s="498"/>
      <c r="CH134" s="498"/>
      <c r="CI134" s="498"/>
      <c r="CJ134" s="498"/>
      <c r="CK134" s="498"/>
      <c r="CL134" s="499"/>
      <c r="CM134" s="500" t="s">
        <v>528</v>
      </c>
      <c r="CN134" s="501">
        <v>67</v>
      </c>
      <c r="CO134" s="502"/>
      <c r="CP134" s="502"/>
      <c r="CQ134" s="503"/>
      <c r="CR134" s="1"/>
      <c r="CS134" s="1"/>
      <c r="CT134" s="1"/>
      <c r="CU134" s="1"/>
      <c r="CV134" s="1"/>
      <c r="CW134" s="2"/>
      <c r="CX134" s="603"/>
    </row>
    <row r="135" spans="1:102">
      <c r="A135" s="472"/>
      <c r="B135" s="44" t="s">
        <v>69</v>
      </c>
      <c r="C135" s="473" t="s">
        <v>10</v>
      </c>
      <c r="D135" s="132"/>
      <c r="E135" s="69" t="s">
        <v>9</v>
      </c>
      <c r="F135" s="45"/>
      <c r="G135" s="46"/>
      <c r="H135" s="475">
        <v>3</v>
      </c>
      <c r="I135" s="476" t="s">
        <v>283</v>
      </c>
      <c r="J135" s="141">
        <v>1</v>
      </c>
      <c r="K135" s="477">
        <v>0.1</v>
      </c>
      <c r="L135" s="512">
        <f>IF(ISBLANK(Q135),"",Q135/R135)</f>
        <v>0.57219251336898391</v>
      </c>
      <c r="M135" s="173">
        <v>30</v>
      </c>
      <c r="N135" s="45">
        <v>12</v>
      </c>
      <c r="O135" s="511" t="s">
        <v>472</v>
      </c>
      <c r="P135" s="165" t="s">
        <v>201</v>
      </c>
      <c r="Q135" s="170">
        <v>107</v>
      </c>
      <c r="R135" s="47">
        <v>187</v>
      </c>
      <c r="S135" s="212">
        <v>749</v>
      </c>
      <c r="T135" s="318" t="s">
        <v>480</v>
      </c>
      <c r="U135" s="510" t="s">
        <v>472</v>
      </c>
      <c r="V135" s="483">
        <v>107</v>
      </c>
      <c r="W135" s="98">
        <v>187</v>
      </c>
      <c r="X135" s="484">
        <v>7</v>
      </c>
      <c r="Y135" s="508">
        <f>IF(ISBLANK(X135), "",INT(V135*X135))</f>
        <v>749</v>
      </c>
      <c r="Z135" s="509">
        <f>IF(ISBLANK(X135),"",INT(Y135*$J135))</f>
        <v>749</v>
      </c>
      <c r="AA135" s="48">
        <v>1</v>
      </c>
      <c r="AB135" s="47">
        <v>0</v>
      </c>
      <c r="AC135" s="47">
        <v>0</v>
      </c>
      <c r="AD135" s="47">
        <v>0</v>
      </c>
      <c r="AE135" s="47">
        <v>0</v>
      </c>
      <c r="AF135" s="491">
        <v>74</v>
      </c>
      <c r="AG135" s="483">
        <v>160</v>
      </c>
      <c r="AH135" s="98">
        <v>280</v>
      </c>
      <c r="AI135" s="484">
        <v>7</v>
      </c>
      <c r="AJ135" s="508">
        <f>IF(ISBLANK(AI135), "",INT(AG135*AI135))</f>
        <v>1120</v>
      </c>
      <c r="AK135" s="509">
        <f>IF(ISBLANK(AI135),"",INT(AJ135*$J135))</f>
        <v>1120</v>
      </c>
      <c r="AL135" s="48">
        <f>10/60</f>
        <v>0.16666666666666666</v>
      </c>
      <c r="AM135" s="53">
        <v>3000</v>
      </c>
      <c r="AN135" s="47">
        <v>0</v>
      </c>
      <c r="AO135" s="47">
        <v>0</v>
      </c>
      <c r="AP135" s="47">
        <v>0</v>
      </c>
      <c r="AQ135" s="493">
        <v>18</v>
      </c>
      <c r="AR135" s="483">
        <v>187</v>
      </c>
      <c r="AS135" s="98">
        <v>327</v>
      </c>
      <c r="AT135" s="484">
        <v>8</v>
      </c>
      <c r="AU135" s="508">
        <f>IF(ISBLANK(AT135), "",INT(AR135*AT135))</f>
        <v>1496</v>
      </c>
      <c r="AV135" s="509">
        <f>IF(ISBLANK(AT135),"",INT(AU135*$J135))</f>
        <v>1496</v>
      </c>
      <c r="AW135" s="48">
        <f>30/60</f>
        <v>0.5</v>
      </c>
      <c r="AX135" s="53">
        <v>4500</v>
      </c>
      <c r="AY135" s="47">
        <v>0</v>
      </c>
      <c r="AZ135" s="47">
        <v>1</v>
      </c>
      <c r="BA135" s="47">
        <v>0</v>
      </c>
      <c r="BB135" s="493">
        <v>74</v>
      </c>
      <c r="BC135" s="483">
        <v>203</v>
      </c>
      <c r="BD135" s="98">
        <v>355</v>
      </c>
      <c r="BE135" s="484">
        <v>8</v>
      </c>
      <c r="BF135" s="508">
        <f>IF(ISBLANK(BE135), "",INT(BC135*BE135))</f>
        <v>1624</v>
      </c>
      <c r="BG135" s="509">
        <f>IF(ISBLANK(BE135),"",INT(BF135*$J135))</f>
        <v>1624</v>
      </c>
      <c r="BH135" s="48">
        <f>45/60</f>
        <v>0.75</v>
      </c>
      <c r="BI135" s="53">
        <v>6000</v>
      </c>
      <c r="BJ135" s="47">
        <v>0</v>
      </c>
      <c r="BK135" s="47">
        <v>0</v>
      </c>
      <c r="BL135" s="47">
        <v>0</v>
      </c>
      <c r="BM135" s="493">
        <v>121</v>
      </c>
      <c r="BN135" s="483">
        <v>214</v>
      </c>
      <c r="BO135" s="98">
        <v>374</v>
      </c>
      <c r="BP135" s="484">
        <v>8</v>
      </c>
      <c r="BQ135" s="506">
        <f>IF(ISBLANK(BP135), "",INT(BN135*BP135))</f>
        <v>1712</v>
      </c>
      <c r="BR135" s="507">
        <f>IF(ISBLANK(BP135),"",INT(BQ135*$J135))</f>
        <v>1712</v>
      </c>
      <c r="BS135" s="48">
        <v>1</v>
      </c>
      <c r="BT135" s="53">
        <v>7500</v>
      </c>
      <c r="BU135" s="47">
        <v>0</v>
      </c>
      <c r="BV135" s="47">
        <v>0</v>
      </c>
      <c r="BW135" s="47">
        <v>1</v>
      </c>
      <c r="BX135" s="493">
        <v>171</v>
      </c>
      <c r="BY135" s="77">
        <v>1</v>
      </c>
      <c r="BZ135" s="504" t="s">
        <v>43</v>
      </c>
      <c r="CA135" s="496">
        <v>100</v>
      </c>
      <c r="CB135" s="497">
        <v>300</v>
      </c>
      <c r="CC135" s="498">
        <v>1500</v>
      </c>
      <c r="CD135" s="498">
        <v>3000</v>
      </c>
      <c r="CE135" s="498">
        <v>9000</v>
      </c>
      <c r="CF135" s="498">
        <v>18000</v>
      </c>
      <c r="CG135" s="498">
        <v>36000</v>
      </c>
      <c r="CH135" s="498">
        <v>72000</v>
      </c>
      <c r="CI135" s="498">
        <v>144000</v>
      </c>
      <c r="CJ135" s="498">
        <v>288000</v>
      </c>
      <c r="CK135" s="498">
        <v>576000</v>
      </c>
      <c r="CL135" s="499"/>
      <c r="CM135" s="500" t="s">
        <v>43</v>
      </c>
      <c r="CN135" s="501"/>
      <c r="CO135" s="502"/>
      <c r="CP135" s="502"/>
      <c r="CQ135" s="503"/>
      <c r="CR135" s="1"/>
      <c r="CS135" s="1"/>
      <c r="CT135" s="1"/>
      <c r="CU135" s="1"/>
      <c r="CV135" s="1"/>
      <c r="CW135" s="2"/>
      <c r="CX135" s="603"/>
    </row>
    <row r="136" spans="1:102">
      <c r="A136" s="472"/>
      <c r="B136" s="44" t="s">
        <v>33</v>
      </c>
      <c r="C136" s="473" t="s">
        <v>10</v>
      </c>
      <c r="D136" s="132"/>
      <c r="E136" s="69" t="s">
        <v>9</v>
      </c>
      <c r="F136" s="45" t="s">
        <v>9</v>
      </c>
      <c r="G136" s="46"/>
      <c r="H136" s="475">
        <v>4</v>
      </c>
      <c r="I136" s="476" t="s">
        <v>283</v>
      </c>
      <c r="J136" s="141">
        <v>3.5</v>
      </c>
      <c r="K136" s="477">
        <v>0.1</v>
      </c>
      <c r="L136" s="512">
        <f t="shared" si="51"/>
        <v>0.93617021276595747</v>
      </c>
      <c r="M136" s="173">
        <v>30</v>
      </c>
      <c r="N136" s="45">
        <v>40</v>
      </c>
      <c r="O136" s="511" t="s">
        <v>472</v>
      </c>
      <c r="P136" s="165" t="s">
        <v>201</v>
      </c>
      <c r="Q136" s="170">
        <v>176</v>
      </c>
      <c r="R136" s="47">
        <v>188</v>
      </c>
      <c r="S136" s="212">
        <v>2464</v>
      </c>
      <c r="T136" s="318" t="s">
        <v>481</v>
      </c>
      <c r="U136" s="510" t="s">
        <v>472</v>
      </c>
      <c r="V136" s="483">
        <v>176</v>
      </c>
      <c r="W136" s="98">
        <v>188</v>
      </c>
      <c r="X136" s="484">
        <v>4</v>
      </c>
      <c r="Y136" s="508">
        <f t="shared" si="52"/>
        <v>704</v>
      </c>
      <c r="Z136" s="509">
        <f t="shared" si="53"/>
        <v>2464</v>
      </c>
      <c r="AA136" s="48">
        <v>10</v>
      </c>
      <c r="AB136" s="47">
        <v>0</v>
      </c>
      <c r="AC136" s="47">
        <v>0</v>
      </c>
      <c r="AD136" s="47">
        <v>0</v>
      </c>
      <c r="AE136" s="47">
        <v>0</v>
      </c>
      <c r="AF136" s="491">
        <v>704</v>
      </c>
      <c r="AG136" s="483">
        <v>264</v>
      </c>
      <c r="AH136" s="98">
        <v>282</v>
      </c>
      <c r="AI136" s="484">
        <v>4</v>
      </c>
      <c r="AJ136" s="508">
        <f t="shared" si="54"/>
        <v>1056</v>
      </c>
      <c r="AK136" s="509">
        <f t="shared" si="55"/>
        <v>3696</v>
      </c>
      <c r="AL136" s="48">
        <v>3</v>
      </c>
      <c r="AM136" s="53">
        <v>500000</v>
      </c>
      <c r="AN136" s="47">
        <v>0</v>
      </c>
      <c r="AO136" s="47">
        <v>0</v>
      </c>
      <c r="AP136" s="47">
        <v>0</v>
      </c>
      <c r="AQ136" s="493">
        <v>264</v>
      </c>
      <c r="AR136" s="483">
        <v>308</v>
      </c>
      <c r="AS136" s="98">
        <v>329</v>
      </c>
      <c r="AT136" s="484">
        <v>4</v>
      </c>
      <c r="AU136" s="508">
        <f t="shared" si="56"/>
        <v>1232</v>
      </c>
      <c r="AV136" s="509">
        <f t="shared" si="57"/>
        <v>4312</v>
      </c>
      <c r="AW136" s="48">
        <v>5</v>
      </c>
      <c r="AX136" s="53">
        <v>750000</v>
      </c>
      <c r="AY136" s="47">
        <v>0</v>
      </c>
      <c r="AZ136" s="47">
        <v>1</v>
      </c>
      <c r="BA136" s="47">
        <v>0</v>
      </c>
      <c r="BB136" s="493">
        <v>616</v>
      </c>
      <c r="BC136" s="483">
        <v>334</v>
      </c>
      <c r="BD136" s="98">
        <v>357</v>
      </c>
      <c r="BE136" s="484">
        <v>4</v>
      </c>
      <c r="BF136" s="508">
        <f t="shared" si="58"/>
        <v>1336</v>
      </c>
      <c r="BG136" s="509">
        <f t="shared" si="59"/>
        <v>4676</v>
      </c>
      <c r="BH136" s="48">
        <v>8</v>
      </c>
      <c r="BI136" s="53">
        <v>1000000</v>
      </c>
      <c r="BJ136" s="47">
        <v>0</v>
      </c>
      <c r="BK136" s="47">
        <v>0</v>
      </c>
      <c r="BL136" s="47">
        <v>0</v>
      </c>
      <c r="BM136" s="493">
        <v>1002</v>
      </c>
      <c r="BN136" s="483">
        <v>352</v>
      </c>
      <c r="BO136" s="98">
        <v>376</v>
      </c>
      <c r="BP136" s="484">
        <v>4</v>
      </c>
      <c r="BQ136" s="506">
        <f t="shared" si="60"/>
        <v>1408</v>
      </c>
      <c r="BR136" s="507">
        <f t="shared" si="61"/>
        <v>4928</v>
      </c>
      <c r="BS136" s="48">
        <v>10</v>
      </c>
      <c r="BT136" s="53">
        <v>1250000</v>
      </c>
      <c r="BU136" s="47">
        <v>0</v>
      </c>
      <c r="BV136" s="47">
        <v>0</v>
      </c>
      <c r="BW136" s="47">
        <v>1</v>
      </c>
      <c r="BX136" s="493">
        <v>1408</v>
      </c>
      <c r="BY136" s="77">
        <v>10</v>
      </c>
      <c r="BZ136" s="504" t="s">
        <v>43</v>
      </c>
      <c r="CA136" s="496">
        <v>10000</v>
      </c>
      <c r="CB136" s="497">
        <v>40000</v>
      </c>
      <c r="CC136" s="498">
        <v>80000</v>
      </c>
      <c r="CD136" s="498">
        <v>160000</v>
      </c>
      <c r="CE136" s="498">
        <v>320000</v>
      </c>
      <c r="CF136" s="498">
        <v>640000</v>
      </c>
      <c r="CG136" s="498"/>
      <c r="CH136" s="498"/>
      <c r="CI136" s="498"/>
      <c r="CJ136" s="498"/>
      <c r="CK136" s="498"/>
      <c r="CL136" s="499"/>
      <c r="CM136" s="500" t="s">
        <v>43</v>
      </c>
      <c r="CN136" s="501"/>
      <c r="CO136" s="502"/>
      <c r="CP136" s="502"/>
      <c r="CQ136" s="503"/>
      <c r="CR136" s="1"/>
      <c r="CS136" s="1"/>
      <c r="CT136" s="1"/>
      <c r="CU136" s="1"/>
      <c r="CV136" s="1"/>
      <c r="CW136" s="2"/>
      <c r="CX136" s="603"/>
    </row>
    <row r="137" spans="1:102">
      <c r="A137" s="472"/>
      <c r="B137" s="44" t="s">
        <v>68</v>
      </c>
      <c r="C137" s="473" t="s">
        <v>42</v>
      </c>
      <c r="D137" s="132"/>
      <c r="E137" s="69" t="s">
        <v>43</v>
      </c>
      <c r="F137" s="45"/>
      <c r="G137" s="46"/>
      <c r="H137" s="475">
        <v>5</v>
      </c>
      <c r="I137" s="476" t="s">
        <v>283</v>
      </c>
      <c r="J137" s="141">
        <v>4.5</v>
      </c>
      <c r="K137" s="477">
        <v>0.1</v>
      </c>
      <c r="L137" s="512">
        <f t="shared" si="51"/>
        <v>1.2410256410256411</v>
      </c>
      <c r="M137" s="173">
        <v>30</v>
      </c>
      <c r="N137" s="45">
        <v>52</v>
      </c>
      <c r="O137" s="511" t="s">
        <v>472</v>
      </c>
      <c r="P137" s="165" t="s">
        <v>201</v>
      </c>
      <c r="Q137" s="170">
        <v>242</v>
      </c>
      <c r="R137" s="47">
        <v>195</v>
      </c>
      <c r="S137" s="212">
        <v>4356</v>
      </c>
      <c r="T137" s="318" t="s">
        <v>482</v>
      </c>
      <c r="U137" s="510" t="s">
        <v>472</v>
      </c>
      <c r="V137" s="483">
        <v>242</v>
      </c>
      <c r="W137" s="98">
        <v>195</v>
      </c>
      <c r="X137" s="484">
        <v>4</v>
      </c>
      <c r="Y137" s="508">
        <f t="shared" si="52"/>
        <v>968</v>
      </c>
      <c r="Z137" s="509">
        <f t="shared" si="53"/>
        <v>4356</v>
      </c>
      <c r="AA137" s="48">
        <v>12</v>
      </c>
      <c r="AB137" s="47">
        <v>0</v>
      </c>
      <c r="AC137" s="47">
        <v>0</v>
      </c>
      <c r="AD137" s="47">
        <v>0</v>
      </c>
      <c r="AE137" s="47">
        <v>0</v>
      </c>
      <c r="AF137" s="491">
        <v>1161</v>
      </c>
      <c r="AG137" s="483">
        <v>363</v>
      </c>
      <c r="AH137" s="98">
        <v>292</v>
      </c>
      <c r="AI137" s="484">
        <v>4</v>
      </c>
      <c r="AJ137" s="508">
        <f t="shared" si="54"/>
        <v>1452</v>
      </c>
      <c r="AK137" s="509">
        <f t="shared" si="55"/>
        <v>6534</v>
      </c>
      <c r="AL137" s="48">
        <v>3</v>
      </c>
      <c r="AM137" s="53">
        <v>1300000</v>
      </c>
      <c r="AN137" s="47">
        <v>0</v>
      </c>
      <c r="AO137" s="47">
        <v>0</v>
      </c>
      <c r="AP137" s="47">
        <v>0</v>
      </c>
      <c r="AQ137" s="493">
        <v>435</v>
      </c>
      <c r="AR137" s="483">
        <v>423</v>
      </c>
      <c r="AS137" s="98">
        <v>341</v>
      </c>
      <c r="AT137" s="484">
        <v>4</v>
      </c>
      <c r="AU137" s="508">
        <f t="shared" si="56"/>
        <v>1692</v>
      </c>
      <c r="AV137" s="509">
        <f t="shared" si="57"/>
        <v>7614</v>
      </c>
      <c r="AW137" s="48">
        <v>6</v>
      </c>
      <c r="AX137" s="53">
        <v>1950000</v>
      </c>
      <c r="AY137" s="47">
        <v>0</v>
      </c>
      <c r="AZ137" s="47">
        <v>1</v>
      </c>
      <c r="BA137" s="47">
        <v>0</v>
      </c>
      <c r="BB137" s="493">
        <v>1015</v>
      </c>
      <c r="BC137" s="483">
        <v>459</v>
      </c>
      <c r="BD137" s="98">
        <v>370</v>
      </c>
      <c r="BE137" s="484">
        <v>4</v>
      </c>
      <c r="BF137" s="508">
        <f t="shared" si="58"/>
        <v>1836</v>
      </c>
      <c r="BG137" s="509">
        <f t="shared" si="59"/>
        <v>8262</v>
      </c>
      <c r="BH137" s="48">
        <v>9</v>
      </c>
      <c r="BI137" s="53">
        <v>2600000</v>
      </c>
      <c r="BJ137" s="47">
        <v>0</v>
      </c>
      <c r="BK137" s="47">
        <v>0</v>
      </c>
      <c r="BL137" s="47">
        <v>0</v>
      </c>
      <c r="BM137" s="493">
        <v>1652</v>
      </c>
      <c r="BN137" s="483">
        <v>484</v>
      </c>
      <c r="BO137" s="98">
        <v>390</v>
      </c>
      <c r="BP137" s="484">
        <v>4</v>
      </c>
      <c r="BQ137" s="506">
        <f t="shared" si="60"/>
        <v>1936</v>
      </c>
      <c r="BR137" s="507">
        <f t="shared" si="61"/>
        <v>8712</v>
      </c>
      <c r="BS137" s="48">
        <v>12</v>
      </c>
      <c r="BT137" s="53">
        <v>3250000</v>
      </c>
      <c r="BU137" s="47">
        <v>0</v>
      </c>
      <c r="BV137" s="47">
        <v>0</v>
      </c>
      <c r="BW137" s="47">
        <v>1</v>
      </c>
      <c r="BX137" s="493">
        <v>2323</v>
      </c>
      <c r="BY137" s="77">
        <v>11</v>
      </c>
      <c r="BZ137" s="504" t="s">
        <v>43</v>
      </c>
      <c r="CA137" s="496">
        <v>10000</v>
      </c>
      <c r="CB137" s="497">
        <v>300000</v>
      </c>
      <c r="CC137" s="498">
        <v>600000</v>
      </c>
      <c r="CD137" s="498">
        <v>1200000</v>
      </c>
      <c r="CE137" s="498"/>
      <c r="CF137" s="498"/>
      <c r="CG137" s="498"/>
      <c r="CH137" s="498"/>
      <c r="CI137" s="498"/>
      <c r="CJ137" s="498"/>
      <c r="CK137" s="498"/>
      <c r="CL137" s="499"/>
      <c r="CM137" s="500" t="s">
        <v>43</v>
      </c>
      <c r="CN137" s="501"/>
      <c r="CO137" s="502"/>
      <c r="CP137" s="502"/>
      <c r="CQ137" s="503"/>
      <c r="CR137" s="1"/>
      <c r="CS137" s="1"/>
      <c r="CT137" s="1"/>
      <c r="CU137" s="1"/>
      <c r="CV137" s="1"/>
      <c r="CW137" s="2"/>
      <c r="CX137" s="603"/>
    </row>
    <row r="138" spans="1:102">
      <c r="A138" s="472"/>
      <c r="B138" s="44" t="s">
        <v>176</v>
      </c>
      <c r="C138" s="473" t="s">
        <v>42</v>
      </c>
      <c r="D138" s="132" t="s">
        <v>35</v>
      </c>
      <c r="E138" s="69" t="s">
        <v>43</v>
      </c>
      <c r="F138" s="45"/>
      <c r="G138" s="46"/>
      <c r="H138" s="475">
        <v>6</v>
      </c>
      <c r="I138" s="476" t="s">
        <v>283</v>
      </c>
      <c r="J138" s="141">
        <v>5</v>
      </c>
      <c r="K138" s="477">
        <v>0.1</v>
      </c>
      <c r="L138" s="512">
        <f t="shared" si="51"/>
        <v>1.385390428211587</v>
      </c>
      <c r="M138" s="173">
        <v>30</v>
      </c>
      <c r="N138" s="45">
        <v>67</v>
      </c>
      <c r="O138" s="511" t="s">
        <v>472</v>
      </c>
      <c r="P138" s="165" t="s">
        <v>201</v>
      </c>
      <c r="Q138" s="170">
        <v>550</v>
      </c>
      <c r="R138" s="47">
        <v>397</v>
      </c>
      <c r="S138" s="212">
        <v>24750</v>
      </c>
      <c r="T138" s="318" t="s">
        <v>483</v>
      </c>
      <c r="U138" s="510" t="s">
        <v>472</v>
      </c>
      <c r="V138" s="483">
        <v>550</v>
      </c>
      <c r="W138" s="98">
        <v>397</v>
      </c>
      <c r="X138" s="484">
        <v>9</v>
      </c>
      <c r="Y138" s="508">
        <f t="shared" si="52"/>
        <v>4950</v>
      </c>
      <c r="Z138" s="509">
        <f t="shared" si="53"/>
        <v>24750</v>
      </c>
      <c r="AA138" s="48">
        <f>7*24</f>
        <v>168</v>
      </c>
      <c r="AB138" s="47">
        <v>0</v>
      </c>
      <c r="AC138" s="47">
        <v>0</v>
      </c>
      <c r="AD138" s="47">
        <v>0</v>
      </c>
      <c r="AE138" s="47">
        <v>0</v>
      </c>
      <c r="AF138" s="491">
        <v>10000</v>
      </c>
      <c r="AG138" s="483">
        <v>825</v>
      </c>
      <c r="AH138" s="98">
        <v>595</v>
      </c>
      <c r="AI138" s="484">
        <v>9</v>
      </c>
      <c r="AJ138" s="508">
        <f t="shared" si="54"/>
        <v>7425</v>
      </c>
      <c r="AK138" s="509">
        <f t="shared" si="55"/>
        <v>37125</v>
      </c>
      <c r="AL138" s="48">
        <f>1*24+18</f>
        <v>42</v>
      </c>
      <c r="AM138" s="53">
        <v>20000000</v>
      </c>
      <c r="AN138" s="47">
        <v>0</v>
      </c>
      <c r="AO138" s="47">
        <v>0</v>
      </c>
      <c r="AP138" s="47">
        <v>0</v>
      </c>
      <c r="AQ138" s="493">
        <v>10000</v>
      </c>
      <c r="AR138" s="483">
        <v>962</v>
      </c>
      <c r="AS138" s="98">
        <v>694</v>
      </c>
      <c r="AT138" s="484">
        <v>10</v>
      </c>
      <c r="AU138" s="508">
        <f t="shared" si="56"/>
        <v>9620</v>
      </c>
      <c r="AV138" s="509">
        <f t="shared" si="57"/>
        <v>48100</v>
      </c>
      <c r="AW138" s="48">
        <f>3*24+12</f>
        <v>84</v>
      </c>
      <c r="AX138" s="53">
        <v>30000000</v>
      </c>
      <c r="AY138" s="47">
        <v>0</v>
      </c>
      <c r="AZ138" s="47">
        <v>1</v>
      </c>
      <c r="BA138" s="47">
        <v>0</v>
      </c>
      <c r="BB138" s="493">
        <v>10000</v>
      </c>
      <c r="BC138" s="483">
        <v>1045</v>
      </c>
      <c r="BD138" s="98">
        <v>754</v>
      </c>
      <c r="BE138" s="484">
        <v>10</v>
      </c>
      <c r="BF138" s="508">
        <f t="shared" si="58"/>
        <v>10450</v>
      </c>
      <c r="BG138" s="509">
        <f t="shared" si="59"/>
        <v>52250</v>
      </c>
      <c r="BH138" s="48">
        <f>5*24+6</f>
        <v>126</v>
      </c>
      <c r="BI138" s="53">
        <v>40000000</v>
      </c>
      <c r="BJ138" s="47">
        <v>0</v>
      </c>
      <c r="BK138" s="47">
        <v>0</v>
      </c>
      <c r="BL138" s="47">
        <v>0</v>
      </c>
      <c r="BM138" s="493">
        <v>10000</v>
      </c>
      <c r="BN138" s="483">
        <v>1100</v>
      </c>
      <c r="BO138" s="98">
        <v>794</v>
      </c>
      <c r="BP138" s="484">
        <v>10</v>
      </c>
      <c r="BQ138" s="506">
        <f t="shared" si="60"/>
        <v>11000</v>
      </c>
      <c r="BR138" s="507">
        <f t="shared" si="61"/>
        <v>55000</v>
      </c>
      <c r="BS138" s="48">
        <f>7*24</f>
        <v>168</v>
      </c>
      <c r="BT138" s="53">
        <v>50000000</v>
      </c>
      <c r="BU138" s="47">
        <v>0</v>
      </c>
      <c r="BV138" s="47">
        <v>0</v>
      </c>
      <c r="BW138" s="47">
        <v>1</v>
      </c>
      <c r="BX138" s="493">
        <v>10000</v>
      </c>
      <c r="BY138" s="77">
        <v>160</v>
      </c>
      <c r="BZ138" s="504" t="s">
        <v>43</v>
      </c>
      <c r="CA138" s="496">
        <v>10000</v>
      </c>
      <c r="CB138" s="497">
        <v>3000000</v>
      </c>
      <c r="CC138" s="498"/>
      <c r="CD138" s="498"/>
      <c r="CE138" s="498"/>
      <c r="CF138" s="498"/>
      <c r="CG138" s="498"/>
      <c r="CH138" s="498"/>
      <c r="CI138" s="498"/>
      <c r="CJ138" s="498"/>
      <c r="CK138" s="498"/>
      <c r="CL138" s="499"/>
      <c r="CM138" s="500" t="s">
        <v>43</v>
      </c>
      <c r="CN138" s="501"/>
      <c r="CO138" s="502"/>
      <c r="CP138" s="502"/>
      <c r="CQ138" s="503"/>
      <c r="CR138" s="1"/>
      <c r="CS138" s="1"/>
      <c r="CT138" s="1"/>
      <c r="CU138" s="1"/>
      <c r="CV138" s="1"/>
      <c r="CW138" s="2"/>
      <c r="CX138" s="603"/>
    </row>
    <row r="139" spans="1:102">
      <c r="A139" s="472"/>
      <c r="B139" s="44" t="s">
        <v>120</v>
      </c>
      <c r="C139" s="473" t="s">
        <v>42</v>
      </c>
      <c r="D139" s="132"/>
      <c r="E139" s="69" t="s">
        <v>43</v>
      </c>
      <c r="F139" s="45"/>
      <c r="G139" s="46"/>
      <c r="H139" s="475">
        <v>7</v>
      </c>
      <c r="I139" s="476" t="s">
        <v>269</v>
      </c>
      <c r="J139" s="141">
        <v>0.75</v>
      </c>
      <c r="K139" s="477">
        <v>0.13250000000000001</v>
      </c>
      <c r="L139" s="512">
        <f>IF(ISBLANK(Q139),"",Q139/R139)</f>
        <v>1.3333333333333333</v>
      </c>
      <c r="M139" s="173">
        <v>30</v>
      </c>
      <c r="N139" s="45">
        <v>7004</v>
      </c>
      <c r="O139" s="514">
        <v>42184</v>
      </c>
      <c r="P139" s="165" t="s">
        <v>201</v>
      </c>
      <c r="Q139" s="170">
        <v>280</v>
      </c>
      <c r="R139" s="47">
        <v>210</v>
      </c>
      <c r="S139" s="212">
        <v>1050</v>
      </c>
      <c r="T139" s="318" t="s">
        <v>484</v>
      </c>
      <c r="U139" s="510" t="s">
        <v>472</v>
      </c>
      <c r="V139" s="483">
        <v>280</v>
      </c>
      <c r="W139" s="98">
        <v>210</v>
      </c>
      <c r="X139" s="484">
        <v>5</v>
      </c>
      <c r="Y139" s="508">
        <f>IF(ISBLANK(X139), "",INT(V139*X139))</f>
        <v>1400</v>
      </c>
      <c r="Z139" s="509">
        <f>IF(ISBLANK(X139),"",INT(Y139*$J139))</f>
        <v>1050</v>
      </c>
      <c r="AA139" s="48">
        <f>9*24</f>
        <v>216</v>
      </c>
      <c r="AB139" s="47">
        <v>0</v>
      </c>
      <c r="AC139" s="47">
        <v>0</v>
      </c>
      <c r="AD139" s="47">
        <v>0</v>
      </c>
      <c r="AE139" s="47">
        <v>0</v>
      </c>
      <c r="AF139" s="491">
        <v>10000</v>
      </c>
      <c r="AG139" s="483">
        <v>420</v>
      </c>
      <c r="AH139" s="98">
        <v>315</v>
      </c>
      <c r="AI139" s="484">
        <v>5</v>
      </c>
      <c r="AJ139" s="508">
        <f>IF(ISBLANK(AI139), "",INT(AG139*AI139))</f>
        <v>2100</v>
      </c>
      <c r="AK139" s="509">
        <f>IF(ISBLANK(AI139),"",INT(AJ139*$J139))</f>
        <v>1575</v>
      </c>
      <c r="AL139" s="48">
        <f>2*24+6</f>
        <v>54</v>
      </c>
      <c r="AM139" s="53">
        <v>1200000</v>
      </c>
      <c r="AN139" s="47">
        <v>0</v>
      </c>
      <c r="AO139" s="47">
        <v>0</v>
      </c>
      <c r="AP139" s="47">
        <v>1</v>
      </c>
      <c r="AQ139" s="493">
        <v>10000</v>
      </c>
      <c r="AR139" s="483">
        <v>490</v>
      </c>
      <c r="AS139" s="98">
        <v>368</v>
      </c>
      <c r="AT139" s="484">
        <v>5</v>
      </c>
      <c r="AU139" s="508">
        <f>IF(ISBLANK(AT139), "",INT(AR139*AT139))</f>
        <v>2450</v>
      </c>
      <c r="AV139" s="509">
        <f>IF(ISBLANK(AT139),"",INT(AU139*$J139))</f>
        <v>1837</v>
      </c>
      <c r="AW139" s="48">
        <f>4*24+12</f>
        <v>108</v>
      </c>
      <c r="AX139" s="53">
        <v>1800000</v>
      </c>
      <c r="AY139" s="47">
        <v>0</v>
      </c>
      <c r="AZ139" s="47">
        <v>0</v>
      </c>
      <c r="BA139" s="47">
        <v>2</v>
      </c>
      <c r="BB139" s="493">
        <v>10000</v>
      </c>
      <c r="BC139" s="483">
        <v>531</v>
      </c>
      <c r="BD139" s="98">
        <v>399</v>
      </c>
      <c r="BE139" s="484">
        <v>5</v>
      </c>
      <c r="BF139" s="508">
        <f>IF(ISBLANK(BE139), "",INT(BC139*BE139))</f>
        <v>2655</v>
      </c>
      <c r="BG139" s="509">
        <f>IF(ISBLANK(BE139),"",INT(BF139*$J139))</f>
        <v>1991</v>
      </c>
      <c r="BH139" s="48">
        <f>6*24+18</f>
        <v>162</v>
      </c>
      <c r="BI139" s="53">
        <v>2300000</v>
      </c>
      <c r="BJ139" s="47">
        <v>0</v>
      </c>
      <c r="BK139" s="47">
        <v>0</v>
      </c>
      <c r="BL139" s="47">
        <v>3</v>
      </c>
      <c r="BM139" s="493">
        <v>10000</v>
      </c>
      <c r="BN139" s="483">
        <v>560</v>
      </c>
      <c r="BO139" s="98">
        <v>420</v>
      </c>
      <c r="BP139" s="484">
        <v>5</v>
      </c>
      <c r="BQ139" s="506">
        <f>IF(ISBLANK(BP139), "",INT(BN139*BP139))</f>
        <v>2800</v>
      </c>
      <c r="BR139" s="507">
        <f>IF(ISBLANK(BP139),"",INT(BQ139*$J139))</f>
        <v>2100</v>
      </c>
      <c r="BS139" s="48">
        <f>9*24</f>
        <v>216</v>
      </c>
      <c r="BT139" s="53">
        <v>2900000</v>
      </c>
      <c r="BU139" s="47">
        <v>0</v>
      </c>
      <c r="BV139" s="47">
        <v>0</v>
      </c>
      <c r="BW139" s="47">
        <v>5</v>
      </c>
      <c r="BX139" s="493">
        <v>10000</v>
      </c>
      <c r="BY139" s="77">
        <v>206</v>
      </c>
      <c r="BZ139" s="504" t="s">
        <v>43</v>
      </c>
      <c r="CA139" s="496">
        <v>10000</v>
      </c>
      <c r="CB139" s="497">
        <v>175000</v>
      </c>
      <c r="CC139" s="498">
        <v>350000</v>
      </c>
      <c r="CD139" s="498">
        <v>700000</v>
      </c>
      <c r="CE139" s="498"/>
      <c r="CF139" s="498"/>
      <c r="CG139" s="498"/>
      <c r="CH139" s="498"/>
      <c r="CI139" s="498"/>
      <c r="CJ139" s="498"/>
      <c r="CK139" s="498"/>
      <c r="CL139" s="499"/>
      <c r="CM139" s="500" t="s">
        <v>43</v>
      </c>
      <c r="CN139" s="501"/>
      <c r="CO139" s="502"/>
      <c r="CP139" s="502"/>
      <c r="CQ139" s="503"/>
      <c r="CR139" s="1"/>
      <c r="CS139" s="1"/>
      <c r="CT139" s="1"/>
      <c r="CU139" s="1"/>
      <c r="CV139" s="1"/>
      <c r="CW139" s="2"/>
      <c r="CX139" s="603"/>
    </row>
    <row r="140" spans="1:102">
      <c r="A140" s="472"/>
      <c r="B140" s="44" t="s">
        <v>121</v>
      </c>
      <c r="C140" s="473" t="s">
        <v>42</v>
      </c>
      <c r="D140" s="132"/>
      <c r="E140" s="69" t="s">
        <v>43</v>
      </c>
      <c r="F140" s="45" t="s">
        <v>117</v>
      </c>
      <c r="G140" s="46"/>
      <c r="H140" s="475">
        <v>7</v>
      </c>
      <c r="I140" s="476" t="s">
        <v>269</v>
      </c>
      <c r="J140" s="141">
        <v>0.75</v>
      </c>
      <c r="K140" s="477">
        <v>0.13250000000000001</v>
      </c>
      <c r="L140" s="512">
        <f>IF(ISBLANK(Q140),"",Q140/R140)</f>
        <v>1.3333333333333333</v>
      </c>
      <c r="M140" s="173">
        <v>30</v>
      </c>
      <c r="N140" s="45">
        <v>7009</v>
      </c>
      <c r="O140" s="514">
        <v>42184</v>
      </c>
      <c r="P140" s="165" t="s">
        <v>201</v>
      </c>
      <c r="Q140" s="170">
        <v>308</v>
      </c>
      <c r="R140" s="47">
        <v>231</v>
      </c>
      <c r="S140" s="212">
        <v>1155</v>
      </c>
      <c r="T140" s="318" t="s">
        <v>485</v>
      </c>
      <c r="U140" s="510" t="s">
        <v>472</v>
      </c>
      <c r="V140" s="483">
        <v>308</v>
      </c>
      <c r="W140" s="98">
        <v>231</v>
      </c>
      <c r="X140" s="484">
        <v>5</v>
      </c>
      <c r="Y140" s="508">
        <f>IF(ISBLANK(X140), "",INT(V140*X140))</f>
        <v>1540</v>
      </c>
      <c r="Z140" s="509">
        <f>IF(ISBLANK(X140),"",INT(Y140*$J140))</f>
        <v>1155</v>
      </c>
      <c r="AA140" s="48">
        <f>10*24</f>
        <v>240</v>
      </c>
      <c r="AB140" s="47">
        <v>0</v>
      </c>
      <c r="AC140" s="47">
        <v>0</v>
      </c>
      <c r="AD140" s="47">
        <v>0</v>
      </c>
      <c r="AE140" s="47">
        <v>0</v>
      </c>
      <c r="AF140" s="491">
        <v>10000</v>
      </c>
      <c r="AG140" s="483">
        <v>462</v>
      </c>
      <c r="AH140" s="98">
        <v>347</v>
      </c>
      <c r="AI140" s="484">
        <v>5</v>
      </c>
      <c r="AJ140" s="508">
        <f>IF(ISBLANK(AI140), "",INT(AG140*AI140))</f>
        <v>2310</v>
      </c>
      <c r="AK140" s="509">
        <f>IF(ISBLANK(AI140),"",INT(AJ140*$J140))</f>
        <v>1732</v>
      </c>
      <c r="AL140" s="48">
        <f>2*24+12</f>
        <v>60</v>
      </c>
      <c r="AM140" s="53">
        <v>2700000</v>
      </c>
      <c r="AN140" s="47">
        <v>0</v>
      </c>
      <c r="AO140" s="47">
        <v>0</v>
      </c>
      <c r="AP140" s="47">
        <v>1</v>
      </c>
      <c r="AQ140" s="493">
        <v>10000</v>
      </c>
      <c r="AR140" s="483">
        <v>539</v>
      </c>
      <c r="AS140" s="98">
        <v>405</v>
      </c>
      <c r="AT140" s="484">
        <v>5</v>
      </c>
      <c r="AU140" s="508">
        <f>IF(ISBLANK(AT140), "",INT(AR140*AT140))</f>
        <v>2695</v>
      </c>
      <c r="AV140" s="509">
        <f>IF(ISBLANK(AT140),"",INT(AU140*$J140))</f>
        <v>2021</v>
      </c>
      <c r="AW140" s="48">
        <f>5*24</f>
        <v>120</v>
      </c>
      <c r="AX140" s="53">
        <v>4000000</v>
      </c>
      <c r="AY140" s="47">
        <v>0</v>
      </c>
      <c r="AZ140" s="47">
        <v>0</v>
      </c>
      <c r="BA140" s="47">
        <v>2</v>
      </c>
      <c r="BB140" s="493">
        <v>10000</v>
      </c>
      <c r="BC140" s="483">
        <v>584</v>
      </c>
      <c r="BD140" s="98">
        <v>438</v>
      </c>
      <c r="BE140" s="484">
        <v>5</v>
      </c>
      <c r="BF140" s="508">
        <f>IF(ISBLANK(BE140), "",INT(BC140*BE140))</f>
        <v>2920</v>
      </c>
      <c r="BG140" s="509">
        <f>IF(ISBLANK(BE140),"",INT(BF140*$J140))</f>
        <v>2190</v>
      </c>
      <c r="BH140" s="48">
        <f>7*24+12</f>
        <v>180</v>
      </c>
      <c r="BI140" s="53">
        <v>5300000</v>
      </c>
      <c r="BJ140" s="47">
        <v>0</v>
      </c>
      <c r="BK140" s="47">
        <v>0</v>
      </c>
      <c r="BL140" s="47">
        <v>3</v>
      </c>
      <c r="BM140" s="493">
        <v>10000</v>
      </c>
      <c r="BN140" s="483">
        <v>616</v>
      </c>
      <c r="BO140" s="98">
        <v>462</v>
      </c>
      <c r="BP140" s="484">
        <v>5</v>
      </c>
      <c r="BQ140" s="506">
        <f>IF(ISBLANK(BP140), "",INT(BN140*BP140))</f>
        <v>3080</v>
      </c>
      <c r="BR140" s="507">
        <f>IF(ISBLANK(BP140),"",INT(BQ140*$J140))</f>
        <v>2310</v>
      </c>
      <c r="BS140" s="48">
        <f>10*24</f>
        <v>240</v>
      </c>
      <c r="BT140" s="53">
        <v>6700000</v>
      </c>
      <c r="BU140" s="47">
        <v>0</v>
      </c>
      <c r="BV140" s="47">
        <v>0</v>
      </c>
      <c r="BW140" s="47">
        <v>5</v>
      </c>
      <c r="BX140" s="493">
        <v>10000</v>
      </c>
      <c r="BY140" s="77">
        <v>229</v>
      </c>
      <c r="BZ140" s="504" t="s">
        <v>43</v>
      </c>
      <c r="CA140" s="496">
        <v>10000</v>
      </c>
      <c r="CB140" s="497">
        <v>400000</v>
      </c>
      <c r="CC140" s="498">
        <v>800000</v>
      </c>
      <c r="CD140" s="498"/>
      <c r="CE140" s="498"/>
      <c r="CF140" s="498"/>
      <c r="CG140" s="498"/>
      <c r="CH140" s="498"/>
      <c r="CI140" s="498"/>
      <c r="CJ140" s="498"/>
      <c r="CK140" s="498"/>
      <c r="CL140" s="499"/>
      <c r="CM140" s="500" t="s">
        <v>43</v>
      </c>
      <c r="CN140" s="501"/>
      <c r="CO140" s="502"/>
      <c r="CP140" s="502"/>
      <c r="CQ140" s="503"/>
      <c r="CR140" s="1"/>
      <c r="CS140" s="1"/>
      <c r="CT140" s="1"/>
      <c r="CU140" s="1"/>
      <c r="CV140" s="1"/>
      <c r="CW140" s="2"/>
      <c r="CX140" s="603"/>
    </row>
    <row r="141" spans="1:102">
      <c r="A141" s="472"/>
      <c r="B141" s="44" t="s">
        <v>217</v>
      </c>
      <c r="C141" s="473" t="s">
        <v>42</v>
      </c>
      <c r="D141" s="132"/>
      <c r="E141" s="69"/>
      <c r="F141" s="45" t="s">
        <v>218</v>
      </c>
      <c r="G141" s="46"/>
      <c r="H141" s="475">
        <v>7</v>
      </c>
      <c r="I141" s="476" t="s">
        <v>269</v>
      </c>
      <c r="J141" s="141">
        <v>4</v>
      </c>
      <c r="K141" s="477">
        <v>0.1</v>
      </c>
      <c r="L141" s="512">
        <f>IF(ISBLANK(Q141),"",Q141/R141)</f>
        <v>2.6</v>
      </c>
      <c r="M141" s="173">
        <v>30</v>
      </c>
      <c r="N141" s="45">
        <v>7013</v>
      </c>
      <c r="O141" s="514">
        <v>42348</v>
      </c>
      <c r="P141" s="165" t="s">
        <v>206</v>
      </c>
      <c r="Q141" s="515">
        <v>1170</v>
      </c>
      <c r="R141" s="516">
        <v>450</v>
      </c>
      <c r="S141" s="517">
        <v>37440</v>
      </c>
      <c r="T141" s="318" t="s">
        <v>486</v>
      </c>
      <c r="U141" s="510" t="s">
        <v>472</v>
      </c>
      <c r="V141" s="483">
        <v>390</v>
      </c>
      <c r="W141" s="98">
        <v>150</v>
      </c>
      <c r="X141" s="484">
        <v>8</v>
      </c>
      <c r="Y141" s="508">
        <f>IF(ISBLANK(X141), "",INT(V141*X141))</f>
        <v>3120</v>
      </c>
      <c r="Z141" s="509">
        <f>IF(ISBLANK(X141),"",INT(Y141*$J141))</f>
        <v>12480</v>
      </c>
      <c r="AA141" s="48">
        <v>6</v>
      </c>
      <c r="AB141" s="47">
        <v>0</v>
      </c>
      <c r="AC141" s="47">
        <v>0</v>
      </c>
      <c r="AD141" s="47">
        <v>0</v>
      </c>
      <c r="AE141" s="47">
        <v>0</v>
      </c>
      <c r="AF141" s="491">
        <v>10000</v>
      </c>
      <c r="AG141" s="483">
        <v>488</v>
      </c>
      <c r="AH141" s="98">
        <v>188</v>
      </c>
      <c r="AI141" s="484">
        <v>8</v>
      </c>
      <c r="AJ141" s="508">
        <f>IF(ISBLANK(AI141), "",INT(AG141*AI141))</f>
        <v>3904</v>
      </c>
      <c r="AK141" s="509">
        <f>IF(ISBLANK(AI141),"",INT(AJ141*$J141))</f>
        <v>15616</v>
      </c>
      <c r="AL141" s="48">
        <f>2*24</f>
        <v>48</v>
      </c>
      <c r="AM141" s="53">
        <v>2880000</v>
      </c>
      <c r="AN141" s="47">
        <v>0</v>
      </c>
      <c r="AO141" s="47">
        <v>0</v>
      </c>
      <c r="AP141" s="47">
        <v>3</v>
      </c>
      <c r="AQ141" s="525">
        <v>10000</v>
      </c>
      <c r="AR141" s="518">
        <v>585</v>
      </c>
      <c r="AS141" s="519">
        <v>225</v>
      </c>
      <c r="AT141" s="520">
        <v>8</v>
      </c>
      <c r="AU141" s="521">
        <f>IF(ISBLANK(AT141), "",INT(AR141*AT141))</f>
        <v>4680</v>
      </c>
      <c r="AV141" s="522">
        <f>IF(ISBLANK(AT141),"",INT(AU141*$J141))</f>
        <v>18720</v>
      </c>
      <c r="AW141" s="615">
        <v>96</v>
      </c>
      <c r="AX141" s="616">
        <f>2880000*1.5</f>
        <v>4320000</v>
      </c>
      <c r="AY141" s="516">
        <v>0</v>
      </c>
      <c r="AZ141" s="516">
        <v>0</v>
      </c>
      <c r="BA141" s="516">
        <v>5</v>
      </c>
      <c r="BB141" s="525">
        <v>10000</v>
      </c>
      <c r="BC141" s="518">
        <v>780</v>
      </c>
      <c r="BD141" s="519">
        <v>300</v>
      </c>
      <c r="BE141" s="520">
        <v>8</v>
      </c>
      <c r="BF141" s="521">
        <f>IF(ISBLANK(BE141), "",INT(BC141*BE141))</f>
        <v>6240</v>
      </c>
      <c r="BG141" s="522">
        <f>IF(ISBLANK(BE141),"",INT(BF141*$J141))</f>
        <v>24960</v>
      </c>
      <c r="BH141" s="48"/>
      <c r="BI141" s="53"/>
      <c r="BJ141" s="47"/>
      <c r="BK141" s="47"/>
      <c r="BL141" s="47"/>
      <c r="BM141" s="525">
        <v>10000</v>
      </c>
      <c r="BN141" s="518">
        <v>1170</v>
      </c>
      <c r="BO141" s="519">
        <v>450</v>
      </c>
      <c r="BP141" s="520">
        <v>8</v>
      </c>
      <c r="BQ141" s="521">
        <f>IF(ISBLANK(BP141), "",INT(BN141*BP141))</f>
        <v>9360</v>
      </c>
      <c r="BR141" s="522">
        <f>IF(ISBLANK(BP141),"",INT(BQ141*$J141))</f>
        <v>37440</v>
      </c>
      <c r="BS141" s="48"/>
      <c r="BT141" s="53"/>
      <c r="BU141" s="47"/>
      <c r="BV141" s="47"/>
      <c r="BW141" s="47"/>
      <c r="BX141" s="525">
        <v>10000</v>
      </c>
      <c r="BY141" s="77"/>
      <c r="BZ141" s="504"/>
      <c r="CA141" s="496">
        <v>10000</v>
      </c>
      <c r="CB141" s="497">
        <v>1300000</v>
      </c>
      <c r="CC141" s="498"/>
      <c r="CD141" s="498"/>
      <c r="CE141" s="498"/>
      <c r="CF141" s="498"/>
      <c r="CG141" s="498"/>
      <c r="CH141" s="498"/>
      <c r="CI141" s="498"/>
      <c r="CJ141" s="498"/>
      <c r="CK141" s="498"/>
      <c r="CL141" s="499"/>
      <c r="CM141" s="500" t="s">
        <v>43</v>
      </c>
      <c r="CN141" s="501"/>
      <c r="CO141" s="502"/>
      <c r="CP141" s="502"/>
      <c r="CQ141" s="503"/>
      <c r="CR141" s="1"/>
      <c r="CS141" s="1"/>
      <c r="CT141" s="1"/>
      <c r="CU141" s="1"/>
      <c r="CV141" s="1"/>
      <c r="CW141" s="2"/>
      <c r="CX141" s="603"/>
    </row>
    <row r="142" spans="1:102">
      <c r="A142" s="472"/>
      <c r="B142" s="44" t="s">
        <v>261</v>
      </c>
      <c r="C142" s="473" t="s">
        <v>42</v>
      </c>
      <c r="D142" s="132"/>
      <c r="E142" s="69" t="s">
        <v>262</v>
      </c>
      <c r="F142" s="45" t="s">
        <v>43</v>
      </c>
      <c r="G142" s="46"/>
      <c r="H142" s="475">
        <v>7</v>
      </c>
      <c r="I142" s="476" t="s">
        <v>269</v>
      </c>
      <c r="J142" s="141">
        <v>4</v>
      </c>
      <c r="K142" s="479">
        <v>0.1</v>
      </c>
      <c r="L142" s="512">
        <f>IF(ISBLANK(Q142),"",Q142/R142)</f>
        <v>2.6043956043956045</v>
      </c>
      <c r="M142" s="173">
        <v>30</v>
      </c>
      <c r="N142" s="513">
        <v>7018</v>
      </c>
      <c r="O142" s="514">
        <v>42384</v>
      </c>
      <c r="P142" s="165" t="s">
        <v>206</v>
      </c>
      <c r="Q142" s="170">
        <v>1185</v>
      </c>
      <c r="R142" s="47">
        <v>455</v>
      </c>
      <c r="S142" s="212">
        <v>37920</v>
      </c>
      <c r="T142" s="318" t="s">
        <v>487</v>
      </c>
      <c r="U142" s="510" t="s">
        <v>472</v>
      </c>
      <c r="V142" s="483">
        <v>395</v>
      </c>
      <c r="W142" s="98">
        <v>152</v>
      </c>
      <c r="X142" s="484">
        <v>8</v>
      </c>
      <c r="Y142" s="508">
        <f>IF(ISBLANK(X142), "",INT(V142*X142))</f>
        <v>3160</v>
      </c>
      <c r="Z142" s="509">
        <f>IF(ISBLANK(X142),"",INT(Y142*$J142))</f>
        <v>12640</v>
      </c>
      <c r="AA142" s="48">
        <v>6</v>
      </c>
      <c r="AB142" s="47">
        <v>0</v>
      </c>
      <c r="AC142" s="47">
        <v>0</v>
      </c>
      <c r="AD142" s="47">
        <v>0</v>
      </c>
      <c r="AE142" s="47">
        <v>0</v>
      </c>
      <c r="AF142" s="526">
        <v>10000</v>
      </c>
      <c r="AG142" s="518">
        <v>494</v>
      </c>
      <c r="AH142" s="519">
        <v>190</v>
      </c>
      <c r="AI142" s="484">
        <v>8</v>
      </c>
      <c r="AJ142" s="521">
        <f>IF(ISBLANK(AI142), "",INT(AG142*AI142))</f>
        <v>3952</v>
      </c>
      <c r="AK142" s="522">
        <f>IF(ISBLANK(AI142),"",INT(AJ142*$J142))</f>
        <v>15808</v>
      </c>
      <c r="AL142" s="48"/>
      <c r="AM142" s="53"/>
      <c r="AN142" s="47"/>
      <c r="AO142" s="47"/>
      <c r="AP142" s="47"/>
      <c r="AQ142" s="525">
        <v>10000</v>
      </c>
      <c r="AR142" s="518">
        <v>593</v>
      </c>
      <c r="AS142" s="519">
        <v>228</v>
      </c>
      <c r="AT142" s="484">
        <v>8</v>
      </c>
      <c r="AU142" s="521">
        <f>IF(ISBLANK(AT142), "",INT(AR142*AT142))</f>
        <v>4744</v>
      </c>
      <c r="AV142" s="522">
        <f>IF(ISBLANK(AT142),"",INT(AU142*$J142))</f>
        <v>18976</v>
      </c>
      <c r="AW142" s="48"/>
      <c r="AX142" s="53"/>
      <c r="AY142" s="47"/>
      <c r="AZ142" s="47"/>
      <c r="BA142" s="47"/>
      <c r="BB142" s="525">
        <v>10000</v>
      </c>
      <c r="BC142" s="518">
        <v>790</v>
      </c>
      <c r="BD142" s="519">
        <v>304</v>
      </c>
      <c r="BE142" s="484">
        <v>8</v>
      </c>
      <c r="BF142" s="521">
        <f>IF(ISBLANK(BE142), "",INT(BC142*BE142))</f>
        <v>6320</v>
      </c>
      <c r="BG142" s="522">
        <f>IF(ISBLANK(BE142),"",INT(BF142*$J142))</f>
        <v>25280</v>
      </c>
      <c r="BH142" s="48"/>
      <c r="BI142" s="53"/>
      <c r="BJ142" s="47"/>
      <c r="BK142" s="47"/>
      <c r="BL142" s="47"/>
      <c r="BM142" s="525">
        <v>10000</v>
      </c>
      <c r="BN142" s="483">
        <v>1185</v>
      </c>
      <c r="BO142" s="98">
        <v>455</v>
      </c>
      <c r="BP142" s="484">
        <v>8</v>
      </c>
      <c r="BQ142" s="506">
        <f>IF(ISBLANK(BP142), "",INT(BN142*BP142))</f>
        <v>9480</v>
      </c>
      <c r="BR142" s="507">
        <f>IF(ISBLANK(BP142),"",INT(BQ142*$J142))</f>
        <v>37920</v>
      </c>
      <c r="BS142" s="48"/>
      <c r="BT142" s="53"/>
      <c r="BU142" s="47"/>
      <c r="BV142" s="47"/>
      <c r="BW142" s="47"/>
      <c r="BX142" s="525">
        <v>10000</v>
      </c>
      <c r="BY142" s="77"/>
      <c r="BZ142" s="504"/>
      <c r="CA142" s="496">
        <v>10000</v>
      </c>
      <c r="CB142" s="497">
        <v>1800000</v>
      </c>
      <c r="CC142" s="498"/>
      <c r="CD142" s="498"/>
      <c r="CE142" s="498"/>
      <c r="CF142" s="498"/>
      <c r="CG142" s="498"/>
      <c r="CH142" s="498"/>
      <c r="CI142" s="498"/>
      <c r="CJ142" s="498"/>
      <c r="CK142" s="498"/>
      <c r="CL142" s="499"/>
      <c r="CM142" s="500" t="s">
        <v>43</v>
      </c>
      <c r="CN142" s="501"/>
      <c r="CO142" s="502"/>
      <c r="CP142" s="502"/>
      <c r="CQ142" s="503"/>
      <c r="CR142" s="1"/>
      <c r="CS142" s="1"/>
      <c r="CT142" s="1"/>
      <c r="CU142" s="1"/>
      <c r="CV142" s="1"/>
      <c r="CW142" s="2"/>
      <c r="CX142" s="603"/>
    </row>
    <row r="143" spans="1:102" s="1132" customFormat="1">
      <c r="A143" s="472"/>
      <c r="B143" s="1127" t="s">
        <v>963</v>
      </c>
      <c r="C143" s="473" t="s">
        <v>42</v>
      </c>
      <c r="D143" s="132"/>
      <c r="E143" s="69" t="s">
        <v>109</v>
      </c>
      <c r="F143" s="45"/>
      <c r="G143" s="46"/>
      <c r="H143" s="475">
        <v>7</v>
      </c>
      <c r="I143" s="476" t="s">
        <v>269</v>
      </c>
      <c r="J143" s="141">
        <v>4</v>
      </c>
      <c r="K143" s="479">
        <v>0.1</v>
      </c>
      <c r="L143" s="512">
        <f>IF(ISBLANK(Q143),"",Q143/R143)</f>
        <v>2.6086956521739131</v>
      </c>
      <c r="M143" s="173">
        <v>30</v>
      </c>
      <c r="N143" s="513">
        <v>7023</v>
      </c>
      <c r="O143" s="514">
        <v>42415</v>
      </c>
      <c r="P143" s="165" t="s">
        <v>206</v>
      </c>
      <c r="Q143" s="170">
        <v>1200</v>
      </c>
      <c r="R143" s="47">
        <v>460</v>
      </c>
      <c r="S143" s="212">
        <v>38400</v>
      </c>
      <c r="T143" s="318" t="s">
        <v>966</v>
      </c>
      <c r="U143" s="510" t="s">
        <v>951</v>
      </c>
      <c r="V143" s="518">
        <v>400</v>
      </c>
      <c r="W143" s="519">
        <v>154</v>
      </c>
      <c r="X143" s="520">
        <v>8</v>
      </c>
      <c r="Y143" s="521">
        <f>IF(ISBLANK(X143), "",INT(V143*X143))</f>
        <v>3200</v>
      </c>
      <c r="Z143" s="522">
        <f>IF(ISBLANK(X143),"",INT(Y143*$J143))</f>
        <v>12800</v>
      </c>
      <c r="AA143" s="48"/>
      <c r="AB143" s="47"/>
      <c r="AC143" s="47"/>
      <c r="AD143" s="47"/>
      <c r="AE143" s="47"/>
      <c r="AF143" s="526">
        <v>10000</v>
      </c>
      <c r="AG143" s="518">
        <v>500</v>
      </c>
      <c r="AH143" s="519">
        <v>192</v>
      </c>
      <c r="AI143" s="520">
        <v>8</v>
      </c>
      <c r="AJ143" s="521">
        <f>IF(ISBLANK(AI143), "",INT(AG143*AI143))</f>
        <v>4000</v>
      </c>
      <c r="AK143" s="522">
        <f>IF(ISBLANK(AI143),"",INT(AJ143*$J143))</f>
        <v>16000</v>
      </c>
      <c r="AL143" s="48"/>
      <c r="AM143" s="53"/>
      <c r="AN143" s="47"/>
      <c r="AO143" s="47"/>
      <c r="AP143" s="47"/>
      <c r="AQ143" s="525">
        <v>10000</v>
      </c>
      <c r="AR143" s="518">
        <v>600</v>
      </c>
      <c r="AS143" s="519">
        <v>230</v>
      </c>
      <c r="AT143" s="520">
        <v>8</v>
      </c>
      <c r="AU143" s="521">
        <f>IF(ISBLANK(AT143), "",INT(AR143*AT143))</f>
        <v>4800</v>
      </c>
      <c r="AV143" s="522">
        <f>IF(ISBLANK(AT143),"",INT(AU143*$J143))</f>
        <v>19200</v>
      </c>
      <c r="AW143" s="48"/>
      <c r="AX143" s="53"/>
      <c r="AY143" s="47"/>
      <c r="AZ143" s="47"/>
      <c r="BA143" s="47"/>
      <c r="BB143" s="525">
        <v>10000</v>
      </c>
      <c r="BC143" s="518">
        <v>800</v>
      </c>
      <c r="BD143" s="519">
        <v>307</v>
      </c>
      <c r="BE143" s="520">
        <v>8</v>
      </c>
      <c r="BF143" s="521">
        <f>IF(ISBLANK(BE143), "",INT(BC143*BE143))</f>
        <v>6400</v>
      </c>
      <c r="BG143" s="522">
        <f>IF(ISBLANK(BE143),"",INT(BF143*$J143))</f>
        <v>25600</v>
      </c>
      <c r="BH143" s="48"/>
      <c r="BI143" s="53"/>
      <c r="BJ143" s="47"/>
      <c r="BK143" s="47"/>
      <c r="BL143" s="47"/>
      <c r="BM143" s="525">
        <v>10000</v>
      </c>
      <c r="BN143" s="1158">
        <v>1200</v>
      </c>
      <c r="BO143" s="1159">
        <v>460</v>
      </c>
      <c r="BP143" s="1024">
        <v>8</v>
      </c>
      <c r="BQ143" s="506">
        <f>IF(ISBLANK(BP143), "",INT(BN143*BP143))</f>
        <v>9600</v>
      </c>
      <c r="BR143" s="507">
        <f>IF(ISBLANK(BP143),"",INT(BQ143*$J143))</f>
        <v>38400</v>
      </c>
      <c r="BS143" s="48"/>
      <c r="BT143" s="53"/>
      <c r="BU143" s="47"/>
      <c r="BV143" s="47"/>
      <c r="BW143" s="47"/>
      <c r="BX143" s="525">
        <v>10000</v>
      </c>
      <c r="BY143" s="77"/>
      <c r="BZ143" s="504"/>
      <c r="CA143" s="496">
        <v>10000</v>
      </c>
      <c r="CB143" s="497">
        <v>2300000</v>
      </c>
      <c r="CC143" s="498"/>
      <c r="CD143" s="498"/>
      <c r="CE143" s="498"/>
      <c r="CF143" s="498"/>
      <c r="CG143" s="498"/>
      <c r="CH143" s="498"/>
      <c r="CI143" s="498"/>
      <c r="CJ143" s="498"/>
      <c r="CK143" s="498"/>
      <c r="CL143" s="499"/>
      <c r="CM143" s="500" t="s">
        <v>43</v>
      </c>
      <c r="CN143" s="501"/>
      <c r="CO143" s="502"/>
      <c r="CP143" s="502"/>
      <c r="CQ143" s="503"/>
      <c r="CR143" s="1"/>
      <c r="CS143" s="1"/>
      <c r="CT143" s="1"/>
      <c r="CU143" s="1"/>
      <c r="CV143" s="1"/>
      <c r="CW143" s="2"/>
      <c r="CX143" s="603"/>
    </row>
    <row r="144" spans="1:102">
      <c r="A144" s="472"/>
      <c r="B144" s="44" t="s">
        <v>133</v>
      </c>
      <c r="C144" s="473" t="s">
        <v>42</v>
      </c>
      <c r="D144" s="132"/>
      <c r="E144" s="69" t="s">
        <v>43</v>
      </c>
      <c r="F144" s="45"/>
      <c r="G144" s="46"/>
      <c r="H144" s="475">
        <v>5</v>
      </c>
      <c r="I144" s="476" t="s">
        <v>282</v>
      </c>
      <c r="J144" s="141">
        <v>6</v>
      </c>
      <c r="K144" s="477">
        <v>0.1</v>
      </c>
      <c r="L144" s="512">
        <f t="shared" si="51"/>
        <v>1.3157894736842106</v>
      </c>
      <c r="M144" s="173">
        <v>100</v>
      </c>
      <c r="N144" s="45">
        <v>80</v>
      </c>
      <c r="O144" s="514">
        <v>42227</v>
      </c>
      <c r="P144" s="165" t="s">
        <v>201</v>
      </c>
      <c r="Q144" s="170">
        <v>250</v>
      </c>
      <c r="R144" s="47">
        <v>190</v>
      </c>
      <c r="S144" s="212">
        <v>7500</v>
      </c>
      <c r="T144" s="318" t="s">
        <v>488</v>
      </c>
      <c r="U144" s="510" t="s">
        <v>505</v>
      </c>
      <c r="V144" s="483">
        <v>250</v>
      </c>
      <c r="W144" s="98">
        <v>190</v>
      </c>
      <c r="X144" s="484">
        <v>5</v>
      </c>
      <c r="Y144" s="508">
        <f t="shared" si="52"/>
        <v>1250</v>
      </c>
      <c r="Z144" s="509">
        <f t="shared" si="53"/>
        <v>7500</v>
      </c>
      <c r="AA144" s="48">
        <v>11</v>
      </c>
      <c r="AB144" s="47">
        <v>0</v>
      </c>
      <c r="AC144" s="47">
        <v>0</v>
      </c>
      <c r="AD144" s="47">
        <v>0</v>
      </c>
      <c r="AE144" s="47">
        <v>0</v>
      </c>
      <c r="AF144" s="491">
        <v>1375</v>
      </c>
      <c r="AG144" s="483">
        <v>375</v>
      </c>
      <c r="AH144" s="98">
        <v>285</v>
      </c>
      <c r="AI144" s="484">
        <v>5</v>
      </c>
      <c r="AJ144" s="508">
        <f t="shared" si="54"/>
        <v>1875</v>
      </c>
      <c r="AK144" s="509">
        <f t="shared" si="55"/>
        <v>11250</v>
      </c>
      <c r="AL144" s="48">
        <v>3</v>
      </c>
      <c r="AM144" s="53">
        <v>800000</v>
      </c>
      <c r="AN144" s="47">
        <v>0</v>
      </c>
      <c r="AO144" s="47">
        <v>0</v>
      </c>
      <c r="AP144" s="47">
        <v>0</v>
      </c>
      <c r="AQ144" s="493">
        <v>562</v>
      </c>
      <c r="AR144" s="483">
        <v>437</v>
      </c>
      <c r="AS144" s="98">
        <v>332</v>
      </c>
      <c r="AT144" s="484">
        <v>5</v>
      </c>
      <c r="AU144" s="508">
        <f t="shared" si="56"/>
        <v>2185</v>
      </c>
      <c r="AV144" s="509">
        <f t="shared" si="57"/>
        <v>13110</v>
      </c>
      <c r="AW144" s="48">
        <v>5.5</v>
      </c>
      <c r="AX144" s="53">
        <v>1200000</v>
      </c>
      <c r="AY144" s="47">
        <v>0</v>
      </c>
      <c r="AZ144" s="47">
        <v>1</v>
      </c>
      <c r="BA144" s="47">
        <v>0</v>
      </c>
      <c r="BB144" s="493">
        <v>1201</v>
      </c>
      <c r="BC144" s="483">
        <v>475</v>
      </c>
      <c r="BD144" s="98">
        <v>361</v>
      </c>
      <c r="BE144" s="484">
        <v>5</v>
      </c>
      <c r="BF144" s="508">
        <f t="shared" si="58"/>
        <v>2375</v>
      </c>
      <c r="BG144" s="509">
        <f t="shared" si="59"/>
        <v>14250</v>
      </c>
      <c r="BH144" s="48">
        <v>9</v>
      </c>
      <c r="BI144" s="53">
        <v>1600000</v>
      </c>
      <c r="BJ144" s="47">
        <v>0</v>
      </c>
      <c r="BK144" s="47">
        <v>0</v>
      </c>
      <c r="BL144" s="47">
        <v>0</v>
      </c>
      <c r="BM144" s="493">
        <v>2137</v>
      </c>
      <c r="BN144" s="483">
        <v>500</v>
      </c>
      <c r="BO144" s="98">
        <v>380</v>
      </c>
      <c r="BP144" s="484">
        <v>5</v>
      </c>
      <c r="BQ144" s="506">
        <f t="shared" si="60"/>
        <v>2500</v>
      </c>
      <c r="BR144" s="507">
        <f t="shared" si="61"/>
        <v>15000</v>
      </c>
      <c r="BS144" s="48">
        <v>11</v>
      </c>
      <c r="BT144" s="53">
        <v>2000000</v>
      </c>
      <c r="BU144" s="47">
        <v>0</v>
      </c>
      <c r="BV144" s="47">
        <v>0</v>
      </c>
      <c r="BW144" s="47">
        <v>1</v>
      </c>
      <c r="BX144" s="493">
        <v>2750</v>
      </c>
      <c r="BY144" s="77">
        <v>11</v>
      </c>
      <c r="BZ144" s="504" t="s">
        <v>43</v>
      </c>
      <c r="CA144" s="496">
        <v>10000</v>
      </c>
      <c r="CB144" s="497">
        <v>33333</v>
      </c>
      <c r="CC144" s="498">
        <v>66666</v>
      </c>
      <c r="CD144" s="498">
        <v>133332</v>
      </c>
      <c r="CE144" s="498">
        <v>266664</v>
      </c>
      <c r="CF144" s="498">
        <v>533328</v>
      </c>
      <c r="CG144" s="498"/>
      <c r="CH144" s="498"/>
      <c r="CI144" s="498"/>
      <c r="CJ144" s="498"/>
      <c r="CK144" s="498"/>
      <c r="CL144" s="499"/>
      <c r="CM144" s="500" t="s">
        <v>43</v>
      </c>
      <c r="CN144" s="501"/>
      <c r="CO144" s="502"/>
      <c r="CP144" s="502"/>
      <c r="CQ144" s="503"/>
      <c r="CR144" s="1"/>
      <c r="CS144" s="1"/>
      <c r="CT144" s="1"/>
      <c r="CU144" s="1"/>
      <c r="CV144" s="1"/>
      <c r="CW144" s="2"/>
      <c r="CX144" s="603"/>
    </row>
    <row r="145" spans="1:102">
      <c r="A145" s="472"/>
      <c r="B145" s="44" t="s">
        <v>141</v>
      </c>
      <c r="C145" s="473" t="s">
        <v>42</v>
      </c>
      <c r="D145" s="132"/>
      <c r="E145" s="69" t="s">
        <v>43</v>
      </c>
      <c r="F145" s="45"/>
      <c r="G145" s="46"/>
      <c r="H145" s="475">
        <v>4</v>
      </c>
      <c r="I145" s="476" t="s">
        <v>282</v>
      </c>
      <c r="J145" s="141">
        <v>10</v>
      </c>
      <c r="K145" s="477">
        <v>0.1</v>
      </c>
      <c r="L145" s="512">
        <f t="shared" si="51"/>
        <v>1.3333333333333333</v>
      </c>
      <c r="M145" s="173">
        <v>100</v>
      </c>
      <c r="N145" s="45">
        <v>82</v>
      </c>
      <c r="O145" s="514">
        <v>42248</v>
      </c>
      <c r="P145" s="165" t="s">
        <v>201</v>
      </c>
      <c r="Q145" s="170">
        <v>240</v>
      </c>
      <c r="R145" s="47">
        <v>180</v>
      </c>
      <c r="S145" s="212">
        <v>12000</v>
      </c>
      <c r="T145" s="318" t="s">
        <v>489</v>
      </c>
      <c r="U145" s="510" t="s">
        <v>693</v>
      </c>
      <c r="V145" s="483">
        <v>240</v>
      </c>
      <c r="W145" s="98">
        <v>180</v>
      </c>
      <c r="X145" s="484">
        <v>5</v>
      </c>
      <c r="Y145" s="508">
        <f t="shared" si="52"/>
        <v>1200</v>
      </c>
      <c r="Z145" s="509">
        <f t="shared" si="53"/>
        <v>12000</v>
      </c>
      <c r="AA145" s="48">
        <v>10</v>
      </c>
      <c r="AB145" s="47">
        <v>0</v>
      </c>
      <c r="AC145" s="47">
        <v>0</v>
      </c>
      <c r="AD145" s="47">
        <v>0</v>
      </c>
      <c r="AE145" s="47">
        <v>0</v>
      </c>
      <c r="AF145" s="491">
        <v>1200</v>
      </c>
      <c r="AG145" s="483">
        <v>360</v>
      </c>
      <c r="AH145" s="98">
        <v>270</v>
      </c>
      <c r="AI145" s="484">
        <v>5</v>
      </c>
      <c r="AJ145" s="508">
        <f t="shared" si="54"/>
        <v>1800</v>
      </c>
      <c r="AK145" s="509">
        <f t="shared" si="55"/>
        <v>18000</v>
      </c>
      <c r="AL145" s="48">
        <v>3</v>
      </c>
      <c r="AM145" s="53">
        <v>880000</v>
      </c>
      <c r="AN145" s="47">
        <v>0</v>
      </c>
      <c r="AO145" s="47">
        <v>1</v>
      </c>
      <c r="AP145" s="47">
        <v>0</v>
      </c>
      <c r="AQ145" s="493">
        <v>540</v>
      </c>
      <c r="AR145" s="483">
        <v>419</v>
      </c>
      <c r="AS145" s="98">
        <v>314</v>
      </c>
      <c r="AT145" s="484">
        <v>5</v>
      </c>
      <c r="AU145" s="508">
        <f t="shared" si="56"/>
        <v>2095</v>
      </c>
      <c r="AV145" s="509">
        <f t="shared" si="57"/>
        <v>20950</v>
      </c>
      <c r="AW145" s="48">
        <v>6</v>
      </c>
      <c r="AX145" s="53">
        <v>1320000</v>
      </c>
      <c r="AY145" s="47">
        <v>0</v>
      </c>
      <c r="AZ145" s="47">
        <v>2</v>
      </c>
      <c r="BA145" s="47">
        <v>0</v>
      </c>
      <c r="BB145" s="493">
        <v>1257</v>
      </c>
      <c r="BC145" s="483">
        <v>456</v>
      </c>
      <c r="BD145" s="98">
        <v>342</v>
      </c>
      <c r="BE145" s="484">
        <v>5</v>
      </c>
      <c r="BF145" s="508">
        <f t="shared" si="58"/>
        <v>2280</v>
      </c>
      <c r="BG145" s="509">
        <f t="shared" si="59"/>
        <v>22800</v>
      </c>
      <c r="BH145" s="48">
        <v>8</v>
      </c>
      <c r="BI145" s="53">
        <v>1760000</v>
      </c>
      <c r="BJ145" s="47">
        <v>0</v>
      </c>
      <c r="BK145" s="47">
        <v>0</v>
      </c>
      <c r="BL145" s="47">
        <v>1</v>
      </c>
      <c r="BM145" s="493">
        <v>1824</v>
      </c>
      <c r="BN145" s="483">
        <v>480</v>
      </c>
      <c r="BO145" s="98">
        <v>360</v>
      </c>
      <c r="BP145" s="484">
        <v>5</v>
      </c>
      <c r="BQ145" s="506">
        <f t="shared" si="60"/>
        <v>2400</v>
      </c>
      <c r="BR145" s="507">
        <f t="shared" si="61"/>
        <v>24000</v>
      </c>
      <c r="BS145" s="48">
        <v>10</v>
      </c>
      <c r="BT145" s="53">
        <v>2200000</v>
      </c>
      <c r="BU145" s="47">
        <v>0</v>
      </c>
      <c r="BV145" s="47">
        <v>0</v>
      </c>
      <c r="BW145" s="47">
        <v>2</v>
      </c>
      <c r="BX145" s="493">
        <v>2400</v>
      </c>
      <c r="BY145" s="77">
        <v>10</v>
      </c>
      <c r="BZ145" s="504" t="s">
        <v>43</v>
      </c>
      <c r="CA145" s="496">
        <v>6666</v>
      </c>
      <c r="CB145" s="497">
        <v>20000</v>
      </c>
      <c r="CC145" s="498">
        <v>40000</v>
      </c>
      <c r="CD145" s="498">
        <v>80000</v>
      </c>
      <c r="CE145" s="498">
        <v>160000</v>
      </c>
      <c r="CF145" s="498">
        <v>320000</v>
      </c>
      <c r="CG145" s="498">
        <v>640000</v>
      </c>
      <c r="CH145" s="498"/>
      <c r="CI145" s="498"/>
      <c r="CJ145" s="498"/>
      <c r="CK145" s="498"/>
      <c r="CL145" s="499"/>
      <c r="CM145" s="500" t="s">
        <v>43</v>
      </c>
      <c r="CN145" s="501"/>
      <c r="CO145" s="502"/>
      <c r="CP145" s="502"/>
      <c r="CQ145" s="503"/>
      <c r="CR145" s="1"/>
      <c r="CS145" s="1"/>
      <c r="CT145" s="1"/>
      <c r="CU145" s="1"/>
      <c r="CV145" s="1"/>
      <c r="CW145" s="2"/>
      <c r="CX145" s="603"/>
    </row>
    <row r="146" spans="1:102">
      <c r="A146" s="472"/>
      <c r="B146" s="44" t="s">
        <v>149</v>
      </c>
      <c r="C146" s="473" t="s">
        <v>42</v>
      </c>
      <c r="D146" s="132"/>
      <c r="E146" s="69" t="s">
        <v>43</v>
      </c>
      <c r="F146" s="45"/>
      <c r="G146" s="46"/>
      <c r="H146" s="475">
        <v>5</v>
      </c>
      <c r="I146" s="476" t="s">
        <v>282</v>
      </c>
      <c r="J146" s="141">
        <v>9</v>
      </c>
      <c r="K146" s="477">
        <v>0.1</v>
      </c>
      <c r="L146" s="512">
        <f t="shared" si="51"/>
        <v>1.3157894736842106</v>
      </c>
      <c r="M146" s="173">
        <v>100</v>
      </c>
      <c r="N146" s="45">
        <v>82</v>
      </c>
      <c r="O146" s="514">
        <v>42258</v>
      </c>
      <c r="P146" s="165" t="s">
        <v>201</v>
      </c>
      <c r="Q146" s="170">
        <v>250</v>
      </c>
      <c r="R146" s="47">
        <v>190</v>
      </c>
      <c r="S146" s="212">
        <v>11250</v>
      </c>
      <c r="T146" s="318" t="s">
        <v>490</v>
      </c>
      <c r="U146" s="510" t="s">
        <v>507</v>
      </c>
      <c r="V146" s="483">
        <v>250</v>
      </c>
      <c r="W146" s="98">
        <v>190</v>
      </c>
      <c r="X146" s="484">
        <v>5</v>
      </c>
      <c r="Y146" s="508">
        <f t="shared" si="52"/>
        <v>1250</v>
      </c>
      <c r="Z146" s="509">
        <f t="shared" si="53"/>
        <v>11250</v>
      </c>
      <c r="AA146" s="48">
        <v>11</v>
      </c>
      <c r="AB146" s="47">
        <v>0</v>
      </c>
      <c r="AC146" s="47">
        <v>0</v>
      </c>
      <c r="AD146" s="47">
        <v>0</v>
      </c>
      <c r="AE146" s="47">
        <v>0</v>
      </c>
      <c r="AF146" s="491">
        <v>1375</v>
      </c>
      <c r="AG146" s="483">
        <v>375</v>
      </c>
      <c r="AH146" s="98">
        <v>285</v>
      </c>
      <c r="AI146" s="484">
        <v>5</v>
      </c>
      <c r="AJ146" s="508">
        <f t="shared" si="54"/>
        <v>1875</v>
      </c>
      <c r="AK146" s="509">
        <f t="shared" si="55"/>
        <v>16875</v>
      </c>
      <c r="AL146" s="48">
        <f>3.5</f>
        <v>3.5</v>
      </c>
      <c r="AM146" s="53">
        <v>920000</v>
      </c>
      <c r="AN146" s="47">
        <v>0</v>
      </c>
      <c r="AO146" s="47">
        <v>1</v>
      </c>
      <c r="AP146" s="47">
        <v>0</v>
      </c>
      <c r="AQ146" s="493">
        <v>656</v>
      </c>
      <c r="AR146" s="483">
        <v>436</v>
      </c>
      <c r="AS146" s="98">
        <v>332</v>
      </c>
      <c r="AT146" s="484">
        <v>5</v>
      </c>
      <c r="AU146" s="508">
        <f t="shared" si="56"/>
        <v>2180</v>
      </c>
      <c r="AV146" s="509">
        <f t="shared" si="57"/>
        <v>19620</v>
      </c>
      <c r="AW146" s="48">
        <v>7</v>
      </c>
      <c r="AX146" s="53">
        <v>1380000</v>
      </c>
      <c r="AY146" s="47">
        <v>0</v>
      </c>
      <c r="AZ146" s="47">
        <v>2</v>
      </c>
      <c r="BA146" s="47">
        <v>0</v>
      </c>
      <c r="BB146" s="493">
        <v>1526</v>
      </c>
      <c r="BC146" s="483">
        <v>475</v>
      </c>
      <c r="BD146" s="98">
        <v>361</v>
      </c>
      <c r="BE146" s="484">
        <v>5</v>
      </c>
      <c r="BF146" s="508">
        <f t="shared" si="58"/>
        <v>2375</v>
      </c>
      <c r="BG146" s="509">
        <f t="shared" si="59"/>
        <v>21375</v>
      </c>
      <c r="BH146" s="48">
        <v>9</v>
      </c>
      <c r="BI146" s="53">
        <v>1840000</v>
      </c>
      <c r="BJ146" s="47">
        <v>0</v>
      </c>
      <c r="BK146" s="47">
        <v>0</v>
      </c>
      <c r="BL146" s="47">
        <v>1</v>
      </c>
      <c r="BM146" s="493">
        <v>2137</v>
      </c>
      <c r="BN146" s="483">
        <v>500</v>
      </c>
      <c r="BO146" s="98">
        <v>380</v>
      </c>
      <c r="BP146" s="484">
        <v>6</v>
      </c>
      <c r="BQ146" s="506">
        <f t="shared" si="60"/>
        <v>3000</v>
      </c>
      <c r="BR146" s="507">
        <f t="shared" si="61"/>
        <v>27000</v>
      </c>
      <c r="BS146" s="48">
        <v>11</v>
      </c>
      <c r="BT146" s="53">
        <v>2300000</v>
      </c>
      <c r="BU146" s="47">
        <v>0</v>
      </c>
      <c r="BV146" s="47">
        <v>0</v>
      </c>
      <c r="BW146" s="47">
        <v>2</v>
      </c>
      <c r="BX146" s="493">
        <v>3300</v>
      </c>
      <c r="BY146" s="77">
        <v>11</v>
      </c>
      <c r="BZ146" s="504" t="s">
        <v>43</v>
      </c>
      <c r="CA146" s="496">
        <v>9900</v>
      </c>
      <c r="CB146" s="497">
        <v>29800</v>
      </c>
      <c r="CC146" s="498">
        <v>59600</v>
      </c>
      <c r="CD146" s="498">
        <v>119200</v>
      </c>
      <c r="CE146" s="498">
        <v>238400</v>
      </c>
      <c r="CF146" s="498">
        <v>476800</v>
      </c>
      <c r="CG146" s="498">
        <v>953600</v>
      </c>
      <c r="CH146" s="498"/>
      <c r="CI146" s="498"/>
      <c r="CJ146" s="498"/>
      <c r="CK146" s="498"/>
      <c r="CL146" s="499"/>
      <c r="CM146" s="500" t="s">
        <v>43</v>
      </c>
      <c r="CN146" s="501"/>
      <c r="CO146" s="502"/>
      <c r="CP146" s="502"/>
      <c r="CQ146" s="503"/>
      <c r="CR146" s="1"/>
      <c r="CS146" s="1"/>
      <c r="CT146" s="1"/>
      <c r="CU146" s="1"/>
      <c r="CV146" s="1"/>
      <c r="CW146" s="2"/>
      <c r="CX146" s="603"/>
    </row>
    <row r="147" spans="1:102">
      <c r="A147" s="472"/>
      <c r="B147" s="44" t="s">
        <v>233</v>
      </c>
      <c r="C147" s="473" t="s">
        <v>42</v>
      </c>
      <c r="D147" s="132" t="s">
        <v>35</v>
      </c>
      <c r="E147" s="69" t="s">
        <v>43</v>
      </c>
      <c r="F147" s="45"/>
      <c r="G147" s="46"/>
      <c r="H147" s="475">
        <v>6</v>
      </c>
      <c r="I147" s="476" t="s">
        <v>282</v>
      </c>
      <c r="J147" s="141">
        <v>5</v>
      </c>
      <c r="K147" s="477">
        <v>0.1</v>
      </c>
      <c r="L147" s="512">
        <f>IF(ISBLANK(Q147),"",Q147/R147)</f>
        <v>2.4</v>
      </c>
      <c r="M147" s="173">
        <v>100</v>
      </c>
      <c r="N147" s="45">
        <v>87</v>
      </c>
      <c r="O147" s="514">
        <v>42278</v>
      </c>
      <c r="P147" s="165" t="s">
        <v>201</v>
      </c>
      <c r="Q147" s="170">
        <v>600</v>
      </c>
      <c r="R147" s="47">
        <v>250</v>
      </c>
      <c r="S147" s="212">
        <v>30000</v>
      </c>
      <c r="T147" s="318" t="s">
        <v>491</v>
      </c>
      <c r="U147" s="510" t="s">
        <v>694</v>
      </c>
      <c r="V147" s="483">
        <v>600</v>
      </c>
      <c r="W147" s="98">
        <v>250</v>
      </c>
      <c r="X147" s="484">
        <v>10</v>
      </c>
      <c r="Y147" s="508">
        <f>IF(ISBLANK(X147), "",INT(V147*X147))</f>
        <v>6000</v>
      </c>
      <c r="Z147" s="509">
        <f>IF(ISBLANK(X147),"",INT(Y147*$J147))</f>
        <v>30000</v>
      </c>
      <c r="AA147" s="48">
        <f>1*24</f>
        <v>24</v>
      </c>
      <c r="AB147" s="47">
        <v>0</v>
      </c>
      <c r="AC147" s="47">
        <v>0</v>
      </c>
      <c r="AD147" s="47">
        <v>0</v>
      </c>
      <c r="AE147" s="47">
        <v>0</v>
      </c>
      <c r="AF147" s="491">
        <v>10000</v>
      </c>
      <c r="AG147" s="483">
        <v>900</v>
      </c>
      <c r="AH147" s="98">
        <v>375</v>
      </c>
      <c r="AI147" s="484">
        <v>10</v>
      </c>
      <c r="AJ147" s="508">
        <f>IF(ISBLANK(AI147), "",INT(AG147*AI147))</f>
        <v>9000</v>
      </c>
      <c r="AK147" s="509">
        <f>IF(ISBLANK(AI147),"",INT(AJ147*$J147))</f>
        <v>45000</v>
      </c>
      <c r="AL147" s="48">
        <v>7</v>
      </c>
      <c r="AM147" s="53">
        <v>2000000</v>
      </c>
      <c r="AN147" s="47">
        <v>0</v>
      </c>
      <c r="AO147" s="47">
        <v>4</v>
      </c>
      <c r="AP147" s="47">
        <v>0</v>
      </c>
      <c r="AQ147" s="493">
        <v>6300</v>
      </c>
      <c r="AR147" s="483">
        <v>1047</v>
      </c>
      <c r="AS147" s="98">
        <v>437</v>
      </c>
      <c r="AT147" s="484">
        <v>11</v>
      </c>
      <c r="AU147" s="508">
        <f>IF(ISBLANK(AT147), "",INT(AR147*AT147))</f>
        <v>11517</v>
      </c>
      <c r="AV147" s="509">
        <f>IF(ISBLANK(AT147),"",INT(AU147*$J147))</f>
        <v>57585</v>
      </c>
      <c r="AW147" s="48">
        <v>13</v>
      </c>
      <c r="AX147" s="53">
        <v>3000000</v>
      </c>
      <c r="AY147" s="47">
        <v>0</v>
      </c>
      <c r="AZ147" s="47">
        <v>6</v>
      </c>
      <c r="BA147" s="47">
        <v>0</v>
      </c>
      <c r="BB147" s="493">
        <v>10000</v>
      </c>
      <c r="BC147" s="483">
        <v>1140</v>
      </c>
      <c r="BD147" s="98">
        <v>475</v>
      </c>
      <c r="BE147" s="484">
        <v>11</v>
      </c>
      <c r="BF147" s="508">
        <f>IF(ISBLANK(BE147), "",INT(BC147*BE147))</f>
        <v>12540</v>
      </c>
      <c r="BG147" s="509">
        <f>IF(ISBLANK(BE147),"",INT(BF147*$J147))</f>
        <v>62700</v>
      </c>
      <c r="BH147" s="48">
        <v>20</v>
      </c>
      <c r="BI147" s="53">
        <v>4000000</v>
      </c>
      <c r="BJ147" s="47">
        <v>0</v>
      </c>
      <c r="BK147" s="47">
        <v>0</v>
      </c>
      <c r="BL147" s="47">
        <v>4</v>
      </c>
      <c r="BM147" s="493">
        <v>10000</v>
      </c>
      <c r="BN147" s="483">
        <v>1200</v>
      </c>
      <c r="BO147" s="98">
        <v>500</v>
      </c>
      <c r="BP147" s="484">
        <v>12</v>
      </c>
      <c r="BQ147" s="506">
        <f>IF(ISBLANK(BP147), "",INT(BN147*BP147))</f>
        <v>14400</v>
      </c>
      <c r="BR147" s="507">
        <f>IF(ISBLANK(BP147),"",INT(BQ147*$J147))</f>
        <v>72000</v>
      </c>
      <c r="BS147" s="48">
        <f>24</f>
        <v>24</v>
      </c>
      <c r="BT147" s="53">
        <v>5000000</v>
      </c>
      <c r="BU147" s="47">
        <v>0</v>
      </c>
      <c r="BV147" s="47">
        <v>0</v>
      </c>
      <c r="BW147" s="47">
        <v>6</v>
      </c>
      <c r="BX147" s="493">
        <v>10000</v>
      </c>
      <c r="BY147" s="77">
        <v>24</v>
      </c>
      <c r="BZ147" s="504" t="s">
        <v>43</v>
      </c>
      <c r="CA147" s="496">
        <v>10000</v>
      </c>
      <c r="CB147" s="497">
        <v>98000</v>
      </c>
      <c r="CC147" s="498">
        <v>196000</v>
      </c>
      <c r="CD147" s="498">
        <v>392000</v>
      </c>
      <c r="CE147" s="498">
        <v>784000</v>
      </c>
      <c r="CF147" s="498"/>
      <c r="CG147" s="498"/>
      <c r="CH147" s="498"/>
      <c r="CI147" s="498"/>
      <c r="CJ147" s="498"/>
      <c r="CK147" s="498"/>
      <c r="CL147" s="499"/>
      <c r="CM147" s="500" t="s">
        <v>43</v>
      </c>
      <c r="CN147" s="501"/>
      <c r="CO147" s="502"/>
      <c r="CP147" s="502"/>
      <c r="CQ147" s="503"/>
      <c r="CR147" s="1"/>
      <c r="CS147" s="1"/>
      <c r="CT147" s="1"/>
      <c r="CU147" s="1"/>
      <c r="CV147" s="1"/>
      <c r="CW147" s="2"/>
      <c r="CX147" s="603"/>
    </row>
    <row r="148" spans="1:102">
      <c r="A148" s="472"/>
      <c r="B148" s="44" t="s">
        <v>172</v>
      </c>
      <c r="C148" s="473" t="s">
        <v>42</v>
      </c>
      <c r="D148" s="132"/>
      <c r="E148" s="69" t="s">
        <v>43</v>
      </c>
      <c r="F148" s="45"/>
      <c r="G148" s="46"/>
      <c r="H148" s="475">
        <v>5</v>
      </c>
      <c r="I148" s="476" t="s">
        <v>282</v>
      </c>
      <c r="J148" s="141">
        <v>9</v>
      </c>
      <c r="K148" s="477">
        <v>0.1</v>
      </c>
      <c r="L148" s="512">
        <f t="shared" si="51"/>
        <v>1.3333333333333333</v>
      </c>
      <c r="M148" s="173">
        <v>100</v>
      </c>
      <c r="N148" s="45">
        <v>88</v>
      </c>
      <c r="O148" s="514">
        <v>42287</v>
      </c>
      <c r="P148" s="165" t="s">
        <v>201</v>
      </c>
      <c r="Q148" s="170">
        <v>260</v>
      </c>
      <c r="R148" s="47">
        <v>195</v>
      </c>
      <c r="S148" s="212">
        <v>14040</v>
      </c>
      <c r="T148" s="318" t="s">
        <v>492</v>
      </c>
      <c r="U148" s="510" t="s">
        <v>695</v>
      </c>
      <c r="V148" s="483">
        <v>260</v>
      </c>
      <c r="W148" s="98">
        <v>195</v>
      </c>
      <c r="X148" s="484">
        <v>6</v>
      </c>
      <c r="Y148" s="508">
        <f t="shared" si="52"/>
        <v>1560</v>
      </c>
      <c r="Z148" s="509">
        <f t="shared" si="53"/>
        <v>14040</v>
      </c>
      <c r="AA148" s="48">
        <v>2</v>
      </c>
      <c r="AB148" s="47">
        <v>0</v>
      </c>
      <c r="AC148" s="47">
        <v>0</v>
      </c>
      <c r="AD148" s="47">
        <v>0</v>
      </c>
      <c r="AE148" s="47">
        <v>0</v>
      </c>
      <c r="AF148" s="491">
        <v>312</v>
      </c>
      <c r="AG148" s="483">
        <v>390</v>
      </c>
      <c r="AH148" s="98">
        <v>293</v>
      </c>
      <c r="AI148" s="484">
        <v>6</v>
      </c>
      <c r="AJ148" s="508">
        <f t="shared" si="54"/>
        <v>2340</v>
      </c>
      <c r="AK148" s="509">
        <f t="shared" si="55"/>
        <v>21060</v>
      </c>
      <c r="AL148" s="48">
        <v>12</v>
      </c>
      <c r="AM148" s="53">
        <v>960000</v>
      </c>
      <c r="AN148" s="47">
        <v>0</v>
      </c>
      <c r="AO148" s="47">
        <v>1</v>
      </c>
      <c r="AP148" s="47">
        <v>0</v>
      </c>
      <c r="AQ148" s="493">
        <v>2808</v>
      </c>
      <c r="AR148" s="483">
        <v>454</v>
      </c>
      <c r="AS148" s="98">
        <v>341</v>
      </c>
      <c r="AT148" s="484">
        <v>6</v>
      </c>
      <c r="AU148" s="508">
        <f t="shared" si="56"/>
        <v>2724</v>
      </c>
      <c r="AV148" s="509">
        <f t="shared" si="57"/>
        <v>24516</v>
      </c>
      <c r="AW148" s="48">
        <v>24</v>
      </c>
      <c r="AX148" s="53">
        <v>1440000</v>
      </c>
      <c r="AY148" s="47">
        <v>0</v>
      </c>
      <c r="AZ148" s="47">
        <v>2</v>
      </c>
      <c r="BA148" s="47">
        <v>0</v>
      </c>
      <c r="BB148" s="493">
        <v>6538</v>
      </c>
      <c r="BC148" s="483">
        <v>494</v>
      </c>
      <c r="BD148" s="98">
        <v>371</v>
      </c>
      <c r="BE148" s="484">
        <v>6</v>
      </c>
      <c r="BF148" s="508">
        <f t="shared" si="58"/>
        <v>2964</v>
      </c>
      <c r="BG148" s="509">
        <f t="shared" si="59"/>
        <v>26676</v>
      </c>
      <c r="BH148" s="48">
        <f>3*24</f>
        <v>72</v>
      </c>
      <c r="BI148" s="53">
        <v>1920000</v>
      </c>
      <c r="BJ148" s="47">
        <v>0</v>
      </c>
      <c r="BK148" s="47">
        <v>0</v>
      </c>
      <c r="BL148" s="47">
        <v>1</v>
      </c>
      <c r="BM148" s="493">
        <v>21341</v>
      </c>
      <c r="BN148" s="483">
        <v>520</v>
      </c>
      <c r="BO148" s="98">
        <v>390</v>
      </c>
      <c r="BP148" s="484">
        <v>6</v>
      </c>
      <c r="BQ148" s="506">
        <f t="shared" si="60"/>
        <v>3120</v>
      </c>
      <c r="BR148" s="507">
        <f t="shared" si="61"/>
        <v>28080</v>
      </c>
      <c r="BS148" s="48">
        <f>5*24</f>
        <v>120</v>
      </c>
      <c r="BT148" s="53">
        <v>2400000</v>
      </c>
      <c r="BU148" s="47">
        <v>0</v>
      </c>
      <c r="BV148" s="47">
        <v>0</v>
      </c>
      <c r="BW148" s="47">
        <v>2</v>
      </c>
      <c r="BX148" s="493">
        <v>37440</v>
      </c>
      <c r="BY148" s="77">
        <v>63</v>
      </c>
      <c r="BZ148" s="504" t="s">
        <v>43</v>
      </c>
      <c r="CA148" s="496">
        <v>9900</v>
      </c>
      <c r="CB148" s="497">
        <v>29800</v>
      </c>
      <c r="CC148" s="498">
        <v>59600</v>
      </c>
      <c r="CD148" s="498">
        <v>119200</v>
      </c>
      <c r="CE148" s="498">
        <v>238400</v>
      </c>
      <c r="CF148" s="498">
        <v>476800</v>
      </c>
      <c r="CG148" s="498">
        <v>953600</v>
      </c>
      <c r="CH148" s="498"/>
      <c r="CI148" s="498"/>
      <c r="CJ148" s="498"/>
      <c r="CK148" s="498"/>
      <c r="CL148" s="499"/>
      <c r="CM148" s="500" t="s">
        <v>43</v>
      </c>
      <c r="CN148" s="501"/>
      <c r="CO148" s="502"/>
      <c r="CP148" s="502"/>
      <c r="CQ148" s="503"/>
      <c r="CR148" s="1"/>
      <c r="CS148" s="1"/>
      <c r="CT148" s="1"/>
      <c r="CU148" s="1"/>
      <c r="CV148" s="1"/>
      <c r="CW148" s="2"/>
      <c r="CX148" s="603"/>
    </row>
    <row r="149" spans="1:102">
      <c r="A149" s="472"/>
      <c r="B149" s="44" t="s">
        <v>175</v>
      </c>
      <c r="C149" s="473" t="s">
        <v>42</v>
      </c>
      <c r="D149" s="132"/>
      <c r="E149" s="69" t="s">
        <v>43</v>
      </c>
      <c r="F149" s="45"/>
      <c r="G149" s="46"/>
      <c r="H149" s="475">
        <v>5</v>
      </c>
      <c r="I149" s="476" t="s">
        <v>282</v>
      </c>
      <c r="J149" s="141">
        <v>9</v>
      </c>
      <c r="K149" s="477">
        <v>0.1</v>
      </c>
      <c r="L149" s="512">
        <f t="shared" si="51"/>
        <v>1.3333333333333333</v>
      </c>
      <c r="M149" s="173">
        <v>100</v>
      </c>
      <c r="N149" s="45">
        <v>90</v>
      </c>
      <c r="O149" s="514">
        <v>42294</v>
      </c>
      <c r="P149" s="165" t="s">
        <v>201</v>
      </c>
      <c r="Q149" s="170">
        <v>280</v>
      </c>
      <c r="R149" s="47">
        <v>210</v>
      </c>
      <c r="S149" s="212">
        <v>15120</v>
      </c>
      <c r="T149" s="318" t="s">
        <v>493</v>
      </c>
      <c r="U149" s="510" t="s">
        <v>509</v>
      </c>
      <c r="V149" s="483">
        <v>280</v>
      </c>
      <c r="W149" s="98">
        <v>210</v>
      </c>
      <c r="X149" s="484">
        <v>6</v>
      </c>
      <c r="Y149" s="508">
        <f t="shared" si="52"/>
        <v>1680</v>
      </c>
      <c r="Z149" s="509">
        <f t="shared" si="53"/>
        <v>15120</v>
      </c>
      <c r="AA149" s="48">
        <v>3</v>
      </c>
      <c r="AB149" s="47">
        <v>0</v>
      </c>
      <c r="AC149" s="47">
        <v>0</v>
      </c>
      <c r="AD149" s="47">
        <v>0</v>
      </c>
      <c r="AE149" s="47">
        <v>0</v>
      </c>
      <c r="AF149" s="491">
        <v>504</v>
      </c>
      <c r="AG149" s="483">
        <v>420</v>
      </c>
      <c r="AH149" s="98">
        <v>315</v>
      </c>
      <c r="AI149" s="484">
        <v>6</v>
      </c>
      <c r="AJ149" s="508">
        <f t="shared" si="54"/>
        <v>2520</v>
      </c>
      <c r="AK149" s="509">
        <f t="shared" si="55"/>
        <v>22680</v>
      </c>
      <c r="AL149" s="48">
        <v>18</v>
      </c>
      <c r="AM149" s="53">
        <v>1040000</v>
      </c>
      <c r="AN149" s="47">
        <v>0</v>
      </c>
      <c r="AO149" s="47">
        <v>2</v>
      </c>
      <c r="AP149" s="47">
        <v>0</v>
      </c>
      <c r="AQ149" s="493">
        <v>4536</v>
      </c>
      <c r="AR149" s="483">
        <v>489</v>
      </c>
      <c r="AS149" s="98">
        <v>367</v>
      </c>
      <c r="AT149" s="484">
        <v>6</v>
      </c>
      <c r="AU149" s="508">
        <f t="shared" si="56"/>
        <v>2934</v>
      </c>
      <c r="AV149" s="509">
        <f t="shared" si="57"/>
        <v>26406</v>
      </c>
      <c r="AW149" s="48">
        <f>1*24+12</f>
        <v>36</v>
      </c>
      <c r="AX149" s="53">
        <v>1560000</v>
      </c>
      <c r="AY149" s="47">
        <v>0</v>
      </c>
      <c r="AZ149" s="47">
        <v>3</v>
      </c>
      <c r="BA149" s="47">
        <v>0</v>
      </c>
      <c r="BB149" s="493">
        <v>10000</v>
      </c>
      <c r="BC149" s="483">
        <v>532</v>
      </c>
      <c r="BD149" s="98">
        <v>399</v>
      </c>
      <c r="BE149" s="484">
        <v>6</v>
      </c>
      <c r="BF149" s="508">
        <f t="shared" si="58"/>
        <v>3192</v>
      </c>
      <c r="BG149" s="509">
        <f t="shared" si="59"/>
        <v>28728</v>
      </c>
      <c r="BH149" s="48">
        <f>4*24+12</f>
        <v>108</v>
      </c>
      <c r="BI149" s="53">
        <v>2080000</v>
      </c>
      <c r="BJ149" s="47">
        <v>0</v>
      </c>
      <c r="BK149" s="47">
        <v>0</v>
      </c>
      <c r="BL149" s="47">
        <v>2</v>
      </c>
      <c r="BM149" s="493">
        <v>10000</v>
      </c>
      <c r="BN149" s="483">
        <v>560</v>
      </c>
      <c r="BO149" s="98">
        <v>420</v>
      </c>
      <c r="BP149" s="484">
        <v>6</v>
      </c>
      <c r="BQ149" s="506">
        <f t="shared" si="60"/>
        <v>3360</v>
      </c>
      <c r="BR149" s="507">
        <f t="shared" si="61"/>
        <v>30240</v>
      </c>
      <c r="BS149" s="48">
        <f>7*24</f>
        <v>168</v>
      </c>
      <c r="BT149" s="53">
        <v>2600000</v>
      </c>
      <c r="BU149" s="47">
        <v>0</v>
      </c>
      <c r="BV149" s="47">
        <v>0</v>
      </c>
      <c r="BW149" s="47">
        <v>3</v>
      </c>
      <c r="BX149" s="493">
        <v>10000</v>
      </c>
      <c r="BY149" s="77">
        <v>91</v>
      </c>
      <c r="BZ149" s="504" t="s">
        <v>43</v>
      </c>
      <c r="CA149" s="496">
        <v>10000</v>
      </c>
      <c r="CB149" s="497">
        <v>39800</v>
      </c>
      <c r="CC149" s="498">
        <v>79600</v>
      </c>
      <c r="CD149" s="498">
        <v>159200</v>
      </c>
      <c r="CE149" s="498">
        <v>318400</v>
      </c>
      <c r="CF149" s="498">
        <v>636800</v>
      </c>
      <c r="CG149" s="498"/>
      <c r="CH149" s="498"/>
      <c r="CI149" s="498"/>
      <c r="CJ149" s="498"/>
      <c r="CK149" s="498"/>
      <c r="CL149" s="499"/>
      <c r="CM149" s="500" t="s">
        <v>43</v>
      </c>
      <c r="CN149" s="501"/>
      <c r="CO149" s="502"/>
      <c r="CP149" s="502"/>
      <c r="CQ149" s="503"/>
      <c r="CR149" s="1"/>
      <c r="CS149" s="1"/>
      <c r="CT149" s="1"/>
      <c r="CU149" s="1"/>
      <c r="CV149" s="1"/>
      <c r="CW149" s="2"/>
      <c r="CX149" s="603"/>
    </row>
    <row r="150" spans="1:102">
      <c r="A150" s="472"/>
      <c r="B150" s="44" t="s">
        <v>241</v>
      </c>
      <c r="C150" s="473" t="s">
        <v>42</v>
      </c>
      <c r="D150" s="132"/>
      <c r="E150" s="69"/>
      <c r="F150" s="45"/>
      <c r="G150" s="46" t="s">
        <v>242</v>
      </c>
      <c r="H150" s="475">
        <v>4</v>
      </c>
      <c r="I150" s="476" t="s">
        <v>282</v>
      </c>
      <c r="J150" s="141">
        <v>9</v>
      </c>
      <c r="K150" s="478">
        <v>0.1</v>
      </c>
      <c r="L150" s="512">
        <f t="shared" si="51"/>
        <v>1.6666666666666667</v>
      </c>
      <c r="M150" s="173">
        <v>100</v>
      </c>
      <c r="N150" s="45">
        <v>98</v>
      </c>
      <c r="O150" s="514">
        <v>42370</v>
      </c>
      <c r="P150" s="165" t="s">
        <v>206</v>
      </c>
      <c r="Q150" s="170">
        <v>600</v>
      </c>
      <c r="R150" s="47">
        <v>360</v>
      </c>
      <c r="S150" s="212">
        <v>32400</v>
      </c>
      <c r="T150" s="318" t="s">
        <v>494</v>
      </c>
      <c r="U150" s="510" t="s">
        <v>511</v>
      </c>
      <c r="V150" s="483">
        <v>200</v>
      </c>
      <c r="W150" s="98">
        <v>120</v>
      </c>
      <c r="X150" s="484">
        <v>6</v>
      </c>
      <c r="Y150" s="508">
        <f t="shared" si="52"/>
        <v>1200</v>
      </c>
      <c r="Z150" s="509">
        <f t="shared" si="53"/>
        <v>10800</v>
      </c>
      <c r="AA150" s="48">
        <v>2</v>
      </c>
      <c r="AB150" s="47">
        <v>0</v>
      </c>
      <c r="AC150" s="47">
        <v>0</v>
      </c>
      <c r="AD150" s="47">
        <v>0</v>
      </c>
      <c r="AE150" s="47">
        <v>0</v>
      </c>
      <c r="AF150" s="491">
        <v>240</v>
      </c>
      <c r="AG150" s="483">
        <v>250</v>
      </c>
      <c r="AH150" s="98">
        <v>150</v>
      </c>
      <c r="AI150" s="484">
        <v>6</v>
      </c>
      <c r="AJ150" s="508">
        <f t="shared" si="54"/>
        <v>1500</v>
      </c>
      <c r="AK150" s="509">
        <f t="shared" si="55"/>
        <v>13500</v>
      </c>
      <c r="AL150" s="48">
        <v>12</v>
      </c>
      <c r="AM150" s="53">
        <v>800000</v>
      </c>
      <c r="AN150" s="47">
        <v>0</v>
      </c>
      <c r="AO150" s="47">
        <v>2</v>
      </c>
      <c r="AP150" s="47">
        <v>0</v>
      </c>
      <c r="AQ150" s="493">
        <v>1800</v>
      </c>
      <c r="AR150" s="483">
        <v>300</v>
      </c>
      <c r="AS150" s="98">
        <v>180</v>
      </c>
      <c r="AT150" s="484">
        <v>6</v>
      </c>
      <c r="AU150" s="508">
        <f t="shared" si="56"/>
        <v>1800</v>
      </c>
      <c r="AV150" s="509">
        <f t="shared" si="57"/>
        <v>16200</v>
      </c>
      <c r="AW150" s="48">
        <f>1*24</f>
        <v>24</v>
      </c>
      <c r="AX150" s="53">
        <v>1200000</v>
      </c>
      <c r="AY150" s="47">
        <v>0</v>
      </c>
      <c r="AZ150" s="47">
        <v>3</v>
      </c>
      <c r="BA150" s="47">
        <v>0</v>
      </c>
      <c r="BB150" s="493">
        <v>4320</v>
      </c>
      <c r="BC150" s="483">
        <v>400</v>
      </c>
      <c r="BD150" s="98">
        <v>240</v>
      </c>
      <c r="BE150" s="484">
        <v>6</v>
      </c>
      <c r="BF150" s="508">
        <f t="shared" si="58"/>
        <v>2400</v>
      </c>
      <c r="BG150" s="509">
        <f t="shared" si="59"/>
        <v>21600</v>
      </c>
      <c r="BH150" s="48">
        <f>3*24</f>
        <v>72</v>
      </c>
      <c r="BI150" s="53">
        <v>1600000</v>
      </c>
      <c r="BJ150" s="47">
        <v>0</v>
      </c>
      <c r="BK150" s="47">
        <v>0</v>
      </c>
      <c r="BL150" s="47">
        <v>2</v>
      </c>
      <c r="BM150" s="493">
        <v>10000</v>
      </c>
      <c r="BN150" s="483">
        <v>600</v>
      </c>
      <c r="BO150" s="98">
        <v>360</v>
      </c>
      <c r="BP150" s="484">
        <v>6</v>
      </c>
      <c r="BQ150" s="506">
        <f t="shared" si="60"/>
        <v>3600</v>
      </c>
      <c r="BR150" s="507">
        <f t="shared" si="61"/>
        <v>32400</v>
      </c>
      <c r="BS150" s="48">
        <f>5*24</f>
        <v>120</v>
      </c>
      <c r="BT150" s="53">
        <v>2000000</v>
      </c>
      <c r="BU150" s="47">
        <v>0</v>
      </c>
      <c r="BV150" s="47">
        <v>0</v>
      </c>
      <c r="BW150" s="47">
        <v>3</v>
      </c>
      <c r="BX150" s="493">
        <v>10000</v>
      </c>
      <c r="BY150" s="77">
        <v>63</v>
      </c>
      <c r="BZ150" s="504" t="s">
        <v>43</v>
      </c>
      <c r="CA150" s="496">
        <v>6600</v>
      </c>
      <c r="CB150" s="497">
        <v>19800</v>
      </c>
      <c r="CC150" s="498">
        <v>39600</v>
      </c>
      <c r="CD150" s="498">
        <v>79200</v>
      </c>
      <c r="CE150" s="498">
        <v>158400</v>
      </c>
      <c r="CF150" s="498">
        <v>316800</v>
      </c>
      <c r="CG150" s="498">
        <v>633600</v>
      </c>
      <c r="CH150" s="498"/>
      <c r="CI150" s="498"/>
      <c r="CJ150" s="498"/>
      <c r="CK150" s="498"/>
      <c r="CL150" s="499"/>
      <c r="CM150" s="500" t="s">
        <v>43</v>
      </c>
      <c r="CN150" s="501"/>
      <c r="CO150" s="502"/>
      <c r="CP150" s="502"/>
      <c r="CQ150" s="503"/>
      <c r="CR150" s="1"/>
      <c r="CS150" s="1"/>
      <c r="CT150" s="1"/>
      <c r="CU150" s="1"/>
      <c r="CV150" s="1"/>
      <c r="CW150" s="2"/>
      <c r="CX150" s="603"/>
    </row>
    <row r="151" spans="1:102">
      <c r="A151" s="472"/>
      <c r="B151" s="44" t="s">
        <v>139</v>
      </c>
      <c r="C151" s="473" t="s">
        <v>42</v>
      </c>
      <c r="D151" s="132"/>
      <c r="E151" s="69" t="s">
        <v>43</v>
      </c>
      <c r="F151" s="45" t="s">
        <v>9</v>
      </c>
      <c r="G151" s="46"/>
      <c r="H151" s="475">
        <v>6</v>
      </c>
      <c r="I151" s="476" t="s">
        <v>270</v>
      </c>
      <c r="J151" s="141">
        <v>7</v>
      </c>
      <c r="K151" s="477">
        <v>0.1</v>
      </c>
      <c r="L151" s="512">
        <f t="shared" si="51"/>
        <v>1.3157894736842106</v>
      </c>
      <c r="M151" s="173">
        <v>30</v>
      </c>
      <c r="N151" s="45">
        <v>6003</v>
      </c>
      <c r="O151" s="514">
        <v>42245</v>
      </c>
      <c r="P151" s="165" t="s">
        <v>201</v>
      </c>
      <c r="Q151" s="170">
        <v>500</v>
      </c>
      <c r="R151" s="47">
        <v>380</v>
      </c>
      <c r="S151" s="212">
        <v>21000</v>
      </c>
      <c r="T151" s="318" t="s">
        <v>495</v>
      </c>
      <c r="U151" s="510" t="s">
        <v>697</v>
      </c>
      <c r="V151" s="483">
        <v>500</v>
      </c>
      <c r="W151" s="98">
        <v>380</v>
      </c>
      <c r="X151" s="484">
        <v>6</v>
      </c>
      <c r="Y151" s="508">
        <f t="shared" si="52"/>
        <v>3000</v>
      </c>
      <c r="Z151" s="509">
        <f t="shared" si="53"/>
        <v>21000</v>
      </c>
      <c r="AA151" s="48">
        <v>6</v>
      </c>
      <c r="AB151" s="47">
        <v>0</v>
      </c>
      <c r="AC151" s="47">
        <v>0</v>
      </c>
      <c r="AD151" s="47">
        <v>0</v>
      </c>
      <c r="AE151" s="47">
        <v>0</v>
      </c>
      <c r="AF151" s="491">
        <v>10000</v>
      </c>
      <c r="AG151" s="483">
        <v>750</v>
      </c>
      <c r="AH151" s="98">
        <v>570</v>
      </c>
      <c r="AI151" s="484">
        <v>6</v>
      </c>
      <c r="AJ151" s="508">
        <f t="shared" si="54"/>
        <v>4500</v>
      </c>
      <c r="AK151" s="509">
        <f t="shared" si="55"/>
        <v>31500</v>
      </c>
      <c r="AL151" s="48">
        <v>20</v>
      </c>
      <c r="AM151" s="53">
        <v>2100000</v>
      </c>
      <c r="AN151" s="47">
        <v>0</v>
      </c>
      <c r="AO151" s="47">
        <v>1</v>
      </c>
      <c r="AP151" s="47">
        <v>0</v>
      </c>
      <c r="AQ151" s="493">
        <v>10000</v>
      </c>
      <c r="AR151" s="483">
        <v>873</v>
      </c>
      <c r="AS151" s="98">
        <v>663</v>
      </c>
      <c r="AT151" s="484">
        <v>6</v>
      </c>
      <c r="AU151" s="508">
        <f t="shared" si="56"/>
        <v>5238</v>
      </c>
      <c r="AV151" s="509">
        <f t="shared" si="57"/>
        <v>36666</v>
      </c>
      <c r="AW151" s="48">
        <f>2*24+2</f>
        <v>50</v>
      </c>
      <c r="AX151" s="53">
        <v>3100000</v>
      </c>
      <c r="AY151" s="47">
        <v>0</v>
      </c>
      <c r="AZ151" s="47">
        <v>3</v>
      </c>
      <c r="BA151" s="47">
        <v>0</v>
      </c>
      <c r="BB151" s="493">
        <v>10000</v>
      </c>
      <c r="BC151" s="483">
        <v>950</v>
      </c>
      <c r="BD151" s="98">
        <v>722</v>
      </c>
      <c r="BE151" s="484">
        <v>6</v>
      </c>
      <c r="BF151" s="508">
        <f t="shared" si="58"/>
        <v>5700</v>
      </c>
      <c r="BG151" s="509">
        <f t="shared" si="59"/>
        <v>39900</v>
      </c>
      <c r="BH151" s="48">
        <f>4*24+2</f>
        <v>98</v>
      </c>
      <c r="BI151" s="53">
        <v>4100000</v>
      </c>
      <c r="BJ151" s="47">
        <v>0</v>
      </c>
      <c r="BK151" s="47">
        <v>5</v>
      </c>
      <c r="BL151" s="47">
        <v>0</v>
      </c>
      <c r="BM151" s="493">
        <v>10000</v>
      </c>
      <c r="BN151" s="483">
        <v>1000</v>
      </c>
      <c r="BO151" s="98">
        <v>760</v>
      </c>
      <c r="BP151" s="484">
        <v>6</v>
      </c>
      <c r="BQ151" s="506">
        <f t="shared" si="60"/>
        <v>6000</v>
      </c>
      <c r="BR151" s="507">
        <f t="shared" si="61"/>
        <v>42000</v>
      </c>
      <c r="BS151" s="48">
        <f>7*24+2</f>
        <v>170</v>
      </c>
      <c r="BT151" s="53">
        <v>5100000</v>
      </c>
      <c r="BU151" s="47">
        <v>0</v>
      </c>
      <c r="BV151" s="47">
        <v>10</v>
      </c>
      <c r="BW151" s="47">
        <v>0</v>
      </c>
      <c r="BX151" s="493">
        <v>10000</v>
      </c>
      <c r="BY151" s="77">
        <v>93</v>
      </c>
      <c r="BZ151" s="504" t="s">
        <v>43</v>
      </c>
      <c r="CA151" s="496">
        <v>10000</v>
      </c>
      <c r="CB151" s="497">
        <v>130000</v>
      </c>
      <c r="CC151" s="498">
        <v>260000</v>
      </c>
      <c r="CD151" s="498">
        <v>520000</v>
      </c>
      <c r="CE151" s="498"/>
      <c r="CF151" s="498"/>
      <c r="CG151" s="498"/>
      <c r="CH151" s="498"/>
      <c r="CI151" s="498"/>
      <c r="CJ151" s="498"/>
      <c r="CK151" s="498"/>
      <c r="CL151" s="499"/>
      <c r="CM151" s="500" t="s">
        <v>43</v>
      </c>
      <c r="CN151" s="501"/>
      <c r="CO151" s="502"/>
      <c r="CP151" s="502"/>
      <c r="CQ151" s="503"/>
      <c r="CR151" s="1"/>
      <c r="CS151" s="1"/>
      <c r="CT151" s="1"/>
      <c r="CU151" s="1"/>
      <c r="CV151" s="1"/>
      <c r="CW151" s="2"/>
      <c r="CX151" s="603"/>
    </row>
    <row r="152" spans="1:102">
      <c r="A152" s="472"/>
      <c r="B152" s="44" t="s">
        <v>167</v>
      </c>
      <c r="C152" s="473" t="s">
        <v>42</v>
      </c>
      <c r="D152" s="132"/>
      <c r="E152" s="69" t="s">
        <v>43</v>
      </c>
      <c r="F152" s="45"/>
      <c r="G152" s="46"/>
      <c r="H152" s="475">
        <v>6</v>
      </c>
      <c r="I152" s="476" t="s">
        <v>270</v>
      </c>
      <c r="J152" s="141">
        <v>7</v>
      </c>
      <c r="K152" s="477">
        <v>0.1</v>
      </c>
      <c r="L152" s="512">
        <f t="shared" si="51"/>
        <v>1.3144329896907216</v>
      </c>
      <c r="M152" s="173">
        <v>30</v>
      </c>
      <c r="N152" s="45">
        <v>6008</v>
      </c>
      <c r="O152" s="514">
        <v>42268</v>
      </c>
      <c r="P152" s="165" t="s">
        <v>201</v>
      </c>
      <c r="Q152" s="170">
        <v>510</v>
      </c>
      <c r="R152" s="47">
        <v>388</v>
      </c>
      <c r="S152" s="212">
        <v>21420</v>
      </c>
      <c r="T152" s="318" t="s">
        <v>496</v>
      </c>
      <c r="U152" s="510" t="s">
        <v>513</v>
      </c>
      <c r="V152" s="483">
        <v>510</v>
      </c>
      <c r="W152" s="98">
        <v>388</v>
      </c>
      <c r="X152" s="484">
        <v>6</v>
      </c>
      <c r="Y152" s="508">
        <f t="shared" si="52"/>
        <v>3060</v>
      </c>
      <c r="Z152" s="509">
        <f t="shared" si="53"/>
        <v>21420</v>
      </c>
      <c r="AA152" s="48">
        <v>4</v>
      </c>
      <c r="AB152" s="47">
        <v>0</v>
      </c>
      <c r="AC152" s="47">
        <v>0</v>
      </c>
      <c r="AD152" s="47">
        <v>0</v>
      </c>
      <c r="AE152" s="47">
        <v>0</v>
      </c>
      <c r="AF152" s="491">
        <v>10000</v>
      </c>
      <c r="AG152" s="483">
        <v>765</v>
      </c>
      <c r="AH152" s="98">
        <v>582</v>
      </c>
      <c r="AI152" s="484">
        <v>6</v>
      </c>
      <c r="AJ152" s="508">
        <f t="shared" si="54"/>
        <v>4590</v>
      </c>
      <c r="AK152" s="509">
        <f t="shared" si="55"/>
        <v>32130</v>
      </c>
      <c r="AL152" s="48">
        <v>24</v>
      </c>
      <c r="AM152" s="53">
        <v>2200000</v>
      </c>
      <c r="AN152" s="47">
        <v>0</v>
      </c>
      <c r="AO152" s="47">
        <v>2</v>
      </c>
      <c r="AP152" s="47">
        <v>0</v>
      </c>
      <c r="AQ152" s="1028">
        <v>10000</v>
      </c>
      <c r="AR152" s="483">
        <v>889</v>
      </c>
      <c r="AS152" s="98">
        <v>676</v>
      </c>
      <c r="AT152" s="484">
        <v>6</v>
      </c>
      <c r="AU152" s="508">
        <f t="shared" si="56"/>
        <v>5334</v>
      </c>
      <c r="AV152" s="509">
        <f t="shared" si="57"/>
        <v>37338</v>
      </c>
      <c r="AW152" s="48">
        <f>2*24+6</f>
        <v>54</v>
      </c>
      <c r="AX152" s="53">
        <v>3300000</v>
      </c>
      <c r="AY152" s="47">
        <v>0</v>
      </c>
      <c r="AZ152" s="47">
        <v>4</v>
      </c>
      <c r="BA152" s="47">
        <v>0</v>
      </c>
      <c r="BB152" s="525">
        <v>10000</v>
      </c>
      <c r="BC152" s="483">
        <v>969</v>
      </c>
      <c r="BD152" s="98">
        <v>737</v>
      </c>
      <c r="BE152" s="484">
        <v>6</v>
      </c>
      <c r="BF152" s="508">
        <f t="shared" si="58"/>
        <v>5814</v>
      </c>
      <c r="BG152" s="509">
        <f t="shared" si="59"/>
        <v>40698</v>
      </c>
      <c r="BH152" s="48">
        <f>4*24+6</f>
        <v>102</v>
      </c>
      <c r="BI152" s="53">
        <v>4400000</v>
      </c>
      <c r="BJ152" s="47">
        <v>0</v>
      </c>
      <c r="BK152" s="47">
        <v>6</v>
      </c>
      <c r="BL152" s="47">
        <v>0</v>
      </c>
      <c r="BM152" s="493">
        <v>10000</v>
      </c>
      <c r="BN152" s="483">
        <v>1020</v>
      </c>
      <c r="BO152" s="98">
        <v>776</v>
      </c>
      <c r="BP152" s="484">
        <v>6</v>
      </c>
      <c r="BQ152" s="506">
        <f t="shared" si="60"/>
        <v>6120</v>
      </c>
      <c r="BR152" s="507">
        <f t="shared" si="61"/>
        <v>42840</v>
      </c>
      <c r="BS152" s="48">
        <f>8*24</f>
        <v>192</v>
      </c>
      <c r="BT152" s="53">
        <v>5500000</v>
      </c>
      <c r="BU152" s="47">
        <v>0</v>
      </c>
      <c r="BV152" s="47">
        <v>12</v>
      </c>
      <c r="BW152" s="47">
        <v>0</v>
      </c>
      <c r="BX152" s="525">
        <v>10000</v>
      </c>
      <c r="BY152" s="611">
        <v>103</v>
      </c>
      <c r="BZ152" s="504" t="s">
        <v>43</v>
      </c>
      <c r="CA152" s="496">
        <v>10000</v>
      </c>
      <c r="CB152" s="497">
        <v>150000</v>
      </c>
      <c r="CC152" s="498">
        <v>300000</v>
      </c>
      <c r="CD152" s="498">
        <v>600000</v>
      </c>
      <c r="CE152" s="498"/>
      <c r="CF152" s="498"/>
      <c r="CG152" s="498"/>
      <c r="CH152" s="498"/>
      <c r="CI152" s="498"/>
      <c r="CJ152" s="498"/>
      <c r="CK152" s="498"/>
      <c r="CL152" s="499"/>
      <c r="CM152" s="500" t="s">
        <v>43</v>
      </c>
      <c r="CN152" s="501"/>
      <c r="CO152" s="502"/>
      <c r="CP152" s="502"/>
      <c r="CQ152" s="503"/>
      <c r="CR152" s="1"/>
      <c r="CS152" s="1"/>
      <c r="CT152" s="1"/>
      <c r="CU152" s="1"/>
      <c r="CV152" s="1"/>
      <c r="CW152" s="2"/>
      <c r="CX152" s="603"/>
    </row>
    <row r="153" spans="1:102">
      <c r="A153" s="472"/>
      <c r="B153" s="44" t="s">
        <v>177</v>
      </c>
      <c r="C153" s="473" t="s">
        <v>42</v>
      </c>
      <c r="D153" s="132"/>
      <c r="E153" s="69" t="s">
        <v>43</v>
      </c>
      <c r="F153" s="45"/>
      <c r="G153" s="46"/>
      <c r="H153" s="475">
        <v>6</v>
      </c>
      <c r="I153" s="476" t="s">
        <v>270</v>
      </c>
      <c r="J153" s="141">
        <v>7</v>
      </c>
      <c r="K153" s="477">
        <v>0.1</v>
      </c>
      <c r="L153" s="512">
        <f t="shared" si="51"/>
        <v>1.3231552162849873</v>
      </c>
      <c r="M153" s="173">
        <v>30</v>
      </c>
      <c r="N153" s="45">
        <v>6014</v>
      </c>
      <c r="O153" s="514">
        <v>42294</v>
      </c>
      <c r="P153" s="165" t="s">
        <v>201</v>
      </c>
      <c r="Q153" s="170">
        <v>520</v>
      </c>
      <c r="R153" s="47">
        <v>393</v>
      </c>
      <c r="S153" s="212">
        <v>21840</v>
      </c>
      <c r="T153" s="318" t="s">
        <v>497</v>
      </c>
      <c r="U153" s="510" t="s">
        <v>515</v>
      </c>
      <c r="V153" s="483">
        <v>520</v>
      </c>
      <c r="W153" s="98">
        <v>393</v>
      </c>
      <c r="X153" s="484">
        <v>6</v>
      </c>
      <c r="Y153" s="508">
        <f t="shared" si="52"/>
        <v>3120</v>
      </c>
      <c r="Z153" s="509">
        <f t="shared" si="53"/>
        <v>21840</v>
      </c>
      <c r="AA153" s="48">
        <v>2</v>
      </c>
      <c r="AB153" s="47">
        <v>0</v>
      </c>
      <c r="AC153" s="47">
        <v>0</v>
      </c>
      <c r="AD153" s="47">
        <v>0</v>
      </c>
      <c r="AE153" s="47">
        <v>0</v>
      </c>
      <c r="AF153" s="491">
        <v>10000</v>
      </c>
      <c r="AG153" s="483">
        <v>780</v>
      </c>
      <c r="AH153" s="98">
        <v>590</v>
      </c>
      <c r="AI153" s="484">
        <v>6</v>
      </c>
      <c r="AJ153" s="508">
        <f t="shared" si="54"/>
        <v>4680</v>
      </c>
      <c r="AK153" s="509">
        <f t="shared" si="55"/>
        <v>32760</v>
      </c>
      <c r="AL153" s="48">
        <v>24</v>
      </c>
      <c r="AM153" s="53">
        <v>2240000</v>
      </c>
      <c r="AN153" s="47">
        <v>0</v>
      </c>
      <c r="AO153" s="47">
        <v>2</v>
      </c>
      <c r="AP153" s="47">
        <v>0</v>
      </c>
      <c r="AQ153" s="525">
        <v>10000</v>
      </c>
      <c r="AR153" s="483">
        <v>908</v>
      </c>
      <c r="AS153" s="98">
        <v>686</v>
      </c>
      <c r="AT153" s="484">
        <v>6</v>
      </c>
      <c r="AU153" s="508">
        <f t="shared" si="56"/>
        <v>5448</v>
      </c>
      <c r="AV153" s="509">
        <f t="shared" si="57"/>
        <v>38136</v>
      </c>
      <c r="AW153" s="615">
        <v>56</v>
      </c>
      <c r="AX153" s="616">
        <f>2240000*3/2</f>
        <v>3360000</v>
      </c>
      <c r="AY153" s="516">
        <v>0</v>
      </c>
      <c r="AZ153" s="516">
        <v>4</v>
      </c>
      <c r="BA153" s="516">
        <v>0</v>
      </c>
      <c r="BB153" s="525">
        <v>10000</v>
      </c>
      <c r="BC153" s="483">
        <v>988</v>
      </c>
      <c r="BD153" s="98">
        <v>747</v>
      </c>
      <c r="BE153" s="484">
        <v>6</v>
      </c>
      <c r="BF153" s="508">
        <f t="shared" si="58"/>
        <v>5928</v>
      </c>
      <c r="BG153" s="509">
        <f t="shared" si="59"/>
        <v>41496</v>
      </c>
      <c r="BH153" s="48">
        <f>4*24+6</f>
        <v>102</v>
      </c>
      <c r="BI153" s="53">
        <v>4480000</v>
      </c>
      <c r="BJ153" s="47">
        <v>0</v>
      </c>
      <c r="BK153" s="47">
        <v>6</v>
      </c>
      <c r="BL153" s="47">
        <v>0</v>
      </c>
      <c r="BM153" s="525">
        <v>10000</v>
      </c>
      <c r="BN153" s="483">
        <v>1040</v>
      </c>
      <c r="BO153" s="98">
        <v>786</v>
      </c>
      <c r="BP153" s="484">
        <v>6</v>
      </c>
      <c r="BQ153" s="506">
        <f t="shared" si="60"/>
        <v>6240</v>
      </c>
      <c r="BR153" s="507">
        <f t="shared" si="61"/>
        <v>43680</v>
      </c>
      <c r="BS153" s="48">
        <f>8*24</f>
        <v>192</v>
      </c>
      <c r="BT153" s="53">
        <v>5600000</v>
      </c>
      <c r="BU153" s="47">
        <v>0</v>
      </c>
      <c r="BV153" s="47">
        <v>12</v>
      </c>
      <c r="BW153" s="47">
        <v>0</v>
      </c>
      <c r="BX153" s="525">
        <v>10000</v>
      </c>
      <c r="BY153" s="611">
        <v>103</v>
      </c>
      <c r="BZ153" s="504" t="s">
        <v>43</v>
      </c>
      <c r="CA153" s="496">
        <v>10000</v>
      </c>
      <c r="CB153" s="497">
        <v>160000</v>
      </c>
      <c r="CC153" s="498">
        <v>320000</v>
      </c>
      <c r="CD153" s="498">
        <v>640000</v>
      </c>
      <c r="CE153" s="498"/>
      <c r="CF153" s="498"/>
      <c r="CG153" s="498"/>
      <c r="CH153" s="498"/>
      <c r="CI153" s="498"/>
      <c r="CJ153" s="498"/>
      <c r="CK153" s="498"/>
      <c r="CL153" s="499"/>
      <c r="CM153" s="500" t="s">
        <v>43</v>
      </c>
      <c r="CN153" s="501"/>
      <c r="CO153" s="502"/>
      <c r="CP153" s="502"/>
      <c r="CQ153" s="503"/>
      <c r="CR153" s="1"/>
      <c r="CS153" s="1"/>
      <c r="CT153" s="1"/>
      <c r="CU153" s="1"/>
      <c r="CV153" s="1"/>
      <c r="CW153" s="2"/>
      <c r="CX153" s="603"/>
    </row>
    <row r="154" spans="1:102">
      <c r="A154" s="472"/>
      <c r="B154" s="44" t="s">
        <v>195</v>
      </c>
      <c r="C154" s="473" t="s">
        <v>42</v>
      </c>
      <c r="D154" s="132"/>
      <c r="E154" s="69" t="s">
        <v>43</v>
      </c>
      <c r="F154" s="45" t="s">
        <v>225</v>
      </c>
      <c r="G154" s="46"/>
      <c r="H154" s="475">
        <v>6</v>
      </c>
      <c r="I154" s="476" t="s">
        <v>270</v>
      </c>
      <c r="J154" s="141">
        <v>7</v>
      </c>
      <c r="K154" s="477">
        <v>0.1</v>
      </c>
      <c r="L154" s="512">
        <f t="shared" si="51"/>
        <v>1.3417721518987342</v>
      </c>
      <c r="M154" s="173">
        <v>30</v>
      </c>
      <c r="N154" s="45">
        <v>6018</v>
      </c>
      <c r="O154" s="514">
        <v>42329</v>
      </c>
      <c r="P154" s="165" t="s">
        <v>203</v>
      </c>
      <c r="Q154" s="170">
        <v>1060</v>
      </c>
      <c r="R154" s="47">
        <v>790</v>
      </c>
      <c r="S154" s="212">
        <v>51940</v>
      </c>
      <c r="T154" s="318" t="s">
        <v>498</v>
      </c>
      <c r="U154" s="510" t="s">
        <v>517</v>
      </c>
      <c r="V154" s="483">
        <v>354</v>
      </c>
      <c r="W154" s="98">
        <v>264</v>
      </c>
      <c r="X154" s="484">
        <v>6</v>
      </c>
      <c r="Y154" s="508">
        <f t="shared" si="52"/>
        <v>2124</v>
      </c>
      <c r="Z154" s="509">
        <f t="shared" si="53"/>
        <v>14868</v>
      </c>
      <c r="AA154" s="48">
        <v>2.5</v>
      </c>
      <c r="AB154" s="47">
        <v>0</v>
      </c>
      <c r="AC154" s="47">
        <v>0</v>
      </c>
      <c r="AD154" s="47">
        <v>0</v>
      </c>
      <c r="AE154" s="47">
        <v>0</v>
      </c>
      <c r="AF154" s="491">
        <v>10000</v>
      </c>
      <c r="AG154" s="483">
        <v>442</v>
      </c>
      <c r="AH154" s="98">
        <v>330</v>
      </c>
      <c r="AI154" s="484">
        <v>6</v>
      </c>
      <c r="AJ154" s="508">
        <f t="shared" si="54"/>
        <v>2652</v>
      </c>
      <c r="AK154" s="509">
        <f t="shared" si="55"/>
        <v>18564</v>
      </c>
      <c r="AL154" s="48">
        <f>1*24+8</f>
        <v>32</v>
      </c>
      <c r="AM154" s="53">
        <v>2280000</v>
      </c>
      <c r="AN154" s="47">
        <v>0</v>
      </c>
      <c r="AO154" s="47">
        <v>2</v>
      </c>
      <c r="AP154" s="47">
        <v>0</v>
      </c>
      <c r="AQ154" s="493">
        <v>10000</v>
      </c>
      <c r="AR154" s="483">
        <v>530</v>
      </c>
      <c r="AS154" s="98">
        <v>395</v>
      </c>
      <c r="AT154" s="484">
        <v>6</v>
      </c>
      <c r="AU154" s="508">
        <f t="shared" si="56"/>
        <v>3180</v>
      </c>
      <c r="AV154" s="509">
        <f t="shared" si="57"/>
        <v>22260</v>
      </c>
      <c r="AW154" s="48">
        <f>3*24</f>
        <v>72</v>
      </c>
      <c r="AX154" s="53">
        <v>3420000</v>
      </c>
      <c r="AY154" s="47">
        <v>0</v>
      </c>
      <c r="AZ154" s="47">
        <v>4</v>
      </c>
      <c r="BA154" s="47">
        <v>0</v>
      </c>
      <c r="BB154" s="493">
        <v>10000</v>
      </c>
      <c r="BC154" s="483">
        <v>707</v>
      </c>
      <c r="BD154" s="98">
        <v>527</v>
      </c>
      <c r="BE154" s="484">
        <v>6</v>
      </c>
      <c r="BF154" s="508">
        <f t="shared" si="58"/>
        <v>4242</v>
      </c>
      <c r="BG154" s="509">
        <f t="shared" si="59"/>
        <v>29694</v>
      </c>
      <c r="BH154" s="48">
        <f>5*24</f>
        <v>120</v>
      </c>
      <c r="BI154" s="53">
        <v>4560000</v>
      </c>
      <c r="BJ154" s="47">
        <v>0</v>
      </c>
      <c r="BK154" s="47">
        <v>6</v>
      </c>
      <c r="BL154" s="47">
        <v>0</v>
      </c>
      <c r="BM154" s="493">
        <v>10000</v>
      </c>
      <c r="BN154" s="483">
        <v>1060</v>
      </c>
      <c r="BO154" s="98">
        <v>790</v>
      </c>
      <c r="BP154" s="484">
        <v>7</v>
      </c>
      <c r="BQ154" s="506">
        <f t="shared" si="60"/>
        <v>7420</v>
      </c>
      <c r="BR154" s="507">
        <f t="shared" si="61"/>
        <v>51940</v>
      </c>
      <c r="BS154" s="48">
        <f>9*24</f>
        <v>216</v>
      </c>
      <c r="BT154" s="53">
        <v>5700000</v>
      </c>
      <c r="BU154" s="47">
        <v>0</v>
      </c>
      <c r="BV154" s="47">
        <v>12</v>
      </c>
      <c r="BW154" s="47">
        <v>0</v>
      </c>
      <c r="BX154" s="525">
        <v>10000</v>
      </c>
      <c r="BY154" s="77"/>
      <c r="BZ154" s="504"/>
      <c r="CA154" s="496">
        <v>10000</v>
      </c>
      <c r="CB154" s="497">
        <v>260000</v>
      </c>
      <c r="CC154" s="498">
        <v>520000</v>
      </c>
      <c r="CD154" s="498"/>
      <c r="CE154" s="498"/>
      <c r="CF154" s="498"/>
      <c r="CG154" s="498"/>
      <c r="CH154" s="498"/>
      <c r="CI154" s="498"/>
      <c r="CJ154" s="498"/>
      <c r="CK154" s="498"/>
      <c r="CL154" s="499"/>
      <c r="CM154" s="500" t="s">
        <v>43</v>
      </c>
      <c r="CN154" s="501"/>
      <c r="CO154" s="502"/>
      <c r="CP154" s="502"/>
      <c r="CQ154" s="503"/>
      <c r="CR154" s="1"/>
      <c r="CS154" s="1"/>
      <c r="CT154" s="1"/>
      <c r="CU154" s="1"/>
      <c r="CV154" s="1"/>
      <c r="CW154" s="2"/>
      <c r="CX154" s="603"/>
    </row>
    <row r="155" spans="1:102">
      <c r="A155" s="472"/>
      <c r="B155" s="109" t="s">
        <v>220</v>
      </c>
      <c r="C155" s="474" t="s">
        <v>42</v>
      </c>
      <c r="D155" s="133"/>
      <c r="E155" s="115"/>
      <c r="F155" s="110" t="s">
        <v>221</v>
      </c>
      <c r="G155" s="111"/>
      <c r="H155" s="480">
        <v>6</v>
      </c>
      <c r="I155" s="476" t="s">
        <v>270</v>
      </c>
      <c r="J155" s="143">
        <v>7</v>
      </c>
      <c r="K155" s="481">
        <v>0.1</v>
      </c>
      <c r="L155" s="512">
        <f t="shared" si="51"/>
        <v>1.3417721518987342</v>
      </c>
      <c r="M155" s="173">
        <v>30</v>
      </c>
      <c r="N155" s="45">
        <v>6022</v>
      </c>
      <c r="O155" s="514">
        <v>42350</v>
      </c>
      <c r="P155" s="165" t="s">
        <v>206</v>
      </c>
      <c r="Q155" s="171">
        <v>1060</v>
      </c>
      <c r="R155" s="112">
        <v>790</v>
      </c>
      <c r="S155" s="158">
        <v>51940</v>
      </c>
      <c r="T155" s="318" t="s">
        <v>499</v>
      </c>
      <c r="U155" s="510" t="s">
        <v>519</v>
      </c>
      <c r="V155" s="487">
        <v>357</v>
      </c>
      <c r="W155" s="488">
        <v>265</v>
      </c>
      <c r="X155" s="489">
        <v>7</v>
      </c>
      <c r="Y155" s="508">
        <f t="shared" si="52"/>
        <v>2499</v>
      </c>
      <c r="Z155" s="509">
        <f t="shared" si="53"/>
        <v>17493</v>
      </c>
      <c r="AA155" s="114">
        <v>3</v>
      </c>
      <c r="AB155" s="112">
        <v>0</v>
      </c>
      <c r="AC155" s="112">
        <v>0</v>
      </c>
      <c r="AD155" s="112">
        <v>0</v>
      </c>
      <c r="AE155" s="112">
        <v>0</v>
      </c>
      <c r="AF155" s="492">
        <v>10000</v>
      </c>
      <c r="AG155" s="487">
        <v>446</v>
      </c>
      <c r="AH155" s="488">
        <v>332</v>
      </c>
      <c r="AI155" s="489">
        <v>7</v>
      </c>
      <c r="AJ155" s="508">
        <f t="shared" si="54"/>
        <v>3122</v>
      </c>
      <c r="AK155" s="509">
        <f t="shared" si="55"/>
        <v>21854</v>
      </c>
      <c r="AL155" s="114">
        <f>1*24+12</f>
        <v>36</v>
      </c>
      <c r="AM155" s="113">
        <v>2320000</v>
      </c>
      <c r="AN155" s="112">
        <v>0</v>
      </c>
      <c r="AO155" s="112">
        <v>3</v>
      </c>
      <c r="AP155" s="112">
        <v>0</v>
      </c>
      <c r="AQ155" s="495">
        <v>10000</v>
      </c>
      <c r="AR155" s="487">
        <v>535</v>
      </c>
      <c r="AS155" s="488">
        <v>398</v>
      </c>
      <c r="AT155" s="489">
        <v>7</v>
      </c>
      <c r="AU155" s="508">
        <f t="shared" si="56"/>
        <v>3745</v>
      </c>
      <c r="AV155" s="509">
        <f t="shared" si="57"/>
        <v>26215</v>
      </c>
      <c r="AW155" s="114">
        <f>4*24</f>
        <v>96</v>
      </c>
      <c r="AX155" s="113">
        <v>3480000</v>
      </c>
      <c r="AY155" s="112">
        <v>0</v>
      </c>
      <c r="AZ155" s="112">
        <v>5</v>
      </c>
      <c r="BA155" s="112">
        <v>0</v>
      </c>
      <c r="BB155" s="495">
        <v>10000</v>
      </c>
      <c r="BC155" s="487">
        <v>714</v>
      </c>
      <c r="BD155" s="488">
        <v>530</v>
      </c>
      <c r="BE155" s="489">
        <v>7</v>
      </c>
      <c r="BF155" s="508">
        <f t="shared" si="58"/>
        <v>4998</v>
      </c>
      <c r="BG155" s="509">
        <f t="shared" si="59"/>
        <v>34986</v>
      </c>
      <c r="BH155" s="114">
        <f>6*24</f>
        <v>144</v>
      </c>
      <c r="BI155" s="113">
        <v>4640000</v>
      </c>
      <c r="BJ155" s="112">
        <v>0</v>
      </c>
      <c r="BK155" s="112">
        <v>8</v>
      </c>
      <c r="BL155" s="112">
        <v>0</v>
      </c>
      <c r="BM155" s="495">
        <v>10000</v>
      </c>
      <c r="BN155" s="487">
        <v>1070</v>
      </c>
      <c r="BO155" s="488">
        <v>795</v>
      </c>
      <c r="BP155" s="489">
        <v>7</v>
      </c>
      <c r="BQ155" s="506">
        <f t="shared" si="60"/>
        <v>7490</v>
      </c>
      <c r="BR155" s="507">
        <f t="shared" si="61"/>
        <v>52430</v>
      </c>
      <c r="BS155" s="114">
        <f>9*24</f>
        <v>216</v>
      </c>
      <c r="BT155" s="113">
        <v>5800000</v>
      </c>
      <c r="BU155" s="112">
        <v>0</v>
      </c>
      <c r="BV155" s="112">
        <v>10</v>
      </c>
      <c r="BW155" s="112">
        <v>0</v>
      </c>
      <c r="BX155" s="527">
        <v>10000</v>
      </c>
      <c r="BY155" s="619">
        <v>135</v>
      </c>
      <c r="BZ155" s="505" t="s">
        <v>43</v>
      </c>
      <c r="CA155" s="496">
        <v>10000</v>
      </c>
      <c r="CB155" s="497">
        <v>310000</v>
      </c>
      <c r="CC155" s="498">
        <v>620000</v>
      </c>
      <c r="CD155" s="498"/>
      <c r="CE155" s="498"/>
      <c r="CF155" s="498"/>
      <c r="CG155" s="498"/>
      <c r="CH155" s="498"/>
      <c r="CI155" s="498"/>
      <c r="CJ155" s="498"/>
      <c r="CK155" s="498"/>
      <c r="CL155" s="499"/>
      <c r="CM155" s="500" t="s">
        <v>43</v>
      </c>
      <c r="CN155" s="501"/>
      <c r="CO155" s="502"/>
      <c r="CP155" s="502"/>
      <c r="CQ155" s="503"/>
      <c r="CR155" s="1"/>
      <c r="CS155" s="1"/>
      <c r="CT155" s="1"/>
      <c r="CU155" s="1"/>
      <c r="CV155" s="1"/>
      <c r="CW155" s="2"/>
      <c r="CX155" s="603"/>
    </row>
    <row r="156" spans="1:102">
      <c r="A156" s="472"/>
      <c r="B156" s="109" t="s">
        <v>230</v>
      </c>
      <c r="C156" s="474" t="s">
        <v>42</v>
      </c>
      <c r="D156" s="132"/>
      <c r="E156" s="115" t="s">
        <v>231</v>
      </c>
      <c r="F156" s="110" t="s">
        <v>43</v>
      </c>
      <c r="G156" s="111"/>
      <c r="H156" s="480">
        <v>6</v>
      </c>
      <c r="I156" s="482" t="s">
        <v>270</v>
      </c>
      <c r="J156" s="141">
        <v>7</v>
      </c>
      <c r="K156" s="479">
        <v>0.1</v>
      </c>
      <c r="L156" s="512">
        <f t="shared" si="51"/>
        <v>1.35375</v>
      </c>
      <c r="M156" s="173">
        <v>30</v>
      </c>
      <c r="N156" s="45">
        <v>6026</v>
      </c>
      <c r="O156" s="514">
        <v>42365</v>
      </c>
      <c r="P156" s="165" t="s">
        <v>206</v>
      </c>
      <c r="Q156" s="170">
        <v>1083</v>
      </c>
      <c r="R156" s="47">
        <v>800</v>
      </c>
      <c r="S156" s="212">
        <v>53067</v>
      </c>
      <c r="T156" s="318" t="s">
        <v>500</v>
      </c>
      <c r="U156" s="510" t="s">
        <v>525</v>
      </c>
      <c r="V156" s="490">
        <v>361</v>
      </c>
      <c r="W156" s="96">
        <v>267</v>
      </c>
      <c r="X156" s="484">
        <v>7</v>
      </c>
      <c r="Y156" s="508">
        <f t="shared" si="52"/>
        <v>2527</v>
      </c>
      <c r="Z156" s="509">
        <f t="shared" si="53"/>
        <v>17689</v>
      </c>
      <c r="AA156" s="48">
        <v>3</v>
      </c>
      <c r="AB156" s="47">
        <v>0</v>
      </c>
      <c r="AC156" s="47">
        <v>0</v>
      </c>
      <c r="AD156" s="47">
        <v>0</v>
      </c>
      <c r="AE156" s="47">
        <v>0</v>
      </c>
      <c r="AF156" s="491">
        <v>10000</v>
      </c>
      <c r="AG156" s="490">
        <v>452</v>
      </c>
      <c r="AH156" s="96">
        <v>334</v>
      </c>
      <c r="AI156" s="484">
        <v>7</v>
      </c>
      <c r="AJ156" s="508">
        <f t="shared" si="54"/>
        <v>3164</v>
      </c>
      <c r="AK156" s="509">
        <f t="shared" si="55"/>
        <v>22148</v>
      </c>
      <c r="AL156" s="48">
        <f>1*24+12</f>
        <v>36</v>
      </c>
      <c r="AM156" s="53">
        <v>2360000</v>
      </c>
      <c r="AN156" s="47">
        <v>0</v>
      </c>
      <c r="AO156" s="47">
        <v>4</v>
      </c>
      <c r="AP156" s="47">
        <v>0</v>
      </c>
      <c r="AQ156" s="493">
        <v>10000</v>
      </c>
      <c r="AR156" s="490">
        <v>542</v>
      </c>
      <c r="AS156" s="96">
        <v>400</v>
      </c>
      <c r="AT156" s="484">
        <v>7</v>
      </c>
      <c r="AU156" s="508">
        <f t="shared" si="56"/>
        <v>3794</v>
      </c>
      <c r="AV156" s="509">
        <f t="shared" si="57"/>
        <v>26558</v>
      </c>
      <c r="AW156" s="48">
        <f>4*24</f>
        <v>96</v>
      </c>
      <c r="AX156" s="53">
        <v>3540000</v>
      </c>
      <c r="AY156" s="47">
        <v>0</v>
      </c>
      <c r="AZ156" s="47">
        <v>6</v>
      </c>
      <c r="BA156" s="47">
        <v>0</v>
      </c>
      <c r="BB156" s="493">
        <v>10000</v>
      </c>
      <c r="BC156" s="490">
        <v>722</v>
      </c>
      <c r="BD156" s="96">
        <v>534</v>
      </c>
      <c r="BE156" s="484">
        <v>7</v>
      </c>
      <c r="BF156" s="508">
        <f t="shared" si="58"/>
        <v>5054</v>
      </c>
      <c r="BG156" s="509">
        <f t="shared" si="59"/>
        <v>35378</v>
      </c>
      <c r="BH156" s="48">
        <f>6*24</f>
        <v>144</v>
      </c>
      <c r="BI156" s="53">
        <v>4720000</v>
      </c>
      <c r="BJ156" s="47">
        <v>0</v>
      </c>
      <c r="BK156" s="47">
        <v>9</v>
      </c>
      <c r="BL156" s="47">
        <v>0</v>
      </c>
      <c r="BM156" s="525">
        <v>10000</v>
      </c>
      <c r="BN156" s="490">
        <v>1083</v>
      </c>
      <c r="BO156" s="96">
        <v>800</v>
      </c>
      <c r="BP156" s="484">
        <v>7</v>
      </c>
      <c r="BQ156" s="506">
        <f t="shared" si="60"/>
        <v>7581</v>
      </c>
      <c r="BR156" s="507">
        <f t="shared" si="61"/>
        <v>53067</v>
      </c>
      <c r="BS156" s="48">
        <f>9*24</f>
        <v>216</v>
      </c>
      <c r="BT156" s="53">
        <v>5900000</v>
      </c>
      <c r="BU156" s="47">
        <v>0</v>
      </c>
      <c r="BV156" s="47">
        <v>11</v>
      </c>
      <c r="BW156" s="47">
        <v>0</v>
      </c>
      <c r="BX156" s="525">
        <v>10000</v>
      </c>
      <c r="BY156" s="116">
        <v>135</v>
      </c>
      <c r="BZ156" s="505" t="s">
        <v>43</v>
      </c>
      <c r="CA156" s="496">
        <v>10000</v>
      </c>
      <c r="CB156" s="497">
        <v>340000</v>
      </c>
      <c r="CC156" s="498">
        <v>680000</v>
      </c>
      <c r="CD156" s="498"/>
      <c r="CE156" s="498"/>
      <c r="CF156" s="498"/>
      <c r="CG156" s="498"/>
      <c r="CH156" s="498"/>
      <c r="CI156" s="498"/>
      <c r="CJ156" s="498"/>
      <c r="CK156" s="498"/>
      <c r="CL156" s="499"/>
      <c r="CM156" s="500" t="s">
        <v>43</v>
      </c>
      <c r="CN156" s="501"/>
      <c r="CO156" s="502"/>
      <c r="CP156" s="502"/>
      <c r="CQ156" s="503"/>
      <c r="CR156" s="1"/>
      <c r="CS156" s="1"/>
      <c r="CT156" s="1"/>
      <c r="CU156" s="1"/>
      <c r="CV156" s="1"/>
      <c r="CW156" s="2"/>
      <c r="CX156" s="603"/>
    </row>
    <row r="157" spans="1:102">
      <c r="A157" s="472"/>
      <c r="B157" s="109" t="s">
        <v>239</v>
      </c>
      <c r="C157" s="474" t="s">
        <v>42</v>
      </c>
      <c r="D157" s="132"/>
      <c r="E157" s="115" t="s">
        <v>43</v>
      </c>
      <c r="F157" s="110"/>
      <c r="G157" s="111"/>
      <c r="H157" s="480">
        <v>6</v>
      </c>
      <c r="I157" s="482" t="s">
        <v>270</v>
      </c>
      <c r="J157" s="141">
        <v>7</v>
      </c>
      <c r="K157" s="479">
        <v>0.1</v>
      </c>
      <c r="L157" s="512">
        <f t="shared" si="51"/>
        <v>1.3590062111801242</v>
      </c>
      <c r="M157" s="173">
        <v>30</v>
      </c>
      <c r="N157" s="45">
        <v>6029</v>
      </c>
      <c r="O157" s="514">
        <v>42368</v>
      </c>
      <c r="P157" s="165" t="s">
        <v>206</v>
      </c>
      <c r="Q157" s="170">
        <v>1094</v>
      </c>
      <c r="R157" s="47">
        <v>805</v>
      </c>
      <c r="S157" s="212">
        <v>53606</v>
      </c>
      <c r="T157" s="318" t="s">
        <v>501</v>
      </c>
      <c r="U157" s="510" t="s">
        <v>523</v>
      </c>
      <c r="V157" s="490">
        <v>365</v>
      </c>
      <c r="W157" s="96">
        <v>269</v>
      </c>
      <c r="X157" s="484">
        <v>7</v>
      </c>
      <c r="Y157" s="508">
        <f t="shared" si="52"/>
        <v>2555</v>
      </c>
      <c r="Z157" s="509">
        <f t="shared" si="53"/>
        <v>17885</v>
      </c>
      <c r="AA157" s="48">
        <v>3</v>
      </c>
      <c r="AB157" s="47">
        <v>0</v>
      </c>
      <c r="AC157" s="47">
        <v>0</v>
      </c>
      <c r="AD157" s="47">
        <v>0</v>
      </c>
      <c r="AE157" s="47">
        <v>0</v>
      </c>
      <c r="AF157" s="526">
        <v>10000</v>
      </c>
      <c r="AG157" s="523">
        <v>456</v>
      </c>
      <c r="AH157" s="524">
        <v>336</v>
      </c>
      <c r="AI157" s="484">
        <v>7</v>
      </c>
      <c r="AJ157" s="521">
        <f t="shared" si="54"/>
        <v>3192</v>
      </c>
      <c r="AK157" s="522">
        <f t="shared" si="55"/>
        <v>22344</v>
      </c>
      <c r="AL157" s="48"/>
      <c r="AM157" s="53"/>
      <c r="AN157" s="47"/>
      <c r="AO157" s="47"/>
      <c r="AP157" s="47"/>
      <c r="AQ157" s="525">
        <v>10000</v>
      </c>
      <c r="AR157" s="523">
        <v>547</v>
      </c>
      <c r="AS157" s="524">
        <v>403</v>
      </c>
      <c r="AT157" s="484">
        <v>7</v>
      </c>
      <c r="AU157" s="521">
        <f t="shared" si="56"/>
        <v>3829</v>
      </c>
      <c r="AV157" s="522">
        <f t="shared" si="57"/>
        <v>26803</v>
      </c>
      <c r="AW157" s="48"/>
      <c r="AX157" s="53"/>
      <c r="AY157" s="47"/>
      <c r="AZ157" s="47"/>
      <c r="BA157" s="47"/>
      <c r="BB157" s="525">
        <v>10000</v>
      </c>
      <c r="BC157" s="523">
        <v>730</v>
      </c>
      <c r="BD157" s="524">
        <v>537</v>
      </c>
      <c r="BE157" s="484">
        <v>7</v>
      </c>
      <c r="BF157" s="521">
        <f t="shared" si="58"/>
        <v>5110</v>
      </c>
      <c r="BG157" s="522">
        <f t="shared" si="59"/>
        <v>35770</v>
      </c>
      <c r="BH157" s="48"/>
      <c r="BI157" s="53"/>
      <c r="BJ157" s="47"/>
      <c r="BK157" s="47"/>
      <c r="BL157" s="47"/>
      <c r="BM157" s="525">
        <v>10000</v>
      </c>
      <c r="BN157" s="490">
        <v>1094</v>
      </c>
      <c r="BO157" s="96">
        <v>805</v>
      </c>
      <c r="BP157" s="484">
        <v>7</v>
      </c>
      <c r="BQ157" s="506">
        <f t="shared" si="60"/>
        <v>7658</v>
      </c>
      <c r="BR157" s="507">
        <f t="shared" si="61"/>
        <v>53606</v>
      </c>
      <c r="BS157" s="48"/>
      <c r="BT157" s="53"/>
      <c r="BU157" s="47"/>
      <c r="BV157" s="47"/>
      <c r="BW157" s="47"/>
      <c r="BX157" s="525">
        <v>10000</v>
      </c>
      <c r="BY157" s="116"/>
      <c r="BZ157" s="505"/>
      <c r="CA157" s="496">
        <v>10000</v>
      </c>
      <c r="CB157" s="497">
        <v>390000</v>
      </c>
      <c r="CC157" s="498">
        <v>780000</v>
      </c>
      <c r="CD157" s="498"/>
      <c r="CE157" s="498"/>
      <c r="CF157" s="498"/>
      <c r="CG157" s="498"/>
      <c r="CH157" s="498"/>
      <c r="CI157" s="498"/>
      <c r="CJ157" s="498"/>
      <c r="CK157" s="498"/>
      <c r="CL157" s="499"/>
      <c r="CM157" s="500" t="s">
        <v>43</v>
      </c>
      <c r="CN157" s="501"/>
      <c r="CO157" s="502"/>
      <c r="CP157" s="502"/>
      <c r="CQ157" s="503"/>
      <c r="CR157" s="1"/>
      <c r="CS157" s="1"/>
      <c r="CT157" s="1"/>
      <c r="CU157" s="1"/>
      <c r="CV157" s="1"/>
      <c r="CW157" s="2"/>
      <c r="CX157" s="603"/>
    </row>
    <row r="158" spans="1:102">
      <c r="A158" s="472"/>
      <c r="B158" s="109" t="s">
        <v>245</v>
      </c>
      <c r="C158" s="474" t="s">
        <v>42</v>
      </c>
      <c r="D158" s="132"/>
      <c r="E158" s="115" t="s">
        <v>43</v>
      </c>
      <c r="F158" s="110" t="s">
        <v>242</v>
      </c>
      <c r="G158" s="111"/>
      <c r="H158" s="480">
        <v>6</v>
      </c>
      <c r="I158" s="482" t="s">
        <v>270</v>
      </c>
      <c r="J158" s="141">
        <v>7</v>
      </c>
      <c r="K158" s="479">
        <v>0.1</v>
      </c>
      <c r="L158" s="512">
        <f t="shared" si="51"/>
        <v>1.365432098765432</v>
      </c>
      <c r="M158" s="173">
        <v>30</v>
      </c>
      <c r="N158" s="45">
        <v>6035</v>
      </c>
      <c r="O158" s="514">
        <v>42374</v>
      </c>
      <c r="P158" s="165" t="s">
        <v>206</v>
      </c>
      <c r="Q158" s="170">
        <v>1106</v>
      </c>
      <c r="R158" s="47">
        <v>810</v>
      </c>
      <c r="S158" s="212">
        <v>54194</v>
      </c>
      <c r="T158" s="318" t="s">
        <v>502</v>
      </c>
      <c r="U158" s="510" t="s">
        <v>521</v>
      </c>
      <c r="V158" s="490">
        <v>369</v>
      </c>
      <c r="W158" s="96">
        <v>270</v>
      </c>
      <c r="X158" s="484">
        <v>7</v>
      </c>
      <c r="Y158" s="508">
        <f t="shared" si="52"/>
        <v>2583</v>
      </c>
      <c r="Z158" s="509">
        <f t="shared" si="53"/>
        <v>18081</v>
      </c>
      <c r="AA158" s="48">
        <v>3</v>
      </c>
      <c r="AB158" s="47">
        <v>0</v>
      </c>
      <c r="AC158" s="47">
        <v>0</v>
      </c>
      <c r="AD158" s="47">
        <v>0</v>
      </c>
      <c r="AE158" s="47">
        <v>0</v>
      </c>
      <c r="AF158" s="491">
        <v>10000</v>
      </c>
      <c r="AG158" s="490">
        <v>461</v>
      </c>
      <c r="AH158" s="96">
        <v>338</v>
      </c>
      <c r="AI158" s="484">
        <v>7</v>
      </c>
      <c r="AJ158" s="508">
        <f t="shared" si="54"/>
        <v>3227</v>
      </c>
      <c r="AK158" s="509">
        <f t="shared" si="55"/>
        <v>22589</v>
      </c>
      <c r="AL158" s="48">
        <f>1*24+12</f>
        <v>36</v>
      </c>
      <c r="AM158" s="53">
        <v>2440000</v>
      </c>
      <c r="AN158" s="47">
        <v>0</v>
      </c>
      <c r="AO158" s="47">
        <v>5</v>
      </c>
      <c r="AP158" s="47">
        <v>0</v>
      </c>
      <c r="AQ158" s="493">
        <v>10000</v>
      </c>
      <c r="AR158" s="490">
        <v>553</v>
      </c>
      <c r="AS158" s="96">
        <v>405</v>
      </c>
      <c r="AT158" s="484">
        <v>7</v>
      </c>
      <c r="AU158" s="508">
        <f t="shared" si="56"/>
        <v>3871</v>
      </c>
      <c r="AV158" s="509">
        <f t="shared" si="57"/>
        <v>27097</v>
      </c>
      <c r="AW158" s="48">
        <f>4*24</f>
        <v>96</v>
      </c>
      <c r="AX158" s="53">
        <v>3660000</v>
      </c>
      <c r="AY158" s="47">
        <v>0</v>
      </c>
      <c r="AZ158" s="47">
        <v>7</v>
      </c>
      <c r="BA158" s="47">
        <v>0</v>
      </c>
      <c r="BB158" s="493">
        <v>10000</v>
      </c>
      <c r="BC158" s="490">
        <v>738</v>
      </c>
      <c r="BD158" s="96">
        <v>540</v>
      </c>
      <c r="BE158" s="484">
        <v>7</v>
      </c>
      <c r="BF158" s="508">
        <f t="shared" si="58"/>
        <v>5166</v>
      </c>
      <c r="BG158" s="509">
        <f t="shared" si="59"/>
        <v>36162</v>
      </c>
      <c r="BH158" s="48">
        <f>6*24</f>
        <v>144</v>
      </c>
      <c r="BI158" s="53">
        <v>4880000</v>
      </c>
      <c r="BJ158" s="47">
        <v>0</v>
      </c>
      <c r="BK158" s="47">
        <v>10</v>
      </c>
      <c r="BL158" s="47">
        <v>0</v>
      </c>
      <c r="BM158" s="1028">
        <v>10000</v>
      </c>
      <c r="BN158" s="490">
        <v>1106</v>
      </c>
      <c r="BO158" s="96">
        <v>810</v>
      </c>
      <c r="BP158" s="484">
        <v>7</v>
      </c>
      <c r="BQ158" s="506">
        <f t="shared" si="60"/>
        <v>7742</v>
      </c>
      <c r="BR158" s="507">
        <f t="shared" si="61"/>
        <v>54194</v>
      </c>
      <c r="BS158" s="48">
        <f>9*24</f>
        <v>216</v>
      </c>
      <c r="BT158" s="53">
        <v>6100000</v>
      </c>
      <c r="BU158" s="47">
        <v>0</v>
      </c>
      <c r="BV158" s="47">
        <v>12</v>
      </c>
      <c r="BW158" s="47">
        <v>0</v>
      </c>
      <c r="BX158" s="525">
        <v>10000</v>
      </c>
      <c r="BY158" s="116"/>
      <c r="BZ158" s="505"/>
      <c r="CA158" s="496">
        <v>10000</v>
      </c>
      <c r="CB158" s="497">
        <v>440000</v>
      </c>
      <c r="CC158" s="498">
        <v>880000</v>
      </c>
      <c r="CD158" s="498"/>
      <c r="CE158" s="498"/>
      <c r="CF158" s="498"/>
      <c r="CG158" s="498"/>
      <c r="CH158" s="498"/>
      <c r="CI158" s="498"/>
      <c r="CJ158" s="498"/>
      <c r="CK158" s="498"/>
      <c r="CL158" s="499"/>
      <c r="CM158" s="500" t="s">
        <v>43</v>
      </c>
      <c r="CN158" s="501"/>
      <c r="CO158" s="502"/>
      <c r="CP158" s="502"/>
      <c r="CQ158" s="503"/>
      <c r="CR158" s="1"/>
      <c r="CS158" s="1"/>
      <c r="CT158" s="1"/>
      <c r="CU158" s="1"/>
      <c r="CV158" s="1"/>
      <c r="CW158" s="2"/>
      <c r="CX158" s="603"/>
    </row>
    <row r="159" spans="1:102" s="1132" customFormat="1">
      <c r="A159" s="472"/>
      <c r="B159" s="109" t="s">
        <v>1035</v>
      </c>
      <c r="C159" s="474" t="s">
        <v>42</v>
      </c>
      <c r="D159" s="132" t="s">
        <v>1036</v>
      </c>
      <c r="E159" s="115" t="s">
        <v>1037</v>
      </c>
      <c r="F159" s="110"/>
      <c r="G159" s="111"/>
      <c r="H159" s="480">
        <v>6</v>
      </c>
      <c r="I159" s="482" t="s">
        <v>270</v>
      </c>
      <c r="J159" s="141">
        <v>7</v>
      </c>
      <c r="K159" s="479">
        <v>0.1</v>
      </c>
      <c r="L159" s="512">
        <f t="shared" si="51"/>
        <v>2</v>
      </c>
      <c r="M159" s="173">
        <v>30</v>
      </c>
      <c r="N159" s="45">
        <v>6043</v>
      </c>
      <c r="O159" s="514">
        <v>42420</v>
      </c>
      <c r="P159" s="165" t="s">
        <v>206</v>
      </c>
      <c r="Q159" s="170">
        <v>2000</v>
      </c>
      <c r="R159" s="47">
        <v>1000</v>
      </c>
      <c r="S159" s="212">
        <v>168000</v>
      </c>
      <c r="T159" s="318" t="s">
        <v>1040</v>
      </c>
      <c r="U159" s="510" t="s">
        <v>1042</v>
      </c>
      <c r="V159" s="1022">
        <v>667</v>
      </c>
      <c r="W159" s="1023">
        <v>334</v>
      </c>
      <c r="X159" s="1024">
        <v>12</v>
      </c>
      <c r="Y159" s="506">
        <f t="shared" si="52"/>
        <v>8004</v>
      </c>
      <c r="Z159" s="507">
        <f t="shared" si="53"/>
        <v>56028</v>
      </c>
      <c r="AA159" s="48">
        <v>3</v>
      </c>
      <c r="AB159" s="47">
        <v>0</v>
      </c>
      <c r="AC159" s="47">
        <v>0</v>
      </c>
      <c r="AD159" s="47">
        <v>0</v>
      </c>
      <c r="AE159" s="47">
        <v>0</v>
      </c>
      <c r="AF159" s="526">
        <v>10000</v>
      </c>
      <c r="AG159" s="523">
        <v>834</v>
      </c>
      <c r="AH159" s="524">
        <v>417</v>
      </c>
      <c r="AI159" s="1024">
        <v>12</v>
      </c>
      <c r="AJ159" s="521">
        <f t="shared" si="54"/>
        <v>10008</v>
      </c>
      <c r="AK159" s="522">
        <f t="shared" si="55"/>
        <v>70056</v>
      </c>
      <c r="AL159" s="48"/>
      <c r="AM159" s="53"/>
      <c r="AN159" s="47"/>
      <c r="AO159" s="47"/>
      <c r="AP159" s="47"/>
      <c r="AQ159" s="525">
        <v>10000</v>
      </c>
      <c r="AR159" s="523">
        <v>1000</v>
      </c>
      <c r="AS159" s="524">
        <v>500</v>
      </c>
      <c r="AT159" s="1024">
        <v>12</v>
      </c>
      <c r="AU159" s="521">
        <f t="shared" si="56"/>
        <v>12000</v>
      </c>
      <c r="AV159" s="522">
        <f t="shared" si="57"/>
        <v>84000</v>
      </c>
      <c r="AW159" s="48"/>
      <c r="AX159" s="53"/>
      <c r="AY159" s="47"/>
      <c r="AZ159" s="47"/>
      <c r="BA159" s="47"/>
      <c r="BB159" s="525">
        <v>10000</v>
      </c>
      <c r="BC159" s="523">
        <v>1334</v>
      </c>
      <c r="BD159" s="524">
        <v>667</v>
      </c>
      <c r="BE159" s="1024">
        <v>12</v>
      </c>
      <c r="BF159" s="521">
        <f t="shared" si="58"/>
        <v>16008</v>
      </c>
      <c r="BG159" s="522">
        <f t="shared" si="59"/>
        <v>112056</v>
      </c>
      <c r="BH159" s="48"/>
      <c r="BI159" s="53"/>
      <c r="BJ159" s="47"/>
      <c r="BK159" s="47"/>
      <c r="BL159" s="47"/>
      <c r="BM159" s="525">
        <v>10000</v>
      </c>
      <c r="BN159" s="1022">
        <v>2000</v>
      </c>
      <c r="BO159" s="1023">
        <v>1000</v>
      </c>
      <c r="BP159" s="1024">
        <v>12</v>
      </c>
      <c r="BQ159" s="506">
        <f t="shared" si="60"/>
        <v>24000</v>
      </c>
      <c r="BR159" s="507">
        <f t="shared" si="61"/>
        <v>168000</v>
      </c>
      <c r="BS159" s="48"/>
      <c r="BT159" s="53"/>
      <c r="BU159" s="47"/>
      <c r="BV159" s="47"/>
      <c r="BW159" s="47"/>
      <c r="BX159" s="525">
        <v>10000</v>
      </c>
      <c r="BY159" s="116"/>
      <c r="BZ159" s="505"/>
      <c r="CA159" s="496">
        <v>10000</v>
      </c>
      <c r="CB159" s="497">
        <v>600000</v>
      </c>
      <c r="CC159" s="498">
        <v>1200000</v>
      </c>
      <c r="CD159" s="498"/>
      <c r="CE159" s="498"/>
      <c r="CF159" s="498"/>
      <c r="CG159" s="498"/>
      <c r="CH159" s="498"/>
      <c r="CI159" s="498"/>
      <c r="CJ159" s="498"/>
      <c r="CK159" s="498"/>
      <c r="CL159" s="499"/>
      <c r="CM159" s="500" t="s">
        <v>1036</v>
      </c>
      <c r="CN159" s="501"/>
      <c r="CO159" s="502"/>
      <c r="CP159" s="502"/>
      <c r="CQ159" s="503"/>
      <c r="CR159" s="1"/>
      <c r="CS159" s="1"/>
      <c r="CT159" s="1"/>
      <c r="CU159" s="1"/>
      <c r="CV159" s="1"/>
      <c r="CW159" s="2"/>
      <c r="CX159" s="603"/>
    </row>
    <row r="160" spans="1:102">
      <c r="A160" s="472"/>
      <c r="B160" s="109" t="s">
        <v>254</v>
      </c>
      <c r="C160" s="474" t="s">
        <v>42</v>
      </c>
      <c r="D160" s="132"/>
      <c r="E160" s="115" t="s">
        <v>43</v>
      </c>
      <c r="F160" s="110" t="s">
        <v>242</v>
      </c>
      <c r="G160" s="111"/>
      <c r="H160" s="480">
        <v>7</v>
      </c>
      <c r="I160" s="482" t="s">
        <v>271</v>
      </c>
      <c r="J160" s="141">
        <v>12</v>
      </c>
      <c r="K160" s="478">
        <v>0.1</v>
      </c>
      <c r="L160" s="512">
        <f t="shared" si="51"/>
        <v>2.5</v>
      </c>
      <c r="M160" s="161">
        <v>100</v>
      </c>
      <c r="N160" s="45">
        <v>532</v>
      </c>
      <c r="O160" s="514">
        <v>42382</v>
      </c>
      <c r="P160" s="165" t="s">
        <v>206</v>
      </c>
      <c r="Q160" s="170">
        <v>1000</v>
      </c>
      <c r="R160" s="47">
        <v>400</v>
      </c>
      <c r="S160" s="212">
        <v>132000</v>
      </c>
      <c r="T160" s="318" t="s">
        <v>503</v>
      </c>
      <c r="U160" s="510" t="s">
        <v>527</v>
      </c>
      <c r="V160" s="490">
        <v>334</v>
      </c>
      <c r="W160" s="96">
        <v>134</v>
      </c>
      <c r="X160" s="484">
        <v>11</v>
      </c>
      <c r="Y160" s="508">
        <f t="shared" si="52"/>
        <v>3674</v>
      </c>
      <c r="Z160" s="509">
        <f t="shared" si="53"/>
        <v>44088</v>
      </c>
      <c r="AA160" s="48">
        <v>1.5</v>
      </c>
      <c r="AB160" s="47">
        <v>0</v>
      </c>
      <c r="AC160" s="47">
        <v>0</v>
      </c>
      <c r="AD160" s="47">
        <v>0</v>
      </c>
      <c r="AE160" s="47">
        <v>0</v>
      </c>
      <c r="AF160" s="491">
        <v>552</v>
      </c>
      <c r="AG160" s="490">
        <v>417</v>
      </c>
      <c r="AH160" s="96">
        <v>167</v>
      </c>
      <c r="AI160" s="484">
        <v>11</v>
      </c>
      <c r="AJ160" s="508">
        <f t="shared" si="54"/>
        <v>4587</v>
      </c>
      <c r="AK160" s="509">
        <f t="shared" si="55"/>
        <v>55044</v>
      </c>
      <c r="AL160" s="48">
        <v>9</v>
      </c>
      <c r="AM160" s="53">
        <v>3200000</v>
      </c>
      <c r="AN160" s="47">
        <v>0</v>
      </c>
      <c r="AO160" s="47">
        <v>5</v>
      </c>
      <c r="AP160" s="47">
        <v>0</v>
      </c>
      <c r="AQ160" s="493">
        <v>4129</v>
      </c>
      <c r="AR160" s="490">
        <v>500</v>
      </c>
      <c r="AS160" s="96">
        <v>200</v>
      </c>
      <c r="AT160" s="484">
        <v>11</v>
      </c>
      <c r="AU160" s="508">
        <f t="shared" si="56"/>
        <v>5500</v>
      </c>
      <c r="AV160" s="509">
        <f t="shared" si="57"/>
        <v>66000</v>
      </c>
      <c r="AW160" s="48">
        <v>18</v>
      </c>
      <c r="AX160" s="53">
        <v>4800000</v>
      </c>
      <c r="AY160" s="47">
        <v>0</v>
      </c>
      <c r="AZ160" s="47">
        <v>10</v>
      </c>
      <c r="BA160" s="47">
        <v>0</v>
      </c>
      <c r="BB160" s="493">
        <v>9900</v>
      </c>
      <c r="BC160" s="490">
        <v>667</v>
      </c>
      <c r="BD160" s="96">
        <v>267</v>
      </c>
      <c r="BE160" s="484">
        <v>11</v>
      </c>
      <c r="BF160" s="508">
        <f t="shared" si="58"/>
        <v>7337</v>
      </c>
      <c r="BG160" s="509">
        <f t="shared" si="59"/>
        <v>88044</v>
      </c>
      <c r="BH160" s="48">
        <f>1*24+12</f>
        <v>36</v>
      </c>
      <c r="BI160" s="53">
        <v>6400000</v>
      </c>
      <c r="BJ160" s="47">
        <v>0</v>
      </c>
      <c r="BK160" s="47">
        <v>0</v>
      </c>
      <c r="BL160" s="47">
        <v>5</v>
      </c>
      <c r="BM160" s="493">
        <v>10000</v>
      </c>
      <c r="BN160" s="490">
        <v>1000</v>
      </c>
      <c r="BO160" s="96">
        <v>400</v>
      </c>
      <c r="BP160" s="484">
        <v>11</v>
      </c>
      <c r="BQ160" s="506">
        <f t="shared" si="60"/>
        <v>11000</v>
      </c>
      <c r="BR160" s="507">
        <f t="shared" si="61"/>
        <v>132000</v>
      </c>
      <c r="BS160" s="48">
        <f>3*24</f>
        <v>72</v>
      </c>
      <c r="BT160" s="53">
        <v>8000000</v>
      </c>
      <c r="BU160" s="47">
        <v>0</v>
      </c>
      <c r="BV160" s="47">
        <v>0</v>
      </c>
      <c r="BW160" s="47">
        <v>10</v>
      </c>
      <c r="BX160" s="493">
        <v>10000</v>
      </c>
      <c r="BY160" s="116">
        <v>38</v>
      </c>
      <c r="BZ160" s="505" t="s">
        <v>43</v>
      </c>
      <c r="CA160" s="496"/>
      <c r="CB160" s="497"/>
      <c r="CC160" s="498"/>
      <c r="CD160" s="498"/>
      <c r="CE160" s="498"/>
      <c r="CF160" s="498"/>
      <c r="CG160" s="498"/>
      <c r="CH160" s="498"/>
      <c r="CI160" s="498"/>
      <c r="CJ160" s="498"/>
      <c r="CK160" s="498"/>
      <c r="CL160" s="499"/>
      <c r="CM160" s="500" t="s">
        <v>528</v>
      </c>
      <c r="CN160" s="501"/>
      <c r="CO160" s="502"/>
      <c r="CP160" s="502"/>
      <c r="CQ160" s="503"/>
      <c r="CR160" s="1"/>
      <c r="CS160" s="1"/>
      <c r="CT160" s="1"/>
      <c r="CU160" s="1"/>
      <c r="CV160" s="1"/>
      <c r="CW160" s="2"/>
      <c r="CX160" s="603"/>
    </row>
    <row r="161" spans="1:102" s="444" customFormat="1">
      <c r="A161" s="472"/>
      <c r="B161" s="109" t="s">
        <v>716</v>
      </c>
      <c r="C161" s="474" t="s">
        <v>42</v>
      </c>
      <c r="D161" s="132" t="s">
        <v>719</v>
      </c>
      <c r="E161" s="115" t="s">
        <v>712</v>
      </c>
      <c r="F161" s="110"/>
      <c r="G161" s="111"/>
      <c r="H161" s="480">
        <v>7</v>
      </c>
      <c r="I161" s="482" t="s">
        <v>271</v>
      </c>
      <c r="J161" s="141">
        <v>12</v>
      </c>
      <c r="K161" s="478">
        <v>0.1</v>
      </c>
      <c r="L161" s="512">
        <f t="shared" si="51"/>
        <v>3.3333333333333335</v>
      </c>
      <c r="M161" s="161">
        <v>100</v>
      </c>
      <c r="N161" s="45">
        <v>533</v>
      </c>
      <c r="O161" s="514">
        <v>42411</v>
      </c>
      <c r="P161" s="165" t="s">
        <v>206</v>
      </c>
      <c r="Q161" s="170">
        <v>2000</v>
      </c>
      <c r="R161" s="47">
        <v>600</v>
      </c>
      <c r="S161" s="212">
        <v>288000</v>
      </c>
      <c r="T161" s="318" t="s">
        <v>718</v>
      </c>
      <c r="U161" s="510" t="s">
        <v>711</v>
      </c>
      <c r="V161" s="523">
        <v>667</v>
      </c>
      <c r="W161" s="524">
        <v>200</v>
      </c>
      <c r="X161" s="520">
        <v>12</v>
      </c>
      <c r="Y161" s="521">
        <f t="shared" si="52"/>
        <v>8004</v>
      </c>
      <c r="Z161" s="522">
        <f t="shared" si="53"/>
        <v>96048</v>
      </c>
      <c r="AA161" s="615">
        <v>1.5</v>
      </c>
      <c r="AB161" s="516">
        <v>0</v>
      </c>
      <c r="AC161" s="516">
        <v>0</v>
      </c>
      <c r="AD161" s="516">
        <v>0</v>
      </c>
      <c r="AE161" s="516">
        <v>0</v>
      </c>
      <c r="AF161" s="526">
        <v>1200</v>
      </c>
      <c r="AG161" s="523">
        <v>834</v>
      </c>
      <c r="AH161" s="524">
        <v>250</v>
      </c>
      <c r="AI161" s="520">
        <v>12</v>
      </c>
      <c r="AJ161" s="521">
        <f t="shared" si="54"/>
        <v>10008</v>
      </c>
      <c r="AK161" s="522">
        <f t="shared" si="55"/>
        <v>120096</v>
      </c>
      <c r="AL161" s="615">
        <v>9</v>
      </c>
      <c r="AM161" s="616">
        <f>9000000*36/54</f>
        <v>6000000</v>
      </c>
      <c r="AN161" s="516">
        <v>0</v>
      </c>
      <c r="AO161" s="516">
        <v>10</v>
      </c>
      <c r="AP161" s="516">
        <v>0</v>
      </c>
      <c r="AQ161" s="525">
        <v>9007</v>
      </c>
      <c r="AR161" s="1022">
        <v>1000</v>
      </c>
      <c r="AS161" s="1023">
        <v>300</v>
      </c>
      <c r="AT161" s="1024">
        <v>12</v>
      </c>
      <c r="AU161" s="506">
        <f t="shared" si="56"/>
        <v>12000</v>
      </c>
      <c r="AV161" s="507">
        <f t="shared" si="57"/>
        <v>144000</v>
      </c>
      <c r="AW161" s="615">
        <v>18</v>
      </c>
      <c r="AX161" s="616">
        <f>12000000*54/72</f>
        <v>9000000</v>
      </c>
      <c r="AY161" s="516">
        <v>0</v>
      </c>
      <c r="AZ161" s="516">
        <v>20</v>
      </c>
      <c r="BA161" s="516">
        <v>0</v>
      </c>
      <c r="BB161" s="525">
        <v>10000</v>
      </c>
      <c r="BC161" s="1022">
        <v>1334</v>
      </c>
      <c r="BD161" s="1023">
        <v>400</v>
      </c>
      <c r="BE161" s="1024">
        <v>12</v>
      </c>
      <c r="BF161" s="506">
        <f t="shared" si="58"/>
        <v>16008</v>
      </c>
      <c r="BG161" s="507">
        <f t="shared" si="59"/>
        <v>192096</v>
      </c>
      <c r="BH161" s="1048">
        <f>1*24+12</f>
        <v>36</v>
      </c>
      <c r="BI161" s="1049">
        <f>15000000*72/90</f>
        <v>12000000</v>
      </c>
      <c r="BJ161" s="1050">
        <v>0</v>
      </c>
      <c r="BK161" s="1050">
        <v>0</v>
      </c>
      <c r="BL161" s="1050">
        <v>10</v>
      </c>
      <c r="BM161" s="525">
        <v>10000</v>
      </c>
      <c r="BN161" s="1022">
        <v>2000</v>
      </c>
      <c r="BO161" s="1023">
        <v>600</v>
      </c>
      <c r="BP161" s="1024">
        <v>12</v>
      </c>
      <c r="BQ161" s="506">
        <f t="shared" si="60"/>
        <v>24000</v>
      </c>
      <c r="BR161" s="507">
        <f t="shared" si="61"/>
        <v>288000</v>
      </c>
      <c r="BS161" s="48">
        <f>3*24</f>
        <v>72</v>
      </c>
      <c r="BT161" s="53">
        <v>15000000</v>
      </c>
      <c r="BU161" s="47">
        <v>0</v>
      </c>
      <c r="BV161" s="47">
        <v>0</v>
      </c>
      <c r="BW161" s="47">
        <v>20</v>
      </c>
      <c r="BX161" s="525">
        <v>10000</v>
      </c>
      <c r="BY161" s="116"/>
      <c r="BZ161" s="505"/>
      <c r="CA161" s="496"/>
      <c r="CB161" s="497"/>
      <c r="CC161" s="498"/>
      <c r="CD161" s="498"/>
      <c r="CE161" s="498"/>
      <c r="CF161" s="498"/>
      <c r="CG161" s="498"/>
      <c r="CH161" s="498"/>
      <c r="CI161" s="498"/>
      <c r="CJ161" s="498"/>
      <c r="CK161" s="498"/>
      <c r="CL161" s="499"/>
      <c r="CM161" s="500"/>
      <c r="CN161" s="501"/>
      <c r="CO161" s="502"/>
      <c r="CP161" s="502"/>
      <c r="CQ161" s="503"/>
      <c r="CR161" s="1"/>
      <c r="CS161" s="1"/>
      <c r="CT161" s="1"/>
      <c r="CU161" s="1"/>
      <c r="CV161" s="1"/>
      <c r="CW161" s="2"/>
      <c r="CX161" s="603"/>
    </row>
    <row r="162" spans="1:102">
      <c r="A162" s="79"/>
      <c r="B162" s="100" t="s">
        <v>185</v>
      </c>
      <c r="C162" s="528" t="s">
        <v>182</v>
      </c>
      <c r="D162" s="134"/>
      <c r="E162" s="127" t="s">
        <v>43</v>
      </c>
      <c r="F162" s="101" t="s">
        <v>43</v>
      </c>
      <c r="G162" s="102"/>
      <c r="H162" s="529">
        <v>1</v>
      </c>
      <c r="I162" s="530" t="s">
        <v>186</v>
      </c>
      <c r="J162" s="144">
        <v>2</v>
      </c>
      <c r="K162" s="531">
        <v>0.05</v>
      </c>
      <c r="L162" s="555">
        <f t="shared" si="51"/>
        <v>2</v>
      </c>
      <c r="M162" s="162">
        <v>1</v>
      </c>
      <c r="N162" s="174">
        <v>8001</v>
      </c>
      <c r="O162" s="592">
        <v>42309</v>
      </c>
      <c r="P162" s="175" t="s">
        <v>202</v>
      </c>
      <c r="Q162" s="172">
        <v>200</v>
      </c>
      <c r="R162" s="103">
        <v>100</v>
      </c>
      <c r="S162" s="211">
        <v>2000</v>
      </c>
      <c r="T162" s="268" t="s">
        <v>534</v>
      </c>
      <c r="U162" s="554" t="s">
        <v>568</v>
      </c>
      <c r="V162" s="533">
        <v>67</v>
      </c>
      <c r="W162" s="534">
        <v>34</v>
      </c>
      <c r="X162" s="535">
        <v>5</v>
      </c>
      <c r="Y162" s="552">
        <f t="shared" ref="Y162:Y174" si="62">IF(ISBLANK(X162), "",INT(V162*X162))</f>
        <v>335</v>
      </c>
      <c r="Z162" s="553">
        <f t="shared" ref="Z162:Z174" si="63">IF(ISBLANK(X162),"",INT(Y162*$J162))</f>
        <v>670</v>
      </c>
      <c r="AA162" s="107">
        <v>3</v>
      </c>
      <c r="AB162" s="104">
        <v>0</v>
      </c>
      <c r="AC162" s="104">
        <v>0</v>
      </c>
      <c r="AD162" s="104">
        <v>0</v>
      </c>
      <c r="AE162" s="104">
        <v>0</v>
      </c>
      <c r="AF162" s="538">
        <v>51</v>
      </c>
      <c r="AG162" s="533">
        <v>84</v>
      </c>
      <c r="AH162" s="534">
        <v>42</v>
      </c>
      <c r="AI162" s="535">
        <v>5</v>
      </c>
      <c r="AJ162" s="552">
        <f t="shared" ref="AJ162:AJ174" si="64">IF(ISBLANK(AI162), "",INT(AG162*AI162))</f>
        <v>420</v>
      </c>
      <c r="AK162" s="553">
        <f t="shared" ref="AK162:AK174" si="65">IF(ISBLANK(AI162),"",INT(AJ162*$J162))</f>
        <v>840</v>
      </c>
      <c r="AL162" s="107">
        <v>12</v>
      </c>
      <c r="AM162" s="106">
        <v>1000</v>
      </c>
      <c r="AN162" s="104">
        <v>0</v>
      </c>
      <c r="AO162" s="104">
        <v>0</v>
      </c>
      <c r="AP162" s="104">
        <v>0</v>
      </c>
      <c r="AQ162" s="539">
        <v>252</v>
      </c>
      <c r="AR162" s="533">
        <v>100</v>
      </c>
      <c r="AS162" s="534">
        <v>50</v>
      </c>
      <c r="AT162" s="535">
        <v>5</v>
      </c>
      <c r="AU162" s="552">
        <f t="shared" ref="AU162:AU174" si="66">IF(ISBLANK(AT162), "",INT(AR162*AT162))</f>
        <v>500</v>
      </c>
      <c r="AV162" s="553">
        <f t="shared" ref="AV162:AV174" si="67">IF(ISBLANK(AT162),"",INT(AU162*$J162))</f>
        <v>1000</v>
      </c>
      <c r="AW162" s="107">
        <v>24</v>
      </c>
      <c r="AX162" s="106">
        <v>2000</v>
      </c>
      <c r="AY162" s="104">
        <v>0</v>
      </c>
      <c r="AZ162" s="104">
        <v>0</v>
      </c>
      <c r="BA162" s="104">
        <v>0</v>
      </c>
      <c r="BB162" s="539">
        <v>600</v>
      </c>
      <c r="BC162" s="533">
        <v>134</v>
      </c>
      <c r="BD162" s="534">
        <v>67</v>
      </c>
      <c r="BE162" s="535">
        <v>5</v>
      </c>
      <c r="BF162" s="552">
        <f t="shared" ref="BF162:BF174" si="68">IF(ISBLANK(BE162), "",INT(BC162*BE162))</f>
        <v>670</v>
      </c>
      <c r="BG162" s="553">
        <f t="shared" ref="BG162:BG174" si="69">IF(ISBLANK(BE162),"",INT(BF162*$J162))</f>
        <v>1340</v>
      </c>
      <c r="BH162" s="107">
        <f>1*24+12</f>
        <v>36</v>
      </c>
      <c r="BI162" s="106">
        <v>3000</v>
      </c>
      <c r="BJ162" s="104">
        <v>0</v>
      </c>
      <c r="BK162" s="104">
        <v>0</v>
      </c>
      <c r="BL162" s="104">
        <v>0</v>
      </c>
      <c r="BM162" s="539">
        <v>1206</v>
      </c>
      <c r="BN162" s="533">
        <v>200</v>
      </c>
      <c r="BO162" s="534">
        <v>100</v>
      </c>
      <c r="BP162" s="535">
        <v>5</v>
      </c>
      <c r="BQ162" s="550">
        <f t="shared" ref="BQ162:BQ174" si="70">IF(ISBLANK(BP162), "",INT(BN162*BP162))</f>
        <v>1000</v>
      </c>
      <c r="BR162" s="551">
        <f t="shared" ref="BR162:BR174" si="71">IF(ISBLANK(BP162),"",INT(BQ162*$J162))</f>
        <v>2000</v>
      </c>
      <c r="BS162" s="107">
        <f>24*2</f>
        <v>48</v>
      </c>
      <c r="BT162" s="106">
        <v>5000</v>
      </c>
      <c r="BU162" s="104">
        <v>0</v>
      </c>
      <c r="BV162" s="104">
        <v>0</v>
      </c>
      <c r="BW162" s="104">
        <v>0</v>
      </c>
      <c r="BX162" s="539">
        <v>2400</v>
      </c>
      <c r="BY162" s="105">
        <v>0</v>
      </c>
      <c r="BZ162" s="548" t="s">
        <v>43</v>
      </c>
      <c r="CA162" s="540">
        <v>111</v>
      </c>
      <c r="CB162" s="541">
        <v>333</v>
      </c>
      <c r="CC162" s="542"/>
      <c r="CD162" s="542"/>
      <c r="CE162" s="542"/>
      <c r="CF162" s="542"/>
      <c r="CG162" s="542"/>
      <c r="CH162" s="542"/>
      <c r="CI162" s="542"/>
      <c r="CJ162" s="542"/>
      <c r="CK162" s="542"/>
      <c r="CL162" s="543"/>
      <c r="CM162" s="547" t="s">
        <v>587</v>
      </c>
      <c r="CN162" s="544"/>
      <c r="CO162" s="545"/>
      <c r="CP162" s="545"/>
      <c r="CQ162" s="546"/>
      <c r="CR162" s="602">
        <v>36</v>
      </c>
      <c r="CS162" s="104">
        <v>144</v>
      </c>
      <c r="CT162" s="104">
        <v>288</v>
      </c>
      <c r="CU162" s="104">
        <v>432</v>
      </c>
      <c r="CV162" s="106">
        <v>576</v>
      </c>
      <c r="CW162" s="606">
        <f>IF(ISBLANK(CR162),"", AA162*60/CR162)</f>
        <v>5</v>
      </c>
      <c r="CX162" s="604" t="s">
        <v>591</v>
      </c>
    </row>
    <row r="163" spans="1:102">
      <c r="A163" s="79"/>
      <c r="B163" s="100" t="s">
        <v>191</v>
      </c>
      <c r="C163" s="528" t="s">
        <v>186</v>
      </c>
      <c r="D163" s="134"/>
      <c r="E163" s="127" t="s">
        <v>43</v>
      </c>
      <c r="F163" s="101" t="s">
        <v>43</v>
      </c>
      <c r="G163" s="102"/>
      <c r="H163" s="529">
        <v>1</v>
      </c>
      <c r="I163" s="530" t="s">
        <v>186</v>
      </c>
      <c r="J163" s="145">
        <v>2</v>
      </c>
      <c r="K163" s="531">
        <v>0.05</v>
      </c>
      <c r="L163" s="555">
        <f t="shared" si="51"/>
        <v>2</v>
      </c>
      <c r="M163" s="162">
        <v>1</v>
      </c>
      <c r="N163" s="174">
        <v>8002</v>
      </c>
      <c r="O163" s="592">
        <v>42319</v>
      </c>
      <c r="P163" s="175" t="s">
        <v>202</v>
      </c>
      <c r="Q163" s="172">
        <v>200</v>
      </c>
      <c r="R163" s="103">
        <v>100</v>
      </c>
      <c r="S163" s="211">
        <v>2000</v>
      </c>
      <c r="T163" s="268" t="s">
        <v>536</v>
      </c>
      <c r="U163" s="554" t="s">
        <v>570</v>
      </c>
      <c r="V163" s="536">
        <v>67</v>
      </c>
      <c r="W163" s="537">
        <v>34</v>
      </c>
      <c r="X163" s="535">
        <v>5</v>
      </c>
      <c r="Y163" s="552">
        <f t="shared" si="62"/>
        <v>335</v>
      </c>
      <c r="Z163" s="553">
        <f t="shared" si="63"/>
        <v>670</v>
      </c>
      <c r="AA163" s="107">
        <v>4</v>
      </c>
      <c r="AB163" s="104">
        <v>0</v>
      </c>
      <c r="AC163" s="104">
        <v>0</v>
      </c>
      <c r="AD163" s="104">
        <v>0</v>
      </c>
      <c r="AE163" s="104">
        <v>0</v>
      </c>
      <c r="AF163" s="538">
        <v>67</v>
      </c>
      <c r="AG163" s="536">
        <v>84</v>
      </c>
      <c r="AH163" s="537">
        <v>42</v>
      </c>
      <c r="AI163" s="535">
        <v>5</v>
      </c>
      <c r="AJ163" s="552">
        <f t="shared" si="64"/>
        <v>420</v>
      </c>
      <c r="AK163" s="553">
        <f t="shared" si="65"/>
        <v>840</v>
      </c>
      <c r="AL163" s="107">
        <v>14</v>
      </c>
      <c r="AM163" s="106">
        <v>300000</v>
      </c>
      <c r="AN163" s="104">
        <v>0</v>
      </c>
      <c r="AO163" s="104">
        <v>0</v>
      </c>
      <c r="AP163" s="104">
        <v>0</v>
      </c>
      <c r="AQ163" s="539">
        <v>294</v>
      </c>
      <c r="AR163" s="536">
        <v>100</v>
      </c>
      <c r="AS163" s="537">
        <v>50</v>
      </c>
      <c r="AT163" s="535">
        <v>5</v>
      </c>
      <c r="AU163" s="552">
        <f t="shared" si="66"/>
        <v>500</v>
      </c>
      <c r="AV163" s="553">
        <f t="shared" si="67"/>
        <v>1000</v>
      </c>
      <c r="AW163" s="107">
        <f>24+2</f>
        <v>26</v>
      </c>
      <c r="AX163" s="106">
        <v>500000</v>
      </c>
      <c r="AY163" s="104">
        <v>0</v>
      </c>
      <c r="AZ163" s="104">
        <v>0</v>
      </c>
      <c r="BA163" s="104">
        <v>0</v>
      </c>
      <c r="BB163" s="539">
        <v>650</v>
      </c>
      <c r="BC163" s="536">
        <v>134</v>
      </c>
      <c r="BD163" s="537">
        <v>67</v>
      </c>
      <c r="BE163" s="535">
        <v>5</v>
      </c>
      <c r="BF163" s="552">
        <f t="shared" si="68"/>
        <v>670</v>
      </c>
      <c r="BG163" s="553">
        <f t="shared" si="69"/>
        <v>1340</v>
      </c>
      <c r="BH163" s="107">
        <f>24+14</f>
        <v>38</v>
      </c>
      <c r="BI163" s="106">
        <v>700000</v>
      </c>
      <c r="BJ163" s="104">
        <v>0</v>
      </c>
      <c r="BK163" s="104">
        <v>0</v>
      </c>
      <c r="BL163" s="104">
        <v>0</v>
      </c>
      <c r="BM163" s="539">
        <v>1273</v>
      </c>
      <c r="BN163" s="533">
        <v>200</v>
      </c>
      <c r="BO163" s="534">
        <v>100</v>
      </c>
      <c r="BP163" s="535">
        <v>5</v>
      </c>
      <c r="BQ163" s="550">
        <f t="shared" si="70"/>
        <v>1000</v>
      </c>
      <c r="BR163" s="551">
        <f t="shared" si="71"/>
        <v>2000</v>
      </c>
      <c r="BS163" s="107">
        <f>2*24+2</f>
        <v>50</v>
      </c>
      <c r="BT163" s="106">
        <v>1500000</v>
      </c>
      <c r="BU163" s="104">
        <v>0</v>
      </c>
      <c r="BV163" s="104">
        <v>0</v>
      </c>
      <c r="BW163" s="104">
        <v>0</v>
      </c>
      <c r="BX163" s="539">
        <v>2500</v>
      </c>
      <c r="BY163" s="108">
        <v>0</v>
      </c>
      <c r="BZ163" s="548" t="s">
        <v>43</v>
      </c>
      <c r="CA163" s="540">
        <v>250</v>
      </c>
      <c r="CB163" s="541">
        <v>777</v>
      </c>
      <c r="CC163" s="542"/>
      <c r="CD163" s="542"/>
      <c r="CE163" s="542"/>
      <c r="CF163" s="542"/>
      <c r="CG163" s="542"/>
      <c r="CH163" s="542"/>
      <c r="CI163" s="542"/>
      <c r="CJ163" s="542"/>
      <c r="CK163" s="542"/>
      <c r="CL163" s="543"/>
      <c r="CM163" s="547" t="s">
        <v>587</v>
      </c>
      <c r="CN163" s="544"/>
      <c r="CO163" s="545"/>
      <c r="CP163" s="545"/>
      <c r="CQ163" s="546"/>
      <c r="CR163" s="602">
        <v>48</v>
      </c>
      <c r="CS163" s="104">
        <v>168</v>
      </c>
      <c r="CT163" s="104">
        <v>312</v>
      </c>
      <c r="CU163" s="104">
        <v>456</v>
      </c>
      <c r="CV163" s="106">
        <v>600</v>
      </c>
      <c r="CW163" s="606">
        <f t="shared" ref="CW163:CW178" si="72">IF(ISBLANK(CR163),"", AA163*60/CR163)</f>
        <v>5</v>
      </c>
      <c r="CX163" s="604" t="s">
        <v>593</v>
      </c>
    </row>
    <row r="164" spans="1:102">
      <c r="A164" s="79"/>
      <c r="B164" s="100" t="s">
        <v>196</v>
      </c>
      <c r="C164" s="528" t="s">
        <v>186</v>
      </c>
      <c r="D164" s="134"/>
      <c r="E164" s="127" t="s">
        <v>43</v>
      </c>
      <c r="F164" s="101" t="s">
        <v>43</v>
      </c>
      <c r="G164" s="102"/>
      <c r="H164" s="529">
        <v>1</v>
      </c>
      <c r="I164" s="530" t="s">
        <v>186</v>
      </c>
      <c r="J164" s="145">
        <v>2</v>
      </c>
      <c r="K164" s="531">
        <v>0.05</v>
      </c>
      <c r="L164" s="555">
        <f t="shared" si="51"/>
        <v>2</v>
      </c>
      <c r="M164" s="162">
        <v>1</v>
      </c>
      <c r="N164" s="174">
        <v>8003</v>
      </c>
      <c r="O164" s="592">
        <v>42330</v>
      </c>
      <c r="P164" s="175" t="s">
        <v>202</v>
      </c>
      <c r="Q164" s="172">
        <v>200</v>
      </c>
      <c r="R164" s="103">
        <v>100</v>
      </c>
      <c r="S164" s="211">
        <v>2000</v>
      </c>
      <c r="T164" s="268" t="s">
        <v>538</v>
      </c>
      <c r="U164" s="554" t="s">
        <v>572</v>
      </c>
      <c r="V164" s="536">
        <v>67</v>
      </c>
      <c r="W164" s="537">
        <v>34</v>
      </c>
      <c r="X164" s="535">
        <v>5</v>
      </c>
      <c r="Y164" s="552">
        <f t="shared" si="62"/>
        <v>335</v>
      </c>
      <c r="Z164" s="553">
        <f t="shared" si="63"/>
        <v>670</v>
      </c>
      <c r="AA164" s="107">
        <v>2</v>
      </c>
      <c r="AB164" s="104">
        <v>0</v>
      </c>
      <c r="AC164" s="104">
        <v>0</v>
      </c>
      <c r="AD164" s="104">
        <v>0</v>
      </c>
      <c r="AE164" s="104">
        <v>0</v>
      </c>
      <c r="AF164" s="538">
        <v>67</v>
      </c>
      <c r="AG164" s="536">
        <v>84</v>
      </c>
      <c r="AH164" s="537">
        <v>42</v>
      </c>
      <c r="AI164" s="535">
        <v>5</v>
      </c>
      <c r="AJ164" s="552">
        <f t="shared" si="64"/>
        <v>420</v>
      </c>
      <c r="AK164" s="553">
        <f t="shared" si="65"/>
        <v>840</v>
      </c>
      <c r="AL164" s="107">
        <v>8</v>
      </c>
      <c r="AM164" s="106">
        <v>100000</v>
      </c>
      <c r="AN164" s="104">
        <v>0</v>
      </c>
      <c r="AO164" s="104">
        <v>0</v>
      </c>
      <c r="AP164" s="104">
        <v>0</v>
      </c>
      <c r="AQ164" s="539">
        <v>294</v>
      </c>
      <c r="AR164" s="536">
        <v>100</v>
      </c>
      <c r="AS164" s="537">
        <v>50</v>
      </c>
      <c r="AT164" s="535">
        <v>5</v>
      </c>
      <c r="AU164" s="552">
        <f t="shared" si="66"/>
        <v>500</v>
      </c>
      <c r="AV164" s="553">
        <f t="shared" si="67"/>
        <v>1000</v>
      </c>
      <c r="AW164" s="107">
        <v>20</v>
      </c>
      <c r="AX164" s="106">
        <v>200000</v>
      </c>
      <c r="AY164" s="104">
        <v>0</v>
      </c>
      <c r="AZ164" s="104">
        <v>0</v>
      </c>
      <c r="BA164" s="104">
        <v>0</v>
      </c>
      <c r="BB164" s="539">
        <v>650</v>
      </c>
      <c r="BC164" s="536">
        <v>134</v>
      </c>
      <c r="BD164" s="537">
        <v>67</v>
      </c>
      <c r="BE164" s="535">
        <v>5</v>
      </c>
      <c r="BF164" s="552">
        <f t="shared" si="68"/>
        <v>670</v>
      </c>
      <c r="BG164" s="553">
        <f t="shared" si="69"/>
        <v>1340</v>
      </c>
      <c r="BH164" s="107">
        <f>24+8</f>
        <v>32</v>
      </c>
      <c r="BI164" s="106">
        <v>300000</v>
      </c>
      <c r="BJ164" s="104">
        <v>0</v>
      </c>
      <c r="BK164" s="104">
        <v>0</v>
      </c>
      <c r="BL164" s="104">
        <v>0</v>
      </c>
      <c r="BM164" s="539">
        <v>1273</v>
      </c>
      <c r="BN164" s="533">
        <v>200</v>
      </c>
      <c r="BO164" s="534">
        <v>100</v>
      </c>
      <c r="BP164" s="535">
        <v>5</v>
      </c>
      <c r="BQ164" s="550">
        <f t="shared" si="70"/>
        <v>1000</v>
      </c>
      <c r="BR164" s="551">
        <f t="shared" si="71"/>
        <v>2000</v>
      </c>
      <c r="BS164" s="107">
        <f>1*24+20</f>
        <v>44</v>
      </c>
      <c r="BT164" s="106">
        <v>400000</v>
      </c>
      <c r="BU164" s="104">
        <v>0</v>
      </c>
      <c r="BV164" s="104">
        <v>0</v>
      </c>
      <c r="BW164" s="104">
        <v>0</v>
      </c>
      <c r="BX164" s="539">
        <v>2500</v>
      </c>
      <c r="BY164" s="108">
        <v>0</v>
      </c>
      <c r="BZ164" s="549" t="s">
        <v>43</v>
      </c>
      <c r="CA164" s="540">
        <v>250</v>
      </c>
      <c r="CB164" s="541">
        <v>777</v>
      </c>
      <c r="CC164" s="542"/>
      <c r="CD164" s="542"/>
      <c r="CE164" s="542"/>
      <c r="CF164" s="542"/>
      <c r="CG164" s="542"/>
      <c r="CH164" s="542"/>
      <c r="CI164" s="542"/>
      <c r="CJ164" s="542"/>
      <c r="CK164" s="542"/>
      <c r="CL164" s="543"/>
      <c r="CM164" s="547" t="s">
        <v>587</v>
      </c>
      <c r="CN164" s="544"/>
      <c r="CO164" s="545"/>
      <c r="CP164" s="545"/>
      <c r="CQ164" s="546"/>
      <c r="CR164" s="602">
        <v>24</v>
      </c>
      <c r="CS164" s="104">
        <v>96</v>
      </c>
      <c r="CT164" s="104">
        <v>240</v>
      </c>
      <c r="CU164" s="104">
        <v>384</v>
      </c>
      <c r="CV164" s="106">
        <v>528</v>
      </c>
      <c r="CW164" s="606">
        <f t="shared" si="72"/>
        <v>5</v>
      </c>
      <c r="CX164" s="604" t="s">
        <v>595</v>
      </c>
    </row>
    <row r="165" spans="1:102">
      <c r="A165" s="472"/>
      <c r="B165" s="100" t="s">
        <v>208</v>
      </c>
      <c r="C165" s="528" t="s">
        <v>186</v>
      </c>
      <c r="D165" s="134"/>
      <c r="E165" s="127" t="s">
        <v>43</v>
      </c>
      <c r="F165" s="101" t="s">
        <v>43</v>
      </c>
      <c r="G165" s="102"/>
      <c r="H165" s="529">
        <v>1</v>
      </c>
      <c r="I165" s="530" t="s">
        <v>186</v>
      </c>
      <c r="J165" s="145">
        <v>2</v>
      </c>
      <c r="K165" s="532">
        <v>0.05</v>
      </c>
      <c r="L165" s="555">
        <f t="shared" si="51"/>
        <v>2</v>
      </c>
      <c r="M165" s="162">
        <v>1</v>
      </c>
      <c r="N165" s="174">
        <v>8004</v>
      </c>
      <c r="O165" s="592">
        <v>42339</v>
      </c>
      <c r="P165" s="175" t="s">
        <v>125</v>
      </c>
      <c r="Q165" s="172">
        <v>200</v>
      </c>
      <c r="R165" s="103">
        <v>100</v>
      </c>
      <c r="S165" s="211">
        <v>2000</v>
      </c>
      <c r="T165" s="268" t="s">
        <v>540</v>
      </c>
      <c r="U165" s="554" t="s">
        <v>574</v>
      </c>
      <c r="V165" s="536">
        <v>67</v>
      </c>
      <c r="W165" s="537">
        <v>34</v>
      </c>
      <c r="X165" s="535">
        <v>5</v>
      </c>
      <c r="Y165" s="552">
        <f t="shared" si="62"/>
        <v>335</v>
      </c>
      <c r="Z165" s="553">
        <f t="shared" si="63"/>
        <v>670</v>
      </c>
      <c r="AA165" s="107">
        <v>5</v>
      </c>
      <c r="AB165" s="104">
        <v>0</v>
      </c>
      <c r="AC165" s="104">
        <v>0</v>
      </c>
      <c r="AD165" s="104">
        <v>0</v>
      </c>
      <c r="AE165" s="104">
        <v>0</v>
      </c>
      <c r="AF165" s="596">
        <v>168</v>
      </c>
      <c r="AG165" s="536">
        <v>84</v>
      </c>
      <c r="AH165" s="537">
        <v>42</v>
      </c>
      <c r="AI165" s="535">
        <v>5</v>
      </c>
      <c r="AJ165" s="552">
        <f t="shared" si="64"/>
        <v>420</v>
      </c>
      <c r="AK165" s="553">
        <f t="shared" si="65"/>
        <v>840</v>
      </c>
      <c r="AL165" s="593">
        <v>15</v>
      </c>
      <c r="AM165" s="594">
        <v>1000</v>
      </c>
      <c r="AN165" s="104">
        <v>0</v>
      </c>
      <c r="AO165" s="104">
        <v>0</v>
      </c>
      <c r="AP165" s="104">
        <v>0</v>
      </c>
      <c r="AQ165" s="595">
        <v>630</v>
      </c>
      <c r="AR165" s="536">
        <v>100</v>
      </c>
      <c r="AS165" s="537">
        <v>50</v>
      </c>
      <c r="AT165" s="535">
        <v>5</v>
      </c>
      <c r="AU165" s="552">
        <f t="shared" si="66"/>
        <v>500</v>
      </c>
      <c r="AV165" s="553">
        <f t="shared" si="67"/>
        <v>1000</v>
      </c>
      <c r="AW165" s="593">
        <f>1*24+4</f>
        <v>28</v>
      </c>
      <c r="AX165" s="594">
        <v>2000</v>
      </c>
      <c r="AY165" s="104">
        <v>0</v>
      </c>
      <c r="AZ165" s="104">
        <v>0</v>
      </c>
      <c r="BA165" s="104">
        <v>0</v>
      </c>
      <c r="BB165" s="595">
        <v>1400</v>
      </c>
      <c r="BC165" s="536">
        <v>134</v>
      </c>
      <c r="BD165" s="537">
        <v>67</v>
      </c>
      <c r="BE165" s="535">
        <v>5</v>
      </c>
      <c r="BF165" s="552">
        <f t="shared" si="68"/>
        <v>670</v>
      </c>
      <c r="BG165" s="553">
        <f t="shared" si="69"/>
        <v>1340</v>
      </c>
      <c r="BH165" s="593">
        <f>1*24+18</f>
        <v>42</v>
      </c>
      <c r="BI165" s="594">
        <v>3000</v>
      </c>
      <c r="BJ165" s="104">
        <v>0</v>
      </c>
      <c r="BK165" s="104">
        <v>0</v>
      </c>
      <c r="BL165" s="104">
        <v>0</v>
      </c>
      <c r="BM165" s="595">
        <v>2814</v>
      </c>
      <c r="BN165" s="533">
        <v>200</v>
      </c>
      <c r="BO165" s="534">
        <v>100</v>
      </c>
      <c r="BP165" s="535">
        <v>5</v>
      </c>
      <c r="BQ165" s="550">
        <f t="shared" si="70"/>
        <v>1000</v>
      </c>
      <c r="BR165" s="551">
        <f t="shared" si="71"/>
        <v>2000</v>
      </c>
      <c r="BS165" s="593">
        <f>2*24+6</f>
        <v>54</v>
      </c>
      <c r="BT165" s="594">
        <v>4000</v>
      </c>
      <c r="BU165" s="104">
        <v>0</v>
      </c>
      <c r="BV165" s="104">
        <v>0</v>
      </c>
      <c r="BW165" s="104">
        <v>0</v>
      </c>
      <c r="BX165" s="595">
        <v>5400</v>
      </c>
      <c r="BY165" s="108">
        <v>0</v>
      </c>
      <c r="BZ165" s="549" t="s">
        <v>43</v>
      </c>
      <c r="CA165" s="540">
        <v>111</v>
      </c>
      <c r="CB165" s="541">
        <v>333</v>
      </c>
      <c r="CC165" s="542"/>
      <c r="CD165" s="542"/>
      <c r="CE165" s="542"/>
      <c r="CF165" s="542"/>
      <c r="CG165" s="542"/>
      <c r="CH165" s="542"/>
      <c r="CI165" s="542"/>
      <c r="CJ165" s="542"/>
      <c r="CK165" s="542"/>
      <c r="CL165" s="543"/>
      <c r="CM165" s="547" t="s">
        <v>587</v>
      </c>
      <c r="CN165" s="544"/>
      <c r="CO165" s="545"/>
      <c r="CP165" s="545"/>
      <c r="CQ165" s="546"/>
      <c r="CR165" s="1017">
        <v>60</v>
      </c>
      <c r="CS165" s="1018">
        <v>180</v>
      </c>
      <c r="CT165" s="1018">
        <v>336</v>
      </c>
      <c r="CU165" s="1018">
        <v>504</v>
      </c>
      <c r="CV165" s="594">
        <v>648</v>
      </c>
      <c r="CW165" s="1019">
        <f t="shared" si="72"/>
        <v>5</v>
      </c>
      <c r="CX165" s="604" t="s">
        <v>597</v>
      </c>
    </row>
    <row r="166" spans="1:102">
      <c r="A166" s="472"/>
      <c r="B166" s="100" t="s">
        <v>209</v>
      </c>
      <c r="C166" s="528" t="s">
        <v>186</v>
      </c>
      <c r="D166" s="134"/>
      <c r="E166" s="127" t="s">
        <v>43</v>
      </c>
      <c r="F166" s="101" t="s">
        <v>43</v>
      </c>
      <c r="G166" s="102"/>
      <c r="H166" s="529">
        <v>2</v>
      </c>
      <c r="I166" s="530" t="s">
        <v>186</v>
      </c>
      <c r="J166" s="145">
        <v>2</v>
      </c>
      <c r="K166" s="532">
        <v>0.05</v>
      </c>
      <c r="L166" s="555">
        <f t="shared" si="51"/>
        <v>2</v>
      </c>
      <c r="M166" s="162">
        <v>1</v>
      </c>
      <c r="N166" s="174">
        <v>8005</v>
      </c>
      <c r="O166" s="592">
        <v>42339</v>
      </c>
      <c r="P166" s="175" t="s">
        <v>125</v>
      </c>
      <c r="Q166" s="172">
        <v>200</v>
      </c>
      <c r="R166" s="103">
        <v>100</v>
      </c>
      <c r="S166" s="211">
        <v>2000</v>
      </c>
      <c r="T166" s="268" t="s">
        <v>552</v>
      </c>
      <c r="U166" s="554" t="s">
        <v>574</v>
      </c>
      <c r="V166" s="536">
        <v>67</v>
      </c>
      <c r="W166" s="537">
        <v>34</v>
      </c>
      <c r="X166" s="535">
        <v>5</v>
      </c>
      <c r="Y166" s="552">
        <f t="shared" si="62"/>
        <v>335</v>
      </c>
      <c r="Z166" s="553">
        <f t="shared" si="63"/>
        <v>670</v>
      </c>
      <c r="AA166" s="107">
        <v>5</v>
      </c>
      <c r="AB166" s="104">
        <v>0</v>
      </c>
      <c r="AC166" s="104">
        <v>0</v>
      </c>
      <c r="AD166" s="104">
        <v>0</v>
      </c>
      <c r="AE166" s="104">
        <v>0</v>
      </c>
      <c r="AF166" s="538">
        <v>168</v>
      </c>
      <c r="AG166" s="536">
        <v>84</v>
      </c>
      <c r="AH166" s="537">
        <v>42</v>
      </c>
      <c r="AI166" s="535">
        <v>5</v>
      </c>
      <c r="AJ166" s="552">
        <f t="shared" si="64"/>
        <v>420</v>
      </c>
      <c r="AK166" s="553">
        <f t="shared" si="65"/>
        <v>840</v>
      </c>
      <c r="AL166" s="107">
        <v>15</v>
      </c>
      <c r="AM166" s="106">
        <v>400000</v>
      </c>
      <c r="AN166" s="104">
        <v>0</v>
      </c>
      <c r="AO166" s="104">
        <v>0</v>
      </c>
      <c r="AP166" s="104">
        <v>0</v>
      </c>
      <c r="AQ166" s="539">
        <v>630</v>
      </c>
      <c r="AR166" s="536">
        <v>100</v>
      </c>
      <c r="AS166" s="537">
        <v>50</v>
      </c>
      <c r="AT166" s="535">
        <v>5</v>
      </c>
      <c r="AU166" s="552">
        <f t="shared" si="66"/>
        <v>500</v>
      </c>
      <c r="AV166" s="553">
        <f t="shared" si="67"/>
        <v>1000</v>
      </c>
      <c r="AW166" s="107">
        <f>1*24+4</f>
        <v>28</v>
      </c>
      <c r="AX166" s="106">
        <v>800000</v>
      </c>
      <c r="AY166" s="104">
        <v>0</v>
      </c>
      <c r="AZ166" s="104">
        <v>0</v>
      </c>
      <c r="BA166" s="104">
        <v>0</v>
      </c>
      <c r="BB166" s="539">
        <v>1400</v>
      </c>
      <c r="BC166" s="536">
        <v>134</v>
      </c>
      <c r="BD166" s="537">
        <v>67</v>
      </c>
      <c r="BE166" s="535">
        <v>5</v>
      </c>
      <c r="BF166" s="552">
        <f t="shared" si="68"/>
        <v>670</v>
      </c>
      <c r="BG166" s="553">
        <f t="shared" si="69"/>
        <v>1340</v>
      </c>
      <c r="BH166" s="107">
        <f>1*24+18</f>
        <v>42</v>
      </c>
      <c r="BI166" s="106">
        <v>1200000</v>
      </c>
      <c r="BJ166" s="104">
        <v>0</v>
      </c>
      <c r="BK166" s="104">
        <v>0</v>
      </c>
      <c r="BL166" s="104">
        <v>0</v>
      </c>
      <c r="BM166" s="539">
        <v>2814</v>
      </c>
      <c r="BN166" s="533">
        <v>200</v>
      </c>
      <c r="BO166" s="534">
        <v>100</v>
      </c>
      <c r="BP166" s="535">
        <v>5</v>
      </c>
      <c r="BQ166" s="550">
        <f t="shared" si="70"/>
        <v>1000</v>
      </c>
      <c r="BR166" s="551">
        <f t="shared" si="71"/>
        <v>2000</v>
      </c>
      <c r="BS166" s="107">
        <f>2*24+6</f>
        <v>54</v>
      </c>
      <c r="BT166" s="106">
        <v>1600000</v>
      </c>
      <c r="BU166" s="104">
        <v>0</v>
      </c>
      <c r="BV166" s="104">
        <v>0</v>
      </c>
      <c r="BW166" s="104">
        <v>0</v>
      </c>
      <c r="BX166" s="539">
        <v>5400</v>
      </c>
      <c r="BY166" s="108">
        <v>0</v>
      </c>
      <c r="BZ166" s="549" t="s">
        <v>43</v>
      </c>
      <c r="CA166" s="540">
        <v>250</v>
      </c>
      <c r="CB166" s="541">
        <v>777</v>
      </c>
      <c r="CC166" s="542"/>
      <c r="CD166" s="542"/>
      <c r="CE166" s="542"/>
      <c r="CF166" s="542"/>
      <c r="CG166" s="542"/>
      <c r="CH166" s="542"/>
      <c r="CI166" s="542"/>
      <c r="CJ166" s="542"/>
      <c r="CK166" s="542"/>
      <c r="CL166" s="543"/>
      <c r="CM166" s="547" t="s">
        <v>587</v>
      </c>
      <c r="CN166" s="544"/>
      <c r="CO166" s="545"/>
      <c r="CP166" s="545"/>
      <c r="CQ166" s="546"/>
      <c r="CR166" s="602">
        <v>75</v>
      </c>
      <c r="CS166" s="104">
        <v>225</v>
      </c>
      <c r="CT166" s="104">
        <v>420</v>
      </c>
      <c r="CU166" s="104">
        <v>630</v>
      </c>
      <c r="CV166" s="106">
        <v>810</v>
      </c>
      <c r="CW166" s="606">
        <f t="shared" si="72"/>
        <v>4</v>
      </c>
      <c r="CX166" s="604" t="s">
        <v>599</v>
      </c>
    </row>
    <row r="167" spans="1:102">
      <c r="A167" s="472"/>
      <c r="B167" s="100" t="s">
        <v>223</v>
      </c>
      <c r="C167" s="528" t="s">
        <v>186</v>
      </c>
      <c r="D167" s="134"/>
      <c r="E167" s="127" t="s">
        <v>43</v>
      </c>
      <c r="F167" s="101" t="s">
        <v>43</v>
      </c>
      <c r="G167" s="102"/>
      <c r="H167" s="529">
        <v>2</v>
      </c>
      <c r="I167" s="530" t="s">
        <v>186</v>
      </c>
      <c r="J167" s="145">
        <v>2</v>
      </c>
      <c r="K167" s="532">
        <v>0.05</v>
      </c>
      <c r="L167" s="555">
        <f t="shared" si="51"/>
        <v>2</v>
      </c>
      <c r="M167" s="162">
        <v>1</v>
      </c>
      <c r="N167" s="174">
        <v>8006</v>
      </c>
      <c r="O167" s="592">
        <v>42351</v>
      </c>
      <c r="P167" s="175" t="s">
        <v>206</v>
      </c>
      <c r="Q167" s="172">
        <v>200</v>
      </c>
      <c r="R167" s="103">
        <v>100</v>
      </c>
      <c r="S167" s="211">
        <v>2000</v>
      </c>
      <c r="T167" s="268" t="s">
        <v>564</v>
      </c>
      <c r="U167" s="554" t="s">
        <v>576</v>
      </c>
      <c r="V167" s="536">
        <v>67</v>
      </c>
      <c r="W167" s="537">
        <v>34</v>
      </c>
      <c r="X167" s="535">
        <v>5</v>
      </c>
      <c r="Y167" s="552">
        <f t="shared" si="62"/>
        <v>335</v>
      </c>
      <c r="Z167" s="553">
        <f t="shared" si="63"/>
        <v>670</v>
      </c>
      <c r="AA167" s="107">
        <v>6</v>
      </c>
      <c r="AB167" s="104">
        <v>0</v>
      </c>
      <c r="AC167" s="104">
        <v>0</v>
      </c>
      <c r="AD167" s="104">
        <v>0</v>
      </c>
      <c r="AE167" s="104">
        <v>0</v>
      </c>
      <c r="AF167" s="538">
        <v>168</v>
      </c>
      <c r="AG167" s="536">
        <v>84</v>
      </c>
      <c r="AH167" s="537">
        <v>42</v>
      </c>
      <c r="AI167" s="535">
        <v>5</v>
      </c>
      <c r="AJ167" s="552">
        <f t="shared" si="64"/>
        <v>420</v>
      </c>
      <c r="AK167" s="553">
        <f t="shared" si="65"/>
        <v>840</v>
      </c>
      <c r="AL167" s="107">
        <v>18</v>
      </c>
      <c r="AM167" s="106">
        <v>300000</v>
      </c>
      <c r="AN167" s="104">
        <v>0</v>
      </c>
      <c r="AO167" s="104">
        <v>0</v>
      </c>
      <c r="AP167" s="104">
        <v>0</v>
      </c>
      <c r="AQ167" s="539">
        <v>630</v>
      </c>
      <c r="AR167" s="536">
        <v>100</v>
      </c>
      <c r="AS167" s="537">
        <v>50</v>
      </c>
      <c r="AT167" s="535">
        <v>5</v>
      </c>
      <c r="AU167" s="552">
        <f t="shared" si="66"/>
        <v>500</v>
      </c>
      <c r="AV167" s="553">
        <f t="shared" si="67"/>
        <v>1000</v>
      </c>
      <c r="AW167" s="107">
        <f>1*24+6</f>
        <v>30</v>
      </c>
      <c r="AX167" s="106">
        <v>600000</v>
      </c>
      <c r="AY167" s="104">
        <v>0</v>
      </c>
      <c r="AZ167" s="104">
        <v>0</v>
      </c>
      <c r="BA167" s="104">
        <v>0</v>
      </c>
      <c r="BB167" s="539">
        <v>1400</v>
      </c>
      <c r="BC167" s="536">
        <v>134</v>
      </c>
      <c r="BD167" s="537">
        <v>67</v>
      </c>
      <c r="BE167" s="535">
        <v>5</v>
      </c>
      <c r="BF167" s="552">
        <f t="shared" si="68"/>
        <v>670</v>
      </c>
      <c r="BG167" s="553">
        <f t="shared" si="69"/>
        <v>1340</v>
      </c>
      <c r="BH167" s="107">
        <f>1*24+18</f>
        <v>42</v>
      </c>
      <c r="BI167" s="106">
        <v>900000</v>
      </c>
      <c r="BJ167" s="104">
        <v>0</v>
      </c>
      <c r="BK167" s="104">
        <v>0</v>
      </c>
      <c r="BL167" s="104">
        <v>0</v>
      </c>
      <c r="BM167" s="539">
        <v>2814</v>
      </c>
      <c r="BN167" s="533">
        <v>200</v>
      </c>
      <c r="BO167" s="534">
        <v>100</v>
      </c>
      <c r="BP167" s="535">
        <v>5</v>
      </c>
      <c r="BQ167" s="550">
        <f t="shared" si="70"/>
        <v>1000</v>
      </c>
      <c r="BR167" s="551">
        <f t="shared" si="71"/>
        <v>2000</v>
      </c>
      <c r="BS167" s="107">
        <f>2*24+12</f>
        <v>60</v>
      </c>
      <c r="BT167" s="106">
        <v>1200000</v>
      </c>
      <c r="BU167" s="104">
        <v>0</v>
      </c>
      <c r="BV167" s="104">
        <v>0</v>
      </c>
      <c r="BW167" s="104">
        <v>0</v>
      </c>
      <c r="BX167" s="539">
        <v>5400</v>
      </c>
      <c r="BY167" s="108">
        <v>0</v>
      </c>
      <c r="BZ167" s="549" t="s">
        <v>43</v>
      </c>
      <c r="CA167" s="540">
        <v>250</v>
      </c>
      <c r="CB167" s="541">
        <v>777</v>
      </c>
      <c r="CC167" s="542"/>
      <c r="CD167" s="542"/>
      <c r="CE167" s="542"/>
      <c r="CF167" s="542"/>
      <c r="CG167" s="542"/>
      <c r="CH167" s="542"/>
      <c r="CI167" s="542"/>
      <c r="CJ167" s="542"/>
      <c r="CK167" s="542"/>
      <c r="CL167" s="543"/>
      <c r="CM167" s="547" t="s">
        <v>587</v>
      </c>
      <c r="CN167" s="544"/>
      <c r="CO167" s="545"/>
      <c r="CP167" s="545"/>
      <c r="CQ167" s="546"/>
      <c r="CR167" s="602">
        <v>85</v>
      </c>
      <c r="CS167" s="104">
        <v>253</v>
      </c>
      <c r="CT167" s="104">
        <v>421</v>
      </c>
      <c r="CU167" s="104">
        <v>589</v>
      </c>
      <c r="CV167" s="106">
        <v>841</v>
      </c>
      <c r="CW167" s="606">
        <f t="shared" si="72"/>
        <v>4.2352941176470589</v>
      </c>
      <c r="CX167" s="604" t="s">
        <v>601</v>
      </c>
    </row>
    <row r="168" spans="1:102">
      <c r="A168" s="472"/>
      <c r="B168" s="100" t="s">
        <v>224</v>
      </c>
      <c r="C168" s="528" t="s">
        <v>186</v>
      </c>
      <c r="D168" s="134"/>
      <c r="E168" s="127" t="s">
        <v>43</v>
      </c>
      <c r="F168" s="101" t="s">
        <v>43</v>
      </c>
      <c r="G168" s="102"/>
      <c r="H168" s="529">
        <v>2</v>
      </c>
      <c r="I168" s="530" t="s">
        <v>186</v>
      </c>
      <c r="J168" s="145">
        <v>2</v>
      </c>
      <c r="K168" s="532">
        <v>0.05</v>
      </c>
      <c r="L168" s="555">
        <f t="shared" si="51"/>
        <v>2</v>
      </c>
      <c r="M168" s="162">
        <v>1</v>
      </c>
      <c r="N168" s="174">
        <v>8007</v>
      </c>
      <c r="O168" s="592">
        <v>42351</v>
      </c>
      <c r="P168" s="175" t="s">
        <v>206</v>
      </c>
      <c r="Q168" s="172">
        <v>200</v>
      </c>
      <c r="R168" s="103">
        <v>100</v>
      </c>
      <c r="S168" s="211">
        <v>2000</v>
      </c>
      <c r="T168" s="268" t="s">
        <v>566</v>
      </c>
      <c r="U168" s="554" t="s">
        <v>576</v>
      </c>
      <c r="V168" s="536">
        <v>67</v>
      </c>
      <c r="W168" s="537">
        <v>34</v>
      </c>
      <c r="X168" s="535">
        <v>5</v>
      </c>
      <c r="Y168" s="552">
        <f t="shared" si="62"/>
        <v>335</v>
      </c>
      <c r="Z168" s="553">
        <f t="shared" si="63"/>
        <v>670</v>
      </c>
      <c r="AA168" s="107">
        <v>6</v>
      </c>
      <c r="AB168" s="104">
        <v>0</v>
      </c>
      <c r="AC168" s="104">
        <v>0</v>
      </c>
      <c r="AD168" s="104">
        <v>0</v>
      </c>
      <c r="AE168" s="104">
        <v>0</v>
      </c>
      <c r="AF168" s="538">
        <v>168</v>
      </c>
      <c r="AG168" s="536">
        <v>84</v>
      </c>
      <c r="AH168" s="537">
        <v>42</v>
      </c>
      <c r="AI168" s="535">
        <v>5</v>
      </c>
      <c r="AJ168" s="552">
        <f t="shared" si="64"/>
        <v>420</v>
      </c>
      <c r="AK168" s="553">
        <f t="shared" si="65"/>
        <v>840</v>
      </c>
      <c r="AL168" s="107">
        <v>18</v>
      </c>
      <c r="AM168" s="106">
        <v>300000</v>
      </c>
      <c r="AN168" s="104">
        <v>0</v>
      </c>
      <c r="AO168" s="104">
        <v>0</v>
      </c>
      <c r="AP168" s="104">
        <v>0</v>
      </c>
      <c r="AQ168" s="539">
        <v>630</v>
      </c>
      <c r="AR168" s="536">
        <v>100</v>
      </c>
      <c r="AS168" s="537">
        <v>50</v>
      </c>
      <c r="AT168" s="535">
        <v>5</v>
      </c>
      <c r="AU168" s="552">
        <f t="shared" si="66"/>
        <v>500</v>
      </c>
      <c r="AV168" s="553">
        <f t="shared" si="67"/>
        <v>1000</v>
      </c>
      <c r="AW168" s="107">
        <f>1*24+6</f>
        <v>30</v>
      </c>
      <c r="AX168" s="106">
        <v>600000</v>
      </c>
      <c r="AY168" s="104">
        <v>0</v>
      </c>
      <c r="AZ168" s="104">
        <v>0</v>
      </c>
      <c r="BA168" s="104">
        <v>0</v>
      </c>
      <c r="BB168" s="539">
        <v>1400</v>
      </c>
      <c r="BC168" s="536">
        <v>134</v>
      </c>
      <c r="BD168" s="537">
        <v>67</v>
      </c>
      <c r="BE168" s="535">
        <v>5</v>
      </c>
      <c r="BF168" s="552">
        <f t="shared" si="68"/>
        <v>670</v>
      </c>
      <c r="BG168" s="553">
        <f t="shared" si="69"/>
        <v>1340</v>
      </c>
      <c r="BH168" s="107">
        <f>1*24+18</f>
        <v>42</v>
      </c>
      <c r="BI168" s="106">
        <v>900000</v>
      </c>
      <c r="BJ168" s="104">
        <v>0</v>
      </c>
      <c r="BK168" s="104">
        <v>0</v>
      </c>
      <c r="BL168" s="104">
        <v>0</v>
      </c>
      <c r="BM168" s="539">
        <v>2814</v>
      </c>
      <c r="BN168" s="533">
        <v>200</v>
      </c>
      <c r="BO168" s="534">
        <v>100</v>
      </c>
      <c r="BP168" s="535">
        <v>5</v>
      </c>
      <c r="BQ168" s="550">
        <f t="shared" si="70"/>
        <v>1000</v>
      </c>
      <c r="BR168" s="551">
        <f t="shared" si="71"/>
        <v>2000</v>
      </c>
      <c r="BS168" s="107">
        <f>2*24+12</f>
        <v>60</v>
      </c>
      <c r="BT168" s="106">
        <v>1200000</v>
      </c>
      <c r="BU168" s="104">
        <v>0</v>
      </c>
      <c r="BV168" s="104">
        <v>0</v>
      </c>
      <c r="BW168" s="104">
        <v>0</v>
      </c>
      <c r="BX168" s="539">
        <v>5400</v>
      </c>
      <c r="BY168" s="108">
        <v>0</v>
      </c>
      <c r="BZ168" s="549" t="s">
        <v>43</v>
      </c>
      <c r="CA168" s="540">
        <v>250</v>
      </c>
      <c r="CB168" s="541">
        <v>777</v>
      </c>
      <c r="CC168" s="542"/>
      <c r="CD168" s="542"/>
      <c r="CE168" s="542"/>
      <c r="CF168" s="542"/>
      <c r="CG168" s="542"/>
      <c r="CH168" s="542"/>
      <c r="CI168" s="542"/>
      <c r="CJ168" s="542"/>
      <c r="CK168" s="542"/>
      <c r="CL168" s="543"/>
      <c r="CM168" s="547" t="s">
        <v>587</v>
      </c>
      <c r="CN168" s="544"/>
      <c r="CO168" s="545"/>
      <c r="CP168" s="545"/>
      <c r="CQ168" s="546"/>
      <c r="CR168" s="602">
        <v>85</v>
      </c>
      <c r="CS168" s="104">
        <v>253</v>
      </c>
      <c r="CT168" s="104">
        <v>421</v>
      </c>
      <c r="CU168" s="104">
        <v>589</v>
      </c>
      <c r="CV168" s="106">
        <v>841</v>
      </c>
      <c r="CW168" s="606">
        <f t="shared" si="72"/>
        <v>4.2352941176470589</v>
      </c>
      <c r="CX168" s="604" t="s">
        <v>603</v>
      </c>
    </row>
    <row r="169" spans="1:102">
      <c r="A169" s="472"/>
      <c r="B169" s="100" t="s">
        <v>235</v>
      </c>
      <c r="C169" s="528" t="s">
        <v>186</v>
      </c>
      <c r="D169" s="134"/>
      <c r="E169" s="127" t="s">
        <v>43</v>
      </c>
      <c r="F169" s="101" t="s">
        <v>43</v>
      </c>
      <c r="G169" s="102"/>
      <c r="H169" s="529">
        <v>1</v>
      </c>
      <c r="I169" s="530" t="s">
        <v>186</v>
      </c>
      <c r="J169" s="145">
        <v>2</v>
      </c>
      <c r="K169" s="532">
        <v>0.05</v>
      </c>
      <c r="L169" s="555">
        <f t="shared" ref="L169:L180" si="73">IF(ISBLANK(Q169),"",Q169/R169)</f>
        <v>2</v>
      </c>
      <c r="M169" s="162">
        <v>1</v>
      </c>
      <c r="N169" s="174">
        <v>8008</v>
      </c>
      <c r="O169" s="592">
        <v>42364</v>
      </c>
      <c r="P169" s="175" t="s">
        <v>206</v>
      </c>
      <c r="Q169" s="172">
        <v>200</v>
      </c>
      <c r="R169" s="103">
        <v>100</v>
      </c>
      <c r="S169" s="211">
        <v>2000</v>
      </c>
      <c r="T169" s="268" t="s">
        <v>542</v>
      </c>
      <c r="U169" s="554" t="s">
        <v>578</v>
      </c>
      <c r="V169" s="536">
        <v>67</v>
      </c>
      <c r="W169" s="537">
        <v>34</v>
      </c>
      <c r="X169" s="535">
        <v>5</v>
      </c>
      <c r="Y169" s="552">
        <f t="shared" si="62"/>
        <v>335</v>
      </c>
      <c r="Z169" s="553">
        <f t="shared" si="63"/>
        <v>670</v>
      </c>
      <c r="AA169" s="107">
        <v>3</v>
      </c>
      <c r="AB169" s="104">
        <v>0</v>
      </c>
      <c r="AC169" s="104">
        <v>0</v>
      </c>
      <c r="AD169" s="104">
        <v>0</v>
      </c>
      <c r="AE169" s="104">
        <v>0</v>
      </c>
      <c r="AF169" s="538">
        <v>168</v>
      </c>
      <c r="AG169" s="536">
        <v>84</v>
      </c>
      <c r="AH169" s="537">
        <v>42</v>
      </c>
      <c r="AI169" s="535">
        <v>5</v>
      </c>
      <c r="AJ169" s="552">
        <f t="shared" si="64"/>
        <v>420</v>
      </c>
      <c r="AK169" s="553">
        <f t="shared" si="65"/>
        <v>840</v>
      </c>
      <c r="AL169" s="107">
        <v>12</v>
      </c>
      <c r="AM169" s="106">
        <v>10</v>
      </c>
      <c r="AN169" s="104">
        <v>0</v>
      </c>
      <c r="AO169" s="104">
        <v>0</v>
      </c>
      <c r="AP169" s="104">
        <v>0</v>
      </c>
      <c r="AQ169" s="539">
        <v>630</v>
      </c>
      <c r="AR169" s="536">
        <v>100</v>
      </c>
      <c r="AS169" s="537">
        <v>50</v>
      </c>
      <c r="AT169" s="535">
        <v>5</v>
      </c>
      <c r="AU169" s="552">
        <f t="shared" si="66"/>
        <v>500</v>
      </c>
      <c r="AV169" s="553">
        <f t="shared" si="67"/>
        <v>1000</v>
      </c>
      <c r="AW169" s="107">
        <v>18</v>
      </c>
      <c r="AX169" s="106">
        <v>20</v>
      </c>
      <c r="AY169" s="104">
        <v>0</v>
      </c>
      <c r="AZ169" s="104">
        <v>0</v>
      </c>
      <c r="BA169" s="104">
        <v>0</v>
      </c>
      <c r="BB169" s="539">
        <v>1400</v>
      </c>
      <c r="BC169" s="536">
        <v>134</v>
      </c>
      <c r="BD169" s="537">
        <v>67</v>
      </c>
      <c r="BE169" s="535">
        <v>5</v>
      </c>
      <c r="BF169" s="552">
        <f t="shared" si="68"/>
        <v>670</v>
      </c>
      <c r="BG169" s="553">
        <f t="shared" si="69"/>
        <v>1340</v>
      </c>
      <c r="BH169" s="107">
        <f>1*24+3</f>
        <v>27</v>
      </c>
      <c r="BI169" s="106">
        <v>30</v>
      </c>
      <c r="BJ169" s="104">
        <v>0</v>
      </c>
      <c r="BK169" s="104">
        <v>0</v>
      </c>
      <c r="BL169" s="104">
        <v>0</v>
      </c>
      <c r="BM169" s="539">
        <v>2814</v>
      </c>
      <c r="BN169" s="533">
        <v>200</v>
      </c>
      <c r="BO169" s="534">
        <v>100</v>
      </c>
      <c r="BP169" s="535">
        <v>5</v>
      </c>
      <c r="BQ169" s="550">
        <f t="shared" si="70"/>
        <v>1000</v>
      </c>
      <c r="BR169" s="551">
        <f t="shared" si="71"/>
        <v>2000</v>
      </c>
      <c r="BS169" s="107">
        <f>1*24+12</f>
        <v>36</v>
      </c>
      <c r="BT169" s="106">
        <v>40</v>
      </c>
      <c r="BU169" s="104">
        <v>0</v>
      </c>
      <c r="BV169" s="104">
        <v>0</v>
      </c>
      <c r="BW169" s="104">
        <v>0</v>
      </c>
      <c r="BX169" s="539">
        <v>5400</v>
      </c>
      <c r="BY169" s="108">
        <v>0</v>
      </c>
      <c r="BZ169" s="549" t="s">
        <v>43</v>
      </c>
      <c r="CA169" s="540">
        <v>111</v>
      </c>
      <c r="CB169" s="541">
        <v>333</v>
      </c>
      <c r="CC169" s="542"/>
      <c r="CD169" s="542"/>
      <c r="CE169" s="542"/>
      <c r="CF169" s="542"/>
      <c r="CG169" s="542"/>
      <c r="CH169" s="542"/>
      <c r="CI169" s="542"/>
      <c r="CJ169" s="542"/>
      <c r="CK169" s="542"/>
      <c r="CL169" s="543"/>
      <c r="CM169" s="547" t="s">
        <v>587</v>
      </c>
      <c r="CN169" s="544"/>
      <c r="CO169" s="545"/>
      <c r="CP169" s="545"/>
      <c r="CQ169" s="546"/>
      <c r="CR169" s="602">
        <v>60</v>
      </c>
      <c r="CS169" s="104">
        <v>240</v>
      </c>
      <c r="CT169" s="104">
        <v>360</v>
      </c>
      <c r="CU169" s="104">
        <v>540</v>
      </c>
      <c r="CV169" s="106">
        <v>720</v>
      </c>
      <c r="CW169" s="606">
        <f t="shared" si="72"/>
        <v>3</v>
      </c>
      <c r="CX169" s="604" t="s">
        <v>605</v>
      </c>
    </row>
    <row r="170" spans="1:102">
      <c r="A170" s="472"/>
      <c r="B170" s="100" t="s">
        <v>236</v>
      </c>
      <c r="C170" s="528" t="s">
        <v>186</v>
      </c>
      <c r="D170" s="134"/>
      <c r="E170" s="127" t="s">
        <v>43</v>
      </c>
      <c r="F170" s="101" t="s">
        <v>43</v>
      </c>
      <c r="G170" s="102"/>
      <c r="H170" s="529">
        <v>2</v>
      </c>
      <c r="I170" s="530" t="s">
        <v>186</v>
      </c>
      <c r="J170" s="145">
        <v>2</v>
      </c>
      <c r="K170" s="532">
        <v>0.05</v>
      </c>
      <c r="L170" s="555">
        <f t="shared" si="73"/>
        <v>2</v>
      </c>
      <c r="M170" s="162">
        <v>1</v>
      </c>
      <c r="N170" s="174">
        <v>8009</v>
      </c>
      <c r="O170" s="592">
        <v>42364</v>
      </c>
      <c r="P170" s="175" t="s">
        <v>206</v>
      </c>
      <c r="Q170" s="172">
        <v>200</v>
      </c>
      <c r="R170" s="103">
        <v>100</v>
      </c>
      <c r="S170" s="211">
        <v>2000</v>
      </c>
      <c r="T170" s="268" t="s">
        <v>554</v>
      </c>
      <c r="U170" s="554" t="s">
        <v>578</v>
      </c>
      <c r="V170" s="536">
        <v>67</v>
      </c>
      <c r="W170" s="537">
        <v>34</v>
      </c>
      <c r="X170" s="535">
        <v>5</v>
      </c>
      <c r="Y170" s="552">
        <f t="shared" si="62"/>
        <v>335</v>
      </c>
      <c r="Z170" s="553">
        <f t="shared" si="63"/>
        <v>670</v>
      </c>
      <c r="AA170" s="107">
        <v>3</v>
      </c>
      <c r="AB170" s="104">
        <v>0</v>
      </c>
      <c r="AC170" s="104">
        <v>0</v>
      </c>
      <c r="AD170" s="104">
        <v>0</v>
      </c>
      <c r="AE170" s="104">
        <v>0</v>
      </c>
      <c r="AF170" s="538">
        <v>168</v>
      </c>
      <c r="AG170" s="536">
        <v>84</v>
      </c>
      <c r="AH170" s="537">
        <v>42</v>
      </c>
      <c r="AI170" s="535">
        <v>5</v>
      </c>
      <c r="AJ170" s="552">
        <f t="shared" si="64"/>
        <v>420</v>
      </c>
      <c r="AK170" s="553">
        <f t="shared" si="65"/>
        <v>840</v>
      </c>
      <c r="AL170" s="107">
        <v>12</v>
      </c>
      <c r="AM170" s="106">
        <v>10</v>
      </c>
      <c r="AN170" s="104">
        <v>0</v>
      </c>
      <c r="AO170" s="104">
        <v>0</v>
      </c>
      <c r="AP170" s="104">
        <v>0</v>
      </c>
      <c r="AQ170" s="539">
        <v>630</v>
      </c>
      <c r="AR170" s="536">
        <v>100</v>
      </c>
      <c r="AS170" s="537">
        <v>50</v>
      </c>
      <c r="AT170" s="535">
        <v>5</v>
      </c>
      <c r="AU170" s="552">
        <f t="shared" si="66"/>
        <v>500</v>
      </c>
      <c r="AV170" s="553">
        <f t="shared" si="67"/>
        <v>1000</v>
      </c>
      <c r="AW170" s="107">
        <v>18</v>
      </c>
      <c r="AX170" s="106">
        <v>20</v>
      </c>
      <c r="AY170" s="104">
        <v>0</v>
      </c>
      <c r="AZ170" s="104">
        <v>0</v>
      </c>
      <c r="BA170" s="104">
        <v>0</v>
      </c>
      <c r="BB170" s="539">
        <v>1400</v>
      </c>
      <c r="BC170" s="536">
        <v>134</v>
      </c>
      <c r="BD170" s="537">
        <v>67</v>
      </c>
      <c r="BE170" s="535">
        <v>5</v>
      </c>
      <c r="BF170" s="552">
        <f t="shared" si="68"/>
        <v>670</v>
      </c>
      <c r="BG170" s="553">
        <f t="shared" si="69"/>
        <v>1340</v>
      </c>
      <c r="BH170" s="107">
        <f>1*24+3</f>
        <v>27</v>
      </c>
      <c r="BI170" s="106">
        <v>30</v>
      </c>
      <c r="BJ170" s="104">
        <v>0</v>
      </c>
      <c r="BK170" s="104">
        <v>0</v>
      </c>
      <c r="BL170" s="104">
        <v>0</v>
      </c>
      <c r="BM170" s="539">
        <v>2814</v>
      </c>
      <c r="BN170" s="533">
        <v>200</v>
      </c>
      <c r="BO170" s="534">
        <v>100</v>
      </c>
      <c r="BP170" s="535">
        <v>5</v>
      </c>
      <c r="BQ170" s="550">
        <f t="shared" si="70"/>
        <v>1000</v>
      </c>
      <c r="BR170" s="551">
        <f t="shared" si="71"/>
        <v>2000</v>
      </c>
      <c r="BS170" s="107">
        <f>1*24+12</f>
        <v>36</v>
      </c>
      <c r="BT170" s="106">
        <v>40</v>
      </c>
      <c r="BU170" s="104">
        <v>0</v>
      </c>
      <c r="BV170" s="104">
        <v>0</v>
      </c>
      <c r="BW170" s="104">
        <v>0</v>
      </c>
      <c r="BX170" s="539">
        <v>5400</v>
      </c>
      <c r="BY170" s="108">
        <v>0</v>
      </c>
      <c r="BZ170" s="549" t="s">
        <v>43</v>
      </c>
      <c r="CA170" s="540">
        <v>250</v>
      </c>
      <c r="CB170" s="541">
        <v>777</v>
      </c>
      <c r="CC170" s="542"/>
      <c r="CD170" s="542"/>
      <c r="CE170" s="542"/>
      <c r="CF170" s="542"/>
      <c r="CG170" s="542"/>
      <c r="CH170" s="542"/>
      <c r="CI170" s="542"/>
      <c r="CJ170" s="542"/>
      <c r="CK170" s="542"/>
      <c r="CL170" s="543"/>
      <c r="CM170" s="547" t="s">
        <v>587</v>
      </c>
      <c r="CN170" s="544"/>
      <c r="CO170" s="545"/>
      <c r="CP170" s="545"/>
      <c r="CQ170" s="546"/>
      <c r="CR170" s="602">
        <v>120</v>
      </c>
      <c r="CS170" s="104">
        <v>480</v>
      </c>
      <c r="CT170" s="104">
        <v>720</v>
      </c>
      <c r="CU170" s="104">
        <v>1080</v>
      </c>
      <c r="CV170" s="106">
        <v>1440</v>
      </c>
      <c r="CW170" s="606">
        <f t="shared" si="72"/>
        <v>1.5</v>
      </c>
      <c r="CX170" s="604" t="s">
        <v>607</v>
      </c>
    </row>
    <row r="171" spans="1:102">
      <c r="A171" s="472"/>
      <c r="B171" s="100" t="s">
        <v>249</v>
      </c>
      <c r="C171" s="528" t="s">
        <v>186</v>
      </c>
      <c r="D171" s="134"/>
      <c r="E171" s="127" t="s">
        <v>43</v>
      </c>
      <c r="F171" s="101" t="s">
        <v>43</v>
      </c>
      <c r="G171" s="102"/>
      <c r="H171" s="529">
        <v>1</v>
      </c>
      <c r="I171" s="530" t="s">
        <v>186</v>
      </c>
      <c r="J171" s="145">
        <v>2</v>
      </c>
      <c r="K171" s="532">
        <v>0.05</v>
      </c>
      <c r="L171" s="555">
        <f t="shared" si="73"/>
        <v>2</v>
      </c>
      <c r="M171" s="162">
        <v>1</v>
      </c>
      <c r="N171" s="174">
        <v>8010</v>
      </c>
      <c r="O171" s="592">
        <v>42370</v>
      </c>
      <c r="P171" s="175" t="s">
        <v>206</v>
      </c>
      <c r="Q171" s="172">
        <v>200</v>
      </c>
      <c r="R171" s="103">
        <v>100</v>
      </c>
      <c r="S171" s="211">
        <v>2000</v>
      </c>
      <c r="T171" s="268" t="s">
        <v>544</v>
      </c>
      <c r="U171" s="554" t="s">
        <v>580</v>
      </c>
      <c r="V171" s="536">
        <v>67</v>
      </c>
      <c r="W171" s="537">
        <v>34</v>
      </c>
      <c r="X171" s="535">
        <v>5</v>
      </c>
      <c r="Y171" s="552">
        <f t="shared" si="62"/>
        <v>335</v>
      </c>
      <c r="Z171" s="553">
        <f t="shared" si="63"/>
        <v>670</v>
      </c>
      <c r="AA171" s="107">
        <v>4</v>
      </c>
      <c r="AB171" s="104">
        <v>0</v>
      </c>
      <c r="AC171" s="104">
        <v>0</v>
      </c>
      <c r="AD171" s="104">
        <v>0</v>
      </c>
      <c r="AE171" s="104">
        <v>0</v>
      </c>
      <c r="AF171" s="538">
        <v>168</v>
      </c>
      <c r="AG171" s="536">
        <v>84</v>
      </c>
      <c r="AH171" s="537">
        <v>42</v>
      </c>
      <c r="AI171" s="535">
        <v>5</v>
      </c>
      <c r="AJ171" s="552">
        <f t="shared" si="64"/>
        <v>420</v>
      </c>
      <c r="AK171" s="553">
        <f t="shared" si="65"/>
        <v>840</v>
      </c>
      <c r="AL171" s="107">
        <v>20</v>
      </c>
      <c r="AM171" s="106">
        <v>10</v>
      </c>
      <c r="AN171" s="104">
        <v>0</v>
      </c>
      <c r="AO171" s="104">
        <v>0</v>
      </c>
      <c r="AP171" s="104">
        <v>0</v>
      </c>
      <c r="AQ171" s="539">
        <v>630</v>
      </c>
      <c r="AR171" s="536">
        <v>100</v>
      </c>
      <c r="AS171" s="537">
        <v>50</v>
      </c>
      <c r="AT171" s="535">
        <v>5</v>
      </c>
      <c r="AU171" s="552">
        <f t="shared" si="66"/>
        <v>500</v>
      </c>
      <c r="AV171" s="553">
        <f t="shared" si="67"/>
        <v>1000</v>
      </c>
      <c r="AW171" s="107">
        <f>1*24+10</f>
        <v>34</v>
      </c>
      <c r="AX171" s="106">
        <v>20</v>
      </c>
      <c r="AY171" s="104">
        <v>0</v>
      </c>
      <c r="AZ171" s="104">
        <v>0</v>
      </c>
      <c r="BA171" s="104">
        <v>0</v>
      </c>
      <c r="BB171" s="539">
        <v>1400</v>
      </c>
      <c r="BC171" s="536">
        <v>134</v>
      </c>
      <c r="BD171" s="537">
        <v>67</v>
      </c>
      <c r="BE171" s="535">
        <v>5</v>
      </c>
      <c r="BF171" s="552">
        <f t="shared" si="68"/>
        <v>670</v>
      </c>
      <c r="BG171" s="553">
        <f t="shared" si="69"/>
        <v>1340</v>
      </c>
      <c r="BH171" s="107">
        <f>2*24</f>
        <v>48</v>
      </c>
      <c r="BI171" s="106">
        <v>30</v>
      </c>
      <c r="BJ171" s="104">
        <v>0</v>
      </c>
      <c r="BK171" s="104">
        <v>0</v>
      </c>
      <c r="BL171" s="104">
        <v>0</v>
      </c>
      <c r="BM171" s="539">
        <v>2814</v>
      </c>
      <c r="BN171" s="533">
        <v>200</v>
      </c>
      <c r="BO171" s="534">
        <v>100</v>
      </c>
      <c r="BP171" s="535">
        <v>5</v>
      </c>
      <c r="BQ171" s="550">
        <f t="shared" si="70"/>
        <v>1000</v>
      </c>
      <c r="BR171" s="551">
        <f t="shared" si="71"/>
        <v>2000</v>
      </c>
      <c r="BS171" s="107">
        <f>2*24+14</f>
        <v>62</v>
      </c>
      <c r="BT171" s="106">
        <v>40</v>
      </c>
      <c r="BU171" s="104">
        <v>0</v>
      </c>
      <c r="BV171" s="104">
        <v>0</v>
      </c>
      <c r="BW171" s="104">
        <v>0</v>
      </c>
      <c r="BX171" s="539">
        <v>5400</v>
      </c>
      <c r="BY171" s="108">
        <v>0</v>
      </c>
      <c r="BZ171" s="549" t="s">
        <v>43</v>
      </c>
      <c r="CA171" s="540">
        <v>111</v>
      </c>
      <c r="CB171" s="541">
        <v>333</v>
      </c>
      <c r="CC171" s="542"/>
      <c r="CD171" s="542"/>
      <c r="CE171" s="542"/>
      <c r="CF171" s="542"/>
      <c r="CG171" s="542"/>
      <c r="CH171" s="542"/>
      <c r="CI171" s="542"/>
      <c r="CJ171" s="542"/>
      <c r="CK171" s="542"/>
      <c r="CL171" s="543"/>
      <c r="CM171" s="547" t="s">
        <v>587</v>
      </c>
      <c r="CN171" s="544"/>
      <c r="CO171" s="545"/>
      <c r="CP171" s="545"/>
      <c r="CQ171" s="546"/>
      <c r="CR171" s="602">
        <v>80</v>
      </c>
      <c r="CS171" s="104">
        <v>400</v>
      </c>
      <c r="CT171" s="104">
        <v>680</v>
      </c>
      <c r="CU171" s="104">
        <v>960</v>
      </c>
      <c r="CV171" s="106">
        <v>1240</v>
      </c>
      <c r="CW171" s="606">
        <f t="shared" si="72"/>
        <v>3</v>
      </c>
      <c r="CX171" s="604" t="s">
        <v>609</v>
      </c>
    </row>
    <row r="172" spans="1:102">
      <c r="A172" s="472"/>
      <c r="B172" s="100" t="s">
        <v>248</v>
      </c>
      <c r="C172" s="528" t="s">
        <v>186</v>
      </c>
      <c r="D172" s="134"/>
      <c r="E172" s="127" t="s">
        <v>43</v>
      </c>
      <c r="F172" s="101" t="s">
        <v>43</v>
      </c>
      <c r="G172" s="102"/>
      <c r="H172" s="529">
        <v>2</v>
      </c>
      <c r="I172" s="530" t="s">
        <v>186</v>
      </c>
      <c r="J172" s="145">
        <v>2</v>
      </c>
      <c r="K172" s="532">
        <v>0.05</v>
      </c>
      <c r="L172" s="555">
        <f t="shared" si="73"/>
        <v>2</v>
      </c>
      <c r="M172" s="162">
        <v>1</v>
      </c>
      <c r="N172" s="174">
        <v>8011</v>
      </c>
      <c r="O172" s="592">
        <v>42370</v>
      </c>
      <c r="P172" s="175" t="s">
        <v>206</v>
      </c>
      <c r="Q172" s="172">
        <v>200</v>
      </c>
      <c r="R172" s="103">
        <v>100</v>
      </c>
      <c r="S172" s="211">
        <v>2000</v>
      </c>
      <c r="T172" s="268" t="s">
        <v>556</v>
      </c>
      <c r="U172" s="554" t="s">
        <v>580</v>
      </c>
      <c r="V172" s="536">
        <v>67</v>
      </c>
      <c r="W172" s="537">
        <v>34</v>
      </c>
      <c r="X172" s="535">
        <v>5</v>
      </c>
      <c r="Y172" s="552">
        <f t="shared" si="62"/>
        <v>335</v>
      </c>
      <c r="Z172" s="553">
        <f t="shared" si="63"/>
        <v>670</v>
      </c>
      <c r="AA172" s="107">
        <v>4</v>
      </c>
      <c r="AB172" s="104">
        <v>0</v>
      </c>
      <c r="AC172" s="104">
        <v>0</v>
      </c>
      <c r="AD172" s="104">
        <v>0</v>
      </c>
      <c r="AE172" s="104">
        <v>0</v>
      </c>
      <c r="AF172" s="538">
        <v>168</v>
      </c>
      <c r="AG172" s="536">
        <v>84</v>
      </c>
      <c r="AH172" s="537">
        <v>42</v>
      </c>
      <c r="AI172" s="535">
        <v>5</v>
      </c>
      <c r="AJ172" s="552">
        <f t="shared" si="64"/>
        <v>420</v>
      </c>
      <c r="AK172" s="553">
        <f t="shared" si="65"/>
        <v>840</v>
      </c>
      <c r="AL172" s="107">
        <v>20</v>
      </c>
      <c r="AM172" s="106">
        <v>10</v>
      </c>
      <c r="AN172" s="104">
        <v>0</v>
      </c>
      <c r="AO172" s="104">
        <v>0</v>
      </c>
      <c r="AP172" s="104">
        <v>0</v>
      </c>
      <c r="AQ172" s="539">
        <v>630</v>
      </c>
      <c r="AR172" s="536">
        <v>100</v>
      </c>
      <c r="AS172" s="537">
        <v>50</v>
      </c>
      <c r="AT172" s="535">
        <v>5</v>
      </c>
      <c r="AU172" s="552">
        <f t="shared" si="66"/>
        <v>500</v>
      </c>
      <c r="AV172" s="553">
        <f t="shared" si="67"/>
        <v>1000</v>
      </c>
      <c r="AW172" s="107">
        <f>1*24+10</f>
        <v>34</v>
      </c>
      <c r="AX172" s="106">
        <v>20</v>
      </c>
      <c r="AY172" s="104">
        <v>0</v>
      </c>
      <c r="AZ172" s="104">
        <v>0</v>
      </c>
      <c r="BA172" s="104">
        <v>0</v>
      </c>
      <c r="BB172" s="539">
        <v>1400</v>
      </c>
      <c r="BC172" s="536">
        <v>134</v>
      </c>
      <c r="BD172" s="537">
        <v>67</v>
      </c>
      <c r="BE172" s="535">
        <v>5</v>
      </c>
      <c r="BF172" s="552">
        <f t="shared" si="68"/>
        <v>670</v>
      </c>
      <c r="BG172" s="553">
        <f t="shared" si="69"/>
        <v>1340</v>
      </c>
      <c r="BH172" s="107">
        <f>2*24</f>
        <v>48</v>
      </c>
      <c r="BI172" s="106">
        <v>30</v>
      </c>
      <c r="BJ172" s="104">
        <v>0</v>
      </c>
      <c r="BK172" s="104">
        <v>0</v>
      </c>
      <c r="BL172" s="104">
        <v>0</v>
      </c>
      <c r="BM172" s="539">
        <v>2814</v>
      </c>
      <c r="BN172" s="533">
        <v>200</v>
      </c>
      <c r="BO172" s="534">
        <v>100</v>
      </c>
      <c r="BP172" s="535">
        <v>5</v>
      </c>
      <c r="BQ172" s="550">
        <f t="shared" si="70"/>
        <v>1000</v>
      </c>
      <c r="BR172" s="551">
        <f t="shared" si="71"/>
        <v>2000</v>
      </c>
      <c r="BS172" s="107">
        <f>2*24+14</f>
        <v>62</v>
      </c>
      <c r="BT172" s="106">
        <v>40</v>
      </c>
      <c r="BU172" s="104">
        <v>0</v>
      </c>
      <c r="BV172" s="104">
        <v>0</v>
      </c>
      <c r="BW172" s="104">
        <v>0</v>
      </c>
      <c r="BX172" s="539">
        <v>5400</v>
      </c>
      <c r="BY172" s="108">
        <v>0</v>
      </c>
      <c r="BZ172" s="549" t="s">
        <v>43</v>
      </c>
      <c r="CA172" s="540">
        <v>250</v>
      </c>
      <c r="CB172" s="541">
        <v>777</v>
      </c>
      <c r="CC172" s="542"/>
      <c r="CD172" s="542"/>
      <c r="CE172" s="542"/>
      <c r="CF172" s="542"/>
      <c r="CG172" s="542"/>
      <c r="CH172" s="542"/>
      <c r="CI172" s="542"/>
      <c r="CJ172" s="542"/>
      <c r="CK172" s="542"/>
      <c r="CL172" s="543"/>
      <c r="CM172" s="547" t="s">
        <v>587</v>
      </c>
      <c r="CN172" s="544"/>
      <c r="CO172" s="545"/>
      <c r="CP172" s="545"/>
      <c r="CQ172" s="546"/>
      <c r="CR172" s="602">
        <v>160</v>
      </c>
      <c r="CS172" s="104">
        <v>800</v>
      </c>
      <c r="CT172" s="104">
        <v>1360</v>
      </c>
      <c r="CU172" s="104">
        <v>1920</v>
      </c>
      <c r="CV172" s="106">
        <v>2480</v>
      </c>
      <c r="CW172" s="606">
        <f t="shared" si="72"/>
        <v>1.5</v>
      </c>
      <c r="CX172" s="604" t="s">
        <v>611</v>
      </c>
    </row>
    <row r="173" spans="1:102">
      <c r="A173" s="472"/>
      <c r="B173" s="100" t="s">
        <v>264</v>
      </c>
      <c r="C173" s="528" t="s">
        <v>186</v>
      </c>
      <c r="D173" s="134"/>
      <c r="E173" s="127" t="s">
        <v>43</v>
      </c>
      <c r="F173" s="101" t="s">
        <v>43</v>
      </c>
      <c r="G173" s="102"/>
      <c r="H173" s="529">
        <v>1</v>
      </c>
      <c r="I173" s="530" t="s">
        <v>186</v>
      </c>
      <c r="J173" s="145">
        <v>2</v>
      </c>
      <c r="K173" s="532">
        <v>0.05</v>
      </c>
      <c r="L173" s="555">
        <f t="shared" si="73"/>
        <v>2</v>
      </c>
      <c r="M173" s="162">
        <v>1</v>
      </c>
      <c r="N173" s="174">
        <v>8012</v>
      </c>
      <c r="O173" s="592">
        <v>42385</v>
      </c>
      <c r="P173" s="175" t="s">
        <v>206</v>
      </c>
      <c r="Q173" s="172">
        <v>200</v>
      </c>
      <c r="R173" s="103">
        <v>100</v>
      </c>
      <c r="S173" s="211">
        <v>2000</v>
      </c>
      <c r="T173" s="268" t="s">
        <v>546</v>
      </c>
      <c r="U173" s="554" t="s">
        <v>582</v>
      </c>
      <c r="V173" s="536">
        <v>67</v>
      </c>
      <c r="W173" s="537">
        <v>34</v>
      </c>
      <c r="X173" s="535">
        <v>5</v>
      </c>
      <c r="Y173" s="552">
        <f t="shared" si="62"/>
        <v>335</v>
      </c>
      <c r="Z173" s="553">
        <f t="shared" si="63"/>
        <v>670</v>
      </c>
      <c r="AA173" s="107">
        <v>6</v>
      </c>
      <c r="AB173" s="104">
        <v>0</v>
      </c>
      <c r="AC173" s="104">
        <v>0</v>
      </c>
      <c r="AD173" s="104">
        <v>0</v>
      </c>
      <c r="AE173" s="104">
        <v>0</v>
      </c>
      <c r="AF173" s="538">
        <v>101</v>
      </c>
      <c r="AG173" s="536">
        <v>84</v>
      </c>
      <c r="AH173" s="537">
        <v>42</v>
      </c>
      <c r="AI173" s="535">
        <v>5</v>
      </c>
      <c r="AJ173" s="552">
        <f t="shared" si="64"/>
        <v>420</v>
      </c>
      <c r="AK173" s="553">
        <f t="shared" si="65"/>
        <v>840</v>
      </c>
      <c r="AL173" s="107">
        <v>20</v>
      </c>
      <c r="AM173" s="106">
        <v>10</v>
      </c>
      <c r="AN173" s="104">
        <v>0</v>
      </c>
      <c r="AO173" s="104">
        <v>0</v>
      </c>
      <c r="AP173" s="104">
        <v>0</v>
      </c>
      <c r="AQ173" s="539">
        <v>420</v>
      </c>
      <c r="AR173" s="536">
        <v>100</v>
      </c>
      <c r="AS173" s="537">
        <v>50</v>
      </c>
      <c r="AT173" s="535">
        <v>5</v>
      </c>
      <c r="AU173" s="552">
        <f t="shared" si="66"/>
        <v>500</v>
      </c>
      <c r="AV173" s="553">
        <f t="shared" si="67"/>
        <v>1000</v>
      </c>
      <c r="AW173" s="107">
        <f>1*24+10</f>
        <v>34</v>
      </c>
      <c r="AX173" s="106">
        <v>20</v>
      </c>
      <c r="AY173" s="104">
        <v>0</v>
      </c>
      <c r="AZ173" s="104">
        <v>0</v>
      </c>
      <c r="BA173" s="104">
        <v>0</v>
      </c>
      <c r="BB173" s="539">
        <v>850</v>
      </c>
      <c r="BC173" s="536">
        <v>134</v>
      </c>
      <c r="BD173" s="537">
        <v>67</v>
      </c>
      <c r="BE173" s="535">
        <v>5</v>
      </c>
      <c r="BF173" s="552">
        <f t="shared" si="68"/>
        <v>670</v>
      </c>
      <c r="BG173" s="553">
        <f t="shared" si="69"/>
        <v>1340</v>
      </c>
      <c r="BH173" s="107">
        <f>2*24</f>
        <v>48</v>
      </c>
      <c r="BI173" s="106">
        <v>30</v>
      </c>
      <c r="BJ173" s="104">
        <v>0</v>
      </c>
      <c r="BK173" s="104">
        <v>0</v>
      </c>
      <c r="BL173" s="104">
        <v>0</v>
      </c>
      <c r="BM173" s="539">
        <v>1608</v>
      </c>
      <c r="BN173" s="533">
        <v>200</v>
      </c>
      <c r="BO173" s="534">
        <v>100</v>
      </c>
      <c r="BP173" s="535">
        <v>5</v>
      </c>
      <c r="BQ173" s="550">
        <f t="shared" si="70"/>
        <v>1000</v>
      </c>
      <c r="BR173" s="551">
        <f t="shared" si="71"/>
        <v>2000</v>
      </c>
      <c r="BS173" s="107">
        <f>2*24+12</f>
        <v>60</v>
      </c>
      <c r="BT173" s="106">
        <v>40</v>
      </c>
      <c r="BU173" s="104">
        <v>0</v>
      </c>
      <c r="BV173" s="104">
        <v>0</v>
      </c>
      <c r="BW173" s="104">
        <v>0</v>
      </c>
      <c r="BX173" s="539">
        <v>3000</v>
      </c>
      <c r="BY173" s="108">
        <v>0</v>
      </c>
      <c r="BZ173" s="549" t="s">
        <v>43</v>
      </c>
      <c r="CA173" s="540">
        <v>111</v>
      </c>
      <c r="CB173" s="541">
        <v>333</v>
      </c>
      <c r="CC173" s="542"/>
      <c r="CD173" s="542"/>
      <c r="CE173" s="542"/>
      <c r="CF173" s="542"/>
      <c r="CG173" s="542"/>
      <c r="CH173" s="542"/>
      <c r="CI173" s="542"/>
      <c r="CJ173" s="542"/>
      <c r="CK173" s="542"/>
      <c r="CL173" s="543"/>
      <c r="CM173" s="547" t="s">
        <v>587</v>
      </c>
      <c r="CN173" s="544"/>
      <c r="CO173" s="545"/>
      <c r="CP173" s="545"/>
      <c r="CQ173" s="546"/>
      <c r="CR173" s="602">
        <v>90</v>
      </c>
      <c r="CS173" s="104">
        <v>300</v>
      </c>
      <c r="CT173" s="104">
        <v>510</v>
      </c>
      <c r="CU173" s="104">
        <v>720</v>
      </c>
      <c r="CV173" s="106">
        <v>900</v>
      </c>
      <c r="CW173" s="606">
        <f t="shared" si="72"/>
        <v>4</v>
      </c>
      <c r="CX173" s="604" t="s">
        <v>613</v>
      </c>
    </row>
    <row r="174" spans="1:102">
      <c r="A174" s="472"/>
      <c r="B174" s="100" t="s">
        <v>265</v>
      </c>
      <c r="C174" s="528" t="s">
        <v>186</v>
      </c>
      <c r="D174" s="134"/>
      <c r="E174" s="127" t="s">
        <v>43</v>
      </c>
      <c r="F174" s="101" t="s">
        <v>43</v>
      </c>
      <c r="G174" s="102"/>
      <c r="H174" s="529">
        <v>2</v>
      </c>
      <c r="I174" s="530" t="s">
        <v>186</v>
      </c>
      <c r="J174" s="145">
        <v>2</v>
      </c>
      <c r="K174" s="532">
        <v>0.05</v>
      </c>
      <c r="L174" s="555">
        <f t="shared" si="73"/>
        <v>2</v>
      </c>
      <c r="M174" s="162">
        <v>1</v>
      </c>
      <c r="N174" s="174">
        <v>8013</v>
      </c>
      <c r="O174" s="592">
        <v>42385</v>
      </c>
      <c r="P174" s="175" t="s">
        <v>206</v>
      </c>
      <c r="Q174" s="172">
        <v>200</v>
      </c>
      <c r="R174" s="103">
        <v>100</v>
      </c>
      <c r="S174" s="211">
        <v>2000</v>
      </c>
      <c r="T174" s="268" t="s">
        <v>558</v>
      </c>
      <c r="U174" s="554" t="s">
        <v>582</v>
      </c>
      <c r="V174" s="536">
        <v>67</v>
      </c>
      <c r="W174" s="537">
        <v>34</v>
      </c>
      <c r="X174" s="535">
        <v>5</v>
      </c>
      <c r="Y174" s="552">
        <f t="shared" si="62"/>
        <v>335</v>
      </c>
      <c r="Z174" s="553">
        <f t="shared" si="63"/>
        <v>670</v>
      </c>
      <c r="AA174" s="107">
        <v>6</v>
      </c>
      <c r="AB174" s="104">
        <v>0</v>
      </c>
      <c r="AC174" s="104">
        <v>0</v>
      </c>
      <c r="AD174" s="104">
        <v>0</v>
      </c>
      <c r="AE174" s="104">
        <v>0</v>
      </c>
      <c r="AF174" s="538">
        <v>101</v>
      </c>
      <c r="AG174" s="536">
        <v>84</v>
      </c>
      <c r="AH174" s="537">
        <v>42</v>
      </c>
      <c r="AI174" s="535">
        <v>5</v>
      </c>
      <c r="AJ174" s="552">
        <f t="shared" si="64"/>
        <v>420</v>
      </c>
      <c r="AK174" s="553">
        <f t="shared" si="65"/>
        <v>840</v>
      </c>
      <c r="AL174" s="107">
        <v>20</v>
      </c>
      <c r="AM174" s="106">
        <v>10</v>
      </c>
      <c r="AN174" s="104">
        <v>0</v>
      </c>
      <c r="AO174" s="104">
        <v>0</v>
      </c>
      <c r="AP174" s="104">
        <v>0</v>
      </c>
      <c r="AQ174" s="539">
        <v>420</v>
      </c>
      <c r="AR174" s="536">
        <v>100</v>
      </c>
      <c r="AS174" s="537">
        <v>50</v>
      </c>
      <c r="AT174" s="535">
        <v>5</v>
      </c>
      <c r="AU174" s="552">
        <f t="shared" si="66"/>
        <v>500</v>
      </c>
      <c r="AV174" s="553">
        <f t="shared" si="67"/>
        <v>1000</v>
      </c>
      <c r="AW174" s="107">
        <f>1*24+10</f>
        <v>34</v>
      </c>
      <c r="AX174" s="106">
        <v>20</v>
      </c>
      <c r="AY174" s="104">
        <v>0</v>
      </c>
      <c r="AZ174" s="104">
        <v>0</v>
      </c>
      <c r="BA174" s="104">
        <v>0</v>
      </c>
      <c r="BB174" s="539">
        <v>850</v>
      </c>
      <c r="BC174" s="536">
        <v>134</v>
      </c>
      <c r="BD174" s="537">
        <v>67</v>
      </c>
      <c r="BE174" s="535">
        <v>5</v>
      </c>
      <c r="BF174" s="552">
        <f t="shared" si="68"/>
        <v>670</v>
      </c>
      <c r="BG174" s="553">
        <f t="shared" si="69"/>
        <v>1340</v>
      </c>
      <c r="BH174" s="107">
        <f>2*24</f>
        <v>48</v>
      </c>
      <c r="BI174" s="106">
        <v>30</v>
      </c>
      <c r="BJ174" s="104">
        <v>0</v>
      </c>
      <c r="BK174" s="104">
        <v>0</v>
      </c>
      <c r="BL174" s="104">
        <v>0</v>
      </c>
      <c r="BM174" s="539">
        <v>1608</v>
      </c>
      <c r="BN174" s="533">
        <v>200</v>
      </c>
      <c r="BO174" s="534">
        <v>100</v>
      </c>
      <c r="BP174" s="535">
        <v>5</v>
      </c>
      <c r="BQ174" s="550">
        <f t="shared" si="70"/>
        <v>1000</v>
      </c>
      <c r="BR174" s="551">
        <f t="shared" si="71"/>
        <v>2000</v>
      </c>
      <c r="BS174" s="107">
        <f>2*24+12</f>
        <v>60</v>
      </c>
      <c r="BT174" s="106">
        <v>40</v>
      </c>
      <c r="BU174" s="104">
        <v>0</v>
      </c>
      <c r="BV174" s="104">
        <v>0</v>
      </c>
      <c r="BW174" s="104">
        <v>0</v>
      </c>
      <c r="BX174" s="539">
        <v>3000</v>
      </c>
      <c r="BY174" s="108">
        <v>0</v>
      </c>
      <c r="BZ174" s="549" t="s">
        <v>43</v>
      </c>
      <c r="CA174" s="540">
        <v>250</v>
      </c>
      <c r="CB174" s="541">
        <v>777</v>
      </c>
      <c r="CC174" s="542"/>
      <c r="CD174" s="542"/>
      <c r="CE174" s="542"/>
      <c r="CF174" s="542"/>
      <c r="CG174" s="542"/>
      <c r="CH174" s="542"/>
      <c r="CI174" s="542"/>
      <c r="CJ174" s="542"/>
      <c r="CK174" s="542"/>
      <c r="CL174" s="543"/>
      <c r="CM174" s="547" t="s">
        <v>587</v>
      </c>
      <c r="CN174" s="544"/>
      <c r="CO174" s="545"/>
      <c r="CP174" s="545"/>
      <c r="CQ174" s="546"/>
      <c r="CR174" s="602">
        <v>180</v>
      </c>
      <c r="CS174" s="104">
        <v>600</v>
      </c>
      <c r="CT174" s="104">
        <v>1020</v>
      </c>
      <c r="CU174" s="104">
        <v>1440</v>
      </c>
      <c r="CV174" s="106">
        <v>1800</v>
      </c>
      <c r="CW174" s="606">
        <f t="shared" si="72"/>
        <v>2</v>
      </c>
      <c r="CX174" s="604" t="s">
        <v>615</v>
      </c>
    </row>
    <row r="175" spans="1:102" s="444" customFormat="1">
      <c r="A175" s="472"/>
      <c r="B175" s="100" t="s">
        <v>529</v>
      </c>
      <c r="C175" s="528" t="s">
        <v>186</v>
      </c>
      <c r="D175" s="134"/>
      <c r="E175" s="127" t="s">
        <v>43</v>
      </c>
      <c r="F175" s="101" t="s">
        <v>43</v>
      </c>
      <c r="G175" s="102"/>
      <c r="H175" s="529">
        <v>1</v>
      </c>
      <c r="I175" s="530" t="s">
        <v>186</v>
      </c>
      <c r="J175" s="145">
        <v>2</v>
      </c>
      <c r="K175" s="532">
        <v>0.05</v>
      </c>
      <c r="L175" s="555">
        <f t="shared" si="73"/>
        <v>2</v>
      </c>
      <c r="M175" s="162">
        <v>1</v>
      </c>
      <c r="N175" s="174">
        <v>8014</v>
      </c>
      <c r="O175" s="592">
        <v>42395</v>
      </c>
      <c r="P175" s="175" t="s">
        <v>206</v>
      </c>
      <c r="Q175" s="172">
        <v>200</v>
      </c>
      <c r="R175" s="103">
        <v>100</v>
      </c>
      <c r="S175" s="211">
        <v>2000</v>
      </c>
      <c r="T175" s="268" t="s">
        <v>548</v>
      </c>
      <c r="U175" s="554" t="s">
        <v>584</v>
      </c>
      <c r="V175" s="536">
        <v>67</v>
      </c>
      <c r="W175" s="537">
        <v>34</v>
      </c>
      <c r="X175" s="535">
        <v>5</v>
      </c>
      <c r="Y175" s="552">
        <f t="shared" ref="Y175:Y180" si="74">IF(ISBLANK(X175), "",INT(V175*X175))</f>
        <v>335</v>
      </c>
      <c r="Z175" s="553">
        <f t="shared" ref="Z175:Z180" si="75">IF(ISBLANK(X175),"",INT(Y175*$J175))</f>
        <v>670</v>
      </c>
      <c r="AA175" s="107">
        <v>3</v>
      </c>
      <c r="AB175" s="104">
        <v>0</v>
      </c>
      <c r="AC175" s="104">
        <v>0</v>
      </c>
      <c r="AD175" s="104">
        <v>0</v>
      </c>
      <c r="AE175" s="104">
        <v>0</v>
      </c>
      <c r="AF175" s="538">
        <v>101</v>
      </c>
      <c r="AG175" s="536">
        <v>84</v>
      </c>
      <c r="AH175" s="537">
        <v>42</v>
      </c>
      <c r="AI175" s="535">
        <v>5</v>
      </c>
      <c r="AJ175" s="552">
        <f t="shared" ref="AJ175:AJ180" si="76">IF(ISBLANK(AI175), "",INT(AG175*AI175))</f>
        <v>420</v>
      </c>
      <c r="AK175" s="553">
        <f t="shared" ref="AK175:AK180" si="77">IF(ISBLANK(AI175),"",INT(AJ175*$J175))</f>
        <v>840</v>
      </c>
      <c r="AL175" s="107">
        <v>12</v>
      </c>
      <c r="AM175" s="106">
        <v>10</v>
      </c>
      <c r="AN175" s="104">
        <v>0</v>
      </c>
      <c r="AO175" s="104">
        <v>0</v>
      </c>
      <c r="AP175" s="104">
        <v>0</v>
      </c>
      <c r="AQ175" s="539">
        <v>420</v>
      </c>
      <c r="AR175" s="536">
        <v>100</v>
      </c>
      <c r="AS175" s="537">
        <v>50</v>
      </c>
      <c r="AT175" s="535">
        <v>5</v>
      </c>
      <c r="AU175" s="552">
        <f t="shared" ref="AU175:AU180" si="78">IF(ISBLANK(AT175), "",INT(AR175*AT175))</f>
        <v>500</v>
      </c>
      <c r="AV175" s="553">
        <f t="shared" ref="AV175:AV180" si="79">IF(ISBLANK(AT175),"",INT(AU175*$J175))</f>
        <v>1000</v>
      </c>
      <c r="AW175" s="107">
        <v>18</v>
      </c>
      <c r="AX175" s="106">
        <v>20</v>
      </c>
      <c r="AY175" s="104">
        <v>0</v>
      </c>
      <c r="AZ175" s="104">
        <v>0</v>
      </c>
      <c r="BA175" s="104">
        <v>0</v>
      </c>
      <c r="BB175" s="539">
        <v>850</v>
      </c>
      <c r="BC175" s="536">
        <v>134</v>
      </c>
      <c r="BD175" s="537">
        <v>67</v>
      </c>
      <c r="BE175" s="535">
        <v>5</v>
      </c>
      <c r="BF175" s="552">
        <f t="shared" ref="BF175:BF180" si="80">IF(ISBLANK(BE175), "",INT(BC175*BE175))</f>
        <v>670</v>
      </c>
      <c r="BG175" s="553">
        <f t="shared" ref="BG175:BG180" si="81">IF(ISBLANK(BE175),"",INT(BF175*$J175))</f>
        <v>1340</v>
      </c>
      <c r="BH175" s="107">
        <f>1*24+3</f>
        <v>27</v>
      </c>
      <c r="BI175" s="106">
        <v>30</v>
      </c>
      <c r="BJ175" s="104">
        <v>0</v>
      </c>
      <c r="BK175" s="104">
        <v>0</v>
      </c>
      <c r="BL175" s="104">
        <v>0</v>
      </c>
      <c r="BM175" s="539">
        <v>1608</v>
      </c>
      <c r="BN175" s="533">
        <v>200</v>
      </c>
      <c r="BO175" s="534">
        <v>100</v>
      </c>
      <c r="BP175" s="535">
        <v>5</v>
      </c>
      <c r="BQ175" s="550">
        <f t="shared" ref="BQ175:BQ180" si="82">IF(ISBLANK(BP175), "",INT(BN175*BP175))</f>
        <v>1000</v>
      </c>
      <c r="BR175" s="551">
        <f t="shared" ref="BR175:BR180" si="83">IF(ISBLANK(BP175),"",INT(BQ175*$J175))</f>
        <v>2000</v>
      </c>
      <c r="BS175" s="107">
        <f>1*24+12</f>
        <v>36</v>
      </c>
      <c r="BT175" s="106">
        <v>40</v>
      </c>
      <c r="BU175" s="104">
        <v>0</v>
      </c>
      <c r="BV175" s="104">
        <v>0</v>
      </c>
      <c r="BW175" s="104">
        <v>0</v>
      </c>
      <c r="BX175" s="539">
        <v>3000</v>
      </c>
      <c r="BY175" s="108">
        <v>0</v>
      </c>
      <c r="BZ175" s="549" t="s">
        <v>43</v>
      </c>
      <c r="CA175" s="540">
        <v>111</v>
      </c>
      <c r="CB175" s="541">
        <v>333</v>
      </c>
      <c r="CC175" s="542"/>
      <c r="CD175" s="542"/>
      <c r="CE175" s="542"/>
      <c r="CF175" s="542"/>
      <c r="CG175" s="542"/>
      <c r="CH175" s="542"/>
      <c r="CI175" s="542"/>
      <c r="CJ175" s="542"/>
      <c r="CK175" s="542"/>
      <c r="CL175" s="543"/>
      <c r="CM175" s="547" t="s">
        <v>587</v>
      </c>
      <c r="CN175" s="544"/>
      <c r="CO175" s="545"/>
      <c r="CP175" s="545"/>
      <c r="CQ175" s="546"/>
      <c r="CR175" s="602">
        <v>45</v>
      </c>
      <c r="CS175" s="104">
        <v>180</v>
      </c>
      <c r="CT175" s="104">
        <v>270</v>
      </c>
      <c r="CU175" s="104">
        <v>405</v>
      </c>
      <c r="CV175" s="106">
        <v>540</v>
      </c>
      <c r="CW175" s="606">
        <f t="shared" si="72"/>
        <v>4</v>
      </c>
      <c r="CX175" s="604" t="s">
        <v>617</v>
      </c>
    </row>
    <row r="176" spans="1:102" s="444" customFormat="1">
      <c r="A176" s="472"/>
      <c r="B176" s="100" t="s">
        <v>530</v>
      </c>
      <c r="C176" s="528" t="s">
        <v>186</v>
      </c>
      <c r="D176" s="134"/>
      <c r="E176" s="127" t="s">
        <v>43</v>
      </c>
      <c r="F176" s="101" t="s">
        <v>43</v>
      </c>
      <c r="G176" s="102"/>
      <c r="H176" s="529">
        <v>2</v>
      </c>
      <c r="I176" s="530" t="s">
        <v>186</v>
      </c>
      <c r="J176" s="145">
        <v>2</v>
      </c>
      <c r="K176" s="532">
        <v>0.05</v>
      </c>
      <c r="L176" s="555">
        <f t="shared" si="73"/>
        <v>2</v>
      </c>
      <c r="M176" s="162">
        <v>1</v>
      </c>
      <c r="N176" s="174">
        <v>8015</v>
      </c>
      <c r="O176" s="592">
        <v>42395</v>
      </c>
      <c r="P176" s="175" t="s">
        <v>206</v>
      </c>
      <c r="Q176" s="172">
        <v>200</v>
      </c>
      <c r="R176" s="103">
        <v>100</v>
      </c>
      <c r="S176" s="211">
        <v>2000</v>
      </c>
      <c r="T176" s="268" t="s">
        <v>560</v>
      </c>
      <c r="U176" s="554" t="s">
        <v>584</v>
      </c>
      <c r="V176" s="536">
        <v>67</v>
      </c>
      <c r="W176" s="537">
        <v>34</v>
      </c>
      <c r="X176" s="535">
        <v>5</v>
      </c>
      <c r="Y176" s="552">
        <f t="shared" si="74"/>
        <v>335</v>
      </c>
      <c r="Z176" s="553">
        <f t="shared" si="75"/>
        <v>670</v>
      </c>
      <c r="AA176" s="107">
        <v>3</v>
      </c>
      <c r="AB176" s="104">
        <v>0</v>
      </c>
      <c r="AC176" s="104">
        <v>0</v>
      </c>
      <c r="AD176" s="104">
        <v>0</v>
      </c>
      <c r="AE176" s="104">
        <v>0</v>
      </c>
      <c r="AF176" s="538">
        <v>101</v>
      </c>
      <c r="AG176" s="536">
        <v>84</v>
      </c>
      <c r="AH176" s="537">
        <v>42</v>
      </c>
      <c r="AI176" s="535">
        <v>5</v>
      </c>
      <c r="AJ176" s="552">
        <f t="shared" si="76"/>
        <v>420</v>
      </c>
      <c r="AK176" s="553">
        <f t="shared" si="77"/>
        <v>840</v>
      </c>
      <c r="AL176" s="107">
        <v>12</v>
      </c>
      <c r="AM176" s="106">
        <v>10</v>
      </c>
      <c r="AN176" s="104">
        <v>0</v>
      </c>
      <c r="AO176" s="104">
        <v>0</v>
      </c>
      <c r="AP176" s="104">
        <v>0</v>
      </c>
      <c r="AQ176" s="539">
        <v>420</v>
      </c>
      <c r="AR176" s="536">
        <v>100</v>
      </c>
      <c r="AS176" s="537">
        <v>50</v>
      </c>
      <c r="AT176" s="535">
        <v>5</v>
      </c>
      <c r="AU176" s="552">
        <f t="shared" si="78"/>
        <v>500</v>
      </c>
      <c r="AV176" s="553">
        <f t="shared" si="79"/>
        <v>1000</v>
      </c>
      <c r="AW176" s="107">
        <v>18</v>
      </c>
      <c r="AX176" s="106">
        <v>20</v>
      </c>
      <c r="AY176" s="104">
        <v>0</v>
      </c>
      <c r="AZ176" s="104">
        <v>0</v>
      </c>
      <c r="BA176" s="104">
        <v>0</v>
      </c>
      <c r="BB176" s="539">
        <v>850</v>
      </c>
      <c r="BC176" s="536">
        <v>134</v>
      </c>
      <c r="BD176" s="537">
        <v>67</v>
      </c>
      <c r="BE176" s="535">
        <v>5</v>
      </c>
      <c r="BF176" s="552">
        <f t="shared" si="80"/>
        <v>670</v>
      </c>
      <c r="BG176" s="553">
        <f t="shared" si="81"/>
        <v>1340</v>
      </c>
      <c r="BH176" s="107">
        <f>1*24+3</f>
        <v>27</v>
      </c>
      <c r="BI176" s="106">
        <v>30</v>
      </c>
      <c r="BJ176" s="104">
        <v>0</v>
      </c>
      <c r="BK176" s="104">
        <v>0</v>
      </c>
      <c r="BL176" s="104">
        <v>0</v>
      </c>
      <c r="BM176" s="539">
        <v>1608</v>
      </c>
      <c r="BN176" s="533">
        <v>200</v>
      </c>
      <c r="BO176" s="534">
        <v>100</v>
      </c>
      <c r="BP176" s="535">
        <v>5</v>
      </c>
      <c r="BQ176" s="550">
        <f t="shared" si="82"/>
        <v>1000</v>
      </c>
      <c r="BR176" s="551">
        <f t="shared" si="83"/>
        <v>2000</v>
      </c>
      <c r="BS176" s="107">
        <f>1*24+12</f>
        <v>36</v>
      </c>
      <c r="BT176" s="106">
        <v>40</v>
      </c>
      <c r="BU176" s="104">
        <v>0</v>
      </c>
      <c r="BV176" s="104">
        <v>0</v>
      </c>
      <c r="BW176" s="104">
        <v>0</v>
      </c>
      <c r="BX176" s="539">
        <v>3000</v>
      </c>
      <c r="BY176" s="108">
        <v>0</v>
      </c>
      <c r="BZ176" s="549" t="s">
        <v>43</v>
      </c>
      <c r="CA176" s="540">
        <v>250</v>
      </c>
      <c r="CB176" s="541">
        <v>777</v>
      </c>
      <c r="CC176" s="542"/>
      <c r="CD176" s="542"/>
      <c r="CE176" s="542"/>
      <c r="CF176" s="542"/>
      <c r="CG176" s="542"/>
      <c r="CH176" s="542"/>
      <c r="CI176" s="542"/>
      <c r="CJ176" s="542"/>
      <c r="CK176" s="542"/>
      <c r="CL176" s="543"/>
      <c r="CM176" s="547" t="s">
        <v>587</v>
      </c>
      <c r="CN176" s="544"/>
      <c r="CO176" s="545"/>
      <c r="CP176" s="545"/>
      <c r="CQ176" s="546"/>
      <c r="CR176" s="602">
        <v>90</v>
      </c>
      <c r="CS176" s="104">
        <v>360</v>
      </c>
      <c r="CT176" s="104">
        <v>540</v>
      </c>
      <c r="CU176" s="104">
        <v>810</v>
      </c>
      <c r="CV176" s="106">
        <v>1080</v>
      </c>
      <c r="CW176" s="606">
        <f t="shared" si="72"/>
        <v>2</v>
      </c>
      <c r="CX176" s="604" t="s">
        <v>619</v>
      </c>
    </row>
    <row r="177" spans="1:102" s="444" customFormat="1">
      <c r="A177" s="472"/>
      <c r="B177" s="100" t="s">
        <v>531</v>
      </c>
      <c r="C177" s="528" t="s">
        <v>186</v>
      </c>
      <c r="D177" s="134"/>
      <c r="E177" s="127" t="s">
        <v>43</v>
      </c>
      <c r="F177" s="101" t="s">
        <v>43</v>
      </c>
      <c r="G177" s="102"/>
      <c r="H177" s="529">
        <v>1</v>
      </c>
      <c r="I177" s="530" t="s">
        <v>186</v>
      </c>
      <c r="J177" s="145">
        <v>2</v>
      </c>
      <c r="K177" s="532">
        <v>0.05</v>
      </c>
      <c r="L177" s="555">
        <f t="shared" si="73"/>
        <v>2</v>
      </c>
      <c r="M177" s="162">
        <v>1</v>
      </c>
      <c r="N177" s="174">
        <v>8017</v>
      </c>
      <c r="O177" s="592">
        <v>42401</v>
      </c>
      <c r="P177" s="175" t="s">
        <v>206</v>
      </c>
      <c r="Q177" s="172">
        <v>200</v>
      </c>
      <c r="R177" s="103">
        <v>100</v>
      </c>
      <c r="S177" s="211">
        <v>2000</v>
      </c>
      <c r="T177" s="268" t="s">
        <v>550</v>
      </c>
      <c r="U177" s="554" t="s">
        <v>586</v>
      </c>
      <c r="V177" s="536">
        <v>67</v>
      </c>
      <c r="W177" s="537">
        <v>34</v>
      </c>
      <c r="X177" s="535">
        <v>5</v>
      </c>
      <c r="Y177" s="552">
        <f t="shared" si="74"/>
        <v>335</v>
      </c>
      <c r="Z177" s="553">
        <f t="shared" si="75"/>
        <v>670</v>
      </c>
      <c r="AA177" s="107">
        <v>4</v>
      </c>
      <c r="AB177" s="104">
        <v>0</v>
      </c>
      <c r="AC177" s="104">
        <v>0</v>
      </c>
      <c r="AD177" s="104">
        <v>0</v>
      </c>
      <c r="AE177" s="104">
        <v>0</v>
      </c>
      <c r="AF177" s="538">
        <v>101</v>
      </c>
      <c r="AG177" s="536">
        <v>84</v>
      </c>
      <c r="AH177" s="537">
        <v>42</v>
      </c>
      <c r="AI177" s="535">
        <v>5</v>
      </c>
      <c r="AJ177" s="552">
        <f t="shared" si="76"/>
        <v>420</v>
      </c>
      <c r="AK177" s="553">
        <f t="shared" si="77"/>
        <v>840</v>
      </c>
      <c r="AL177" s="107">
        <v>10</v>
      </c>
      <c r="AM177" s="106">
        <v>10</v>
      </c>
      <c r="AN177" s="104">
        <v>0</v>
      </c>
      <c r="AO177" s="104">
        <v>0</v>
      </c>
      <c r="AP177" s="104">
        <v>0</v>
      </c>
      <c r="AQ177" s="539">
        <v>420</v>
      </c>
      <c r="AR177" s="536">
        <v>100</v>
      </c>
      <c r="AS177" s="537">
        <v>50</v>
      </c>
      <c r="AT177" s="535">
        <v>5</v>
      </c>
      <c r="AU177" s="552">
        <f t="shared" si="78"/>
        <v>500</v>
      </c>
      <c r="AV177" s="553">
        <f t="shared" si="79"/>
        <v>1000</v>
      </c>
      <c r="AW177" s="107">
        <v>20</v>
      </c>
      <c r="AX177" s="106">
        <v>20</v>
      </c>
      <c r="AY177" s="104">
        <v>0</v>
      </c>
      <c r="AZ177" s="104">
        <v>0</v>
      </c>
      <c r="BA177" s="104">
        <v>0</v>
      </c>
      <c r="BB177" s="539">
        <v>850</v>
      </c>
      <c r="BC177" s="536">
        <v>134</v>
      </c>
      <c r="BD177" s="537">
        <v>67</v>
      </c>
      <c r="BE177" s="535">
        <v>5</v>
      </c>
      <c r="BF177" s="552">
        <f t="shared" si="80"/>
        <v>670</v>
      </c>
      <c r="BG177" s="553">
        <f t="shared" si="81"/>
        <v>1340</v>
      </c>
      <c r="BH177" s="107">
        <f>1*24+16</f>
        <v>40</v>
      </c>
      <c r="BI177" s="106">
        <v>30</v>
      </c>
      <c r="BJ177" s="104">
        <v>0</v>
      </c>
      <c r="BK177" s="104">
        <v>0</v>
      </c>
      <c r="BL177" s="104">
        <v>0</v>
      </c>
      <c r="BM177" s="539">
        <v>1608</v>
      </c>
      <c r="BN177" s="533">
        <v>200</v>
      </c>
      <c r="BO177" s="534">
        <v>100</v>
      </c>
      <c r="BP177" s="535">
        <v>5</v>
      </c>
      <c r="BQ177" s="550">
        <f t="shared" si="82"/>
        <v>1000</v>
      </c>
      <c r="BR177" s="551">
        <f t="shared" si="83"/>
        <v>2000</v>
      </c>
      <c r="BS177" s="107">
        <f>2*24+22</f>
        <v>70</v>
      </c>
      <c r="BT177" s="106">
        <v>40</v>
      </c>
      <c r="BU177" s="104">
        <v>0</v>
      </c>
      <c r="BV177" s="104">
        <v>0</v>
      </c>
      <c r="BW177" s="104">
        <v>0</v>
      </c>
      <c r="BX177" s="539">
        <v>3000</v>
      </c>
      <c r="BY177" s="108">
        <v>0</v>
      </c>
      <c r="BZ177" s="549" t="s">
        <v>43</v>
      </c>
      <c r="CA177" s="540">
        <v>111</v>
      </c>
      <c r="CB177" s="541">
        <v>333</v>
      </c>
      <c r="CC177" s="542"/>
      <c r="CD177" s="542"/>
      <c r="CE177" s="542"/>
      <c r="CF177" s="542"/>
      <c r="CG177" s="542"/>
      <c r="CH177" s="542"/>
      <c r="CI177" s="542"/>
      <c r="CJ177" s="542"/>
      <c r="CK177" s="542"/>
      <c r="CL177" s="543"/>
      <c r="CM177" s="547" t="s">
        <v>587</v>
      </c>
      <c r="CN177" s="544"/>
      <c r="CO177" s="545"/>
      <c r="CP177" s="545"/>
      <c r="CQ177" s="546"/>
      <c r="CR177" s="602">
        <v>80</v>
      </c>
      <c r="CS177" s="104">
        <v>200</v>
      </c>
      <c r="CT177" s="104">
        <v>400</v>
      </c>
      <c r="CU177" s="104">
        <v>800</v>
      </c>
      <c r="CV177" s="106">
        <v>1400</v>
      </c>
      <c r="CW177" s="606">
        <f t="shared" si="72"/>
        <v>3</v>
      </c>
      <c r="CX177" s="604" t="s">
        <v>621</v>
      </c>
    </row>
    <row r="178" spans="1:102" s="444" customFormat="1">
      <c r="A178" s="472"/>
      <c r="B178" s="100" t="s">
        <v>532</v>
      </c>
      <c r="C178" s="528" t="s">
        <v>186</v>
      </c>
      <c r="D178" s="134"/>
      <c r="E178" s="127" t="s">
        <v>43</v>
      </c>
      <c r="F178" s="101" t="s">
        <v>43</v>
      </c>
      <c r="G178" s="102"/>
      <c r="H178" s="529">
        <v>2</v>
      </c>
      <c r="I178" s="530" t="s">
        <v>186</v>
      </c>
      <c r="J178" s="145">
        <v>2</v>
      </c>
      <c r="K178" s="532">
        <v>0.05</v>
      </c>
      <c r="L178" s="555">
        <f t="shared" si="73"/>
        <v>2</v>
      </c>
      <c r="M178" s="162">
        <v>1</v>
      </c>
      <c r="N178" s="174">
        <v>8016</v>
      </c>
      <c r="O178" s="592">
        <v>42401</v>
      </c>
      <c r="P178" s="175" t="s">
        <v>206</v>
      </c>
      <c r="Q178" s="172">
        <v>200</v>
      </c>
      <c r="R178" s="103">
        <v>100</v>
      </c>
      <c r="S178" s="211">
        <v>2000</v>
      </c>
      <c r="T178" s="268" t="s">
        <v>562</v>
      </c>
      <c r="U178" s="554" t="s">
        <v>586</v>
      </c>
      <c r="V178" s="536">
        <v>67</v>
      </c>
      <c r="W178" s="537">
        <v>34</v>
      </c>
      <c r="X178" s="535">
        <v>5</v>
      </c>
      <c r="Y178" s="552">
        <f t="shared" si="74"/>
        <v>335</v>
      </c>
      <c r="Z178" s="553">
        <f t="shared" si="75"/>
        <v>670</v>
      </c>
      <c r="AA178" s="107">
        <v>4</v>
      </c>
      <c r="AB178" s="104">
        <v>0</v>
      </c>
      <c r="AC178" s="104">
        <v>0</v>
      </c>
      <c r="AD178" s="104">
        <v>0</v>
      </c>
      <c r="AE178" s="104">
        <v>0</v>
      </c>
      <c r="AF178" s="538">
        <v>101</v>
      </c>
      <c r="AG178" s="536">
        <v>84</v>
      </c>
      <c r="AH178" s="537">
        <v>42</v>
      </c>
      <c r="AI178" s="535">
        <v>5</v>
      </c>
      <c r="AJ178" s="552">
        <f t="shared" si="76"/>
        <v>420</v>
      </c>
      <c r="AK178" s="553">
        <f t="shared" si="77"/>
        <v>840</v>
      </c>
      <c r="AL178" s="107">
        <v>10</v>
      </c>
      <c r="AM178" s="106">
        <v>10</v>
      </c>
      <c r="AN178" s="104">
        <v>0</v>
      </c>
      <c r="AO178" s="104">
        <v>0</v>
      </c>
      <c r="AP178" s="104">
        <v>0</v>
      </c>
      <c r="AQ178" s="539">
        <v>420</v>
      </c>
      <c r="AR178" s="536">
        <v>100</v>
      </c>
      <c r="AS178" s="537">
        <v>50</v>
      </c>
      <c r="AT178" s="535">
        <v>5</v>
      </c>
      <c r="AU178" s="552">
        <f t="shared" si="78"/>
        <v>500</v>
      </c>
      <c r="AV178" s="553">
        <f t="shared" si="79"/>
        <v>1000</v>
      </c>
      <c r="AW178" s="107">
        <v>20</v>
      </c>
      <c r="AX178" s="106">
        <v>20</v>
      </c>
      <c r="AY178" s="104">
        <v>0</v>
      </c>
      <c r="AZ178" s="104">
        <v>0</v>
      </c>
      <c r="BA178" s="104">
        <v>0</v>
      </c>
      <c r="BB178" s="539">
        <v>850</v>
      </c>
      <c r="BC178" s="536">
        <v>134</v>
      </c>
      <c r="BD178" s="537">
        <v>67</v>
      </c>
      <c r="BE178" s="535">
        <v>5</v>
      </c>
      <c r="BF178" s="552">
        <f t="shared" si="80"/>
        <v>670</v>
      </c>
      <c r="BG178" s="553">
        <f t="shared" si="81"/>
        <v>1340</v>
      </c>
      <c r="BH178" s="107">
        <f>1*24+16</f>
        <v>40</v>
      </c>
      <c r="BI178" s="106">
        <v>30</v>
      </c>
      <c r="BJ178" s="104">
        <v>0</v>
      </c>
      <c r="BK178" s="104">
        <v>0</v>
      </c>
      <c r="BL178" s="104">
        <v>0</v>
      </c>
      <c r="BM178" s="539">
        <v>1608</v>
      </c>
      <c r="BN178" s="533">
        <v>200</v>
      </c>
      <c r="BO178" s="534">
        <v>100</v>
      </c>
      <c r="BP178" s="535">
        <v>5</v>
      </c>
      <c r="BQ178" s="550">
        <f t="shared" si="82"/>
        <v>1000</v>
      </c>
      <c r="BR178" s="551">
        <f t="shared" si="83"/>
        <v>2000</v>
      </c>
      <c r="BS178" s="107">
        <f>2*24+22</f>
        <v>70</v>
      </c>
      <c r="BT178" s="106">
        <v>40</v>
      </c>
      <c r="BU178" s="104">
        <v>0</v>
      </c>
      <c r="BV178" s="104">
        <v>0</v>
      </c>
      <c r="BW178" s="104">
        <v>0</v>
      </c>
      <c r="BX178" s="539">
        <v>3000</v>
      </c>
      <c r="BY178" s="108">
        <v>0</v>
      </c>
      <c r="BZ178" s="549" t="s">
        <v>43</v>
      </c>
      <c r="CA178" s="540">
        <v>250</v>
      </c>
      <c r="CB178" s="541">
        <v>777</v>
      </c>
      <c r="CC178" s="542"/>
      <c r="CD178" s="542"/>
      <c r="CE178" s="542"/>
      <c r="CF178" s="542"/>
      <c r="CG178" s="542"/>
      <c r="CH178" s="542"/>
      <c r="CI178" s="542"/>
      <c r="CJ178" s="542"/>
      <c r="CK178" s="542"/>
      <c r="CL178" s="543"/>
      <c r="CM178" s="547" t="s">
        <v>587</v>
      </c>
      <c r="CN178" s="544"/>
      <c r="CO178" s="545"/>
      <c r="CP178" s="545"/>
      <c r="CQ178" s="546"/>
      <c r="CR178" s="602">
        <v>160</v>
      </c>
      <c r="CS178" s="104">
        <v>400</v>
      </c>
      <c r="CT178" s="104">
        <v>800</v>
      </c>
      <c r="CU178" s="104">
        <v>1600</v>
      </c>
      <c r="CV178" s="106">
        <v>2800</v>
      </c>
      <c r="CW178" s="606">
        <f t="shared" si="72"/>
        <v>1.5</v>
      </c>
      <c r="CX178" s="605" t="s">
        <v>623</v>
      </c>
    </row>
    <row r="179" spans="1:102" s="444" customFormat="1">
      <c r="A179" s="472"/>
      <c r="B179" s="100" t="s">
        <v>726</v>
      </c>
      <c r="C179" s="528" t="s">
        <v>186</v>
      </c>
      <c r="D179" s="134"/>
      <c r="E179" s="127" t="s">
        <v>43</v>
      </c>
      <c r="F179" s="101" t="s">
        <v>43</v>
      </c>
      <c r="G179" s="102"/>
      <c r="H179" s="529">
        <v>1</v>
      </c>
      <c r="I179" s="530" t="s">
        <v>186</v>
      </c>
      <c r="J179" s="145">
        <v>2</v>
      </c>
      <c r="K179" s="532">
        <v>0.05</v>
      </c>
      <c r="L179" s="555">
        <f t="shared" si="73"/>
        <v>2</v>
      </c>
      <c r="M179" s="162">
        <v>1</v>
      </c>
      <c r="N179" s="174">
        <v>8019</v>
      </c>
      <c r="O179" s="592">
        <v>42413</v>
      </c>
      <c r="P179" s="175" t="s">
        <v>206</v>
      </c>
      <c r="Q179" s="172">
        <v>200</v>
      </c>
      <c r="R179" s="103">
        <v>100</v>
      </c>
      <c r="S179" s="211">
        <v>2000</v>
      </c>
      <c r="T179" s="268" t="s">
        <v>731</v>
      </c>
      <c r="U179" s="554" t="s">
        <v>733</v>
      </c>
      <c r="V179" s="1037">
        <v>67</v>
      </c>
      <c r="W179" s="1038">
        <v>34</v>
      </c>
      <c r="X179" s="1036">
        <v>5</v>
      </c>
      <c r="Y179" s="550">
        <f t="shared" si="74"/>
        <v>335</v>
      </c>
      <c r="Z179" s="551">
        <f t="shared" si="75"/>
        <v>670</v>
      </c>
      <c r="AA179" s="107">
        <v>4</v>
      </c>
      <c r="AB179" s="104">
        <v>0</v>
      </c>
      <c r="AC179" s="104">
        <v>0</v>
      </c>
      <c r="AD179" s="104">
        <v>0</v>
      </c>
      <c r="AE179" s="104">
        <v>0</v>
      </c>
      <c r="AF179" s="1043">
        <v>101</v>
      </c>
      <c r="AG179" s="1037">
        <v>84</v>
      </c>
      <c r="AH179" s="1038">
        <v>42</v>
      </c>
      <c r="AI179" s="1036">
        <v>5</v>
      </c>
      <c r="AJ179" s="550">
        <f t="shared" si="76"/>
        <v>420</v>
      </c>
      <c r="AK179" s="551">
        <f t="shared" si="77"/>
        <v>840</v>
      </c>
      <c r="AL179" s="1044">
        <v>10</v>
      </c>
      <c r="AM179" s="106">
        <v>10</v>
      </c>
      <c r="AN179" s="104">
        <v>0</v>
      </c>
      <c r="AO179" s="104">
        <v>0</v>
      </c>
      <c r="AP179" s="104">
        <v>0</v>
      </c>
      <c r="AQ179" s="1144">
        <v>420</v>
      </c>
      <c r="AR179" s="1037">
        <v>100</v>
      </c>
      <c r="AS179" s="1038">
        <v>50</v>
      </c>
      <c r="AT179" s="1036">
        <v>5</v>
      </c>
      <c r="AU179" s="550">
        <f t="shared" si="78"/>
        <v>500</v>
      </c>
      <c r="AV179" s="551">
        <f t="shared" si="79"/>
        <v>1000</v>
      </c>
      <c r="AW179" s="1044">
        <v>20</v>
      </c>
      <c r="AX179" s="1145">
        <v>20</v>
      </c>
      <c r="AY179" s="1146">
        <v>0</v>
      </c>
      <c r="AZ179" s="1146">
        <v>0</v>
      </c>
      <c r="BA179" s="1146">
        <v>0</v>
      </c>
      <c r="BB179" s="1144">
        <v>850</v>
      </c>
      <c r="BC179" s="1037">
        <v>134</v>
      </c>
      <c r="BD179" s="1038">
        <v>67</v>
      </c>
      <c r="BE179" s="1036">
        <v>5</v>
      </c>
      <c r="BF179" s="550">
        <f t="shared" si="80"/>
        <v>670</v>
      </c>
      <c r="BG179" s="551">
        <f t="shared" si="81"/>
        <v>1340</v>
      </c>
      <c r="BH179" s="1044">
        <f>1*24+16</f>
        <v>40</v>
      </c>
      <c r="BI179" s="1145">
        <v>30</v>
      </c>
      <c r="BJ179" s="1146">
        <v>0</v>
      </c>
      <c r="BK179" s="1146">
        <v>0</v>
      </c>
      <c r="BL179" s="1146">
        <v>0</v>
      </c>
      <c r="BM179" s="1144">
        <v>1608</v>
      </c>
      <c r="BN179" s="1034">
        <v>200</v>
      </c>
      <c r="BO179" s="1035">
        <v>100</v>
      </c>
      <c r="BP179" s="1036">
        <v>5</v>
      </c>
      <c r="BQ179" s="550">
        <f t="shared" si="82"/>
        <v>1000</v>
      </c>
      <c r="BR179" s="551">
        <f t="shared" si="83"/>
        <v>2000</v>
      </c>
      <c r="BS179" s="1044">
        <f>2*24+22</f>
        <v>70</v>
      </c>
      <c r="BT179" s="1145">
        <v>40</v>
      </c>
      <c r="BU179" s="1146">
        <v>0</v>
      </c>
      <c r="BV179" s="1146">
        <v>0</v>
      </c>
      <c r="BW179" s="1146">
        <v>0</v>
      </c>
      <c r="BX179" s="1144">
        <v>3000</v>
      </c>
      <c r="BY179" s="1147">
        <v>0</v>
      </c>
      <c r="BZ179" s="549" t="s">
        <v>43</v>
      </c>
      <c r="CA179" s="540">
        <v>111</v>
      </c>
      <c r="CB179" s="541">
        <v>333</v>
      </c>
      <c r="CC179" s="542"/>
      <c r="CD179" s="542"/>
      <c r="CE179" s="542"/>
      <c r="CF179" s="542"/>
      <c r="CG179" s="542"/>
      <c r="CH179" s="542"/>
      <c r="CI179" s="542"/>
      <c r="CJ179" s="542"/>
      <c r="CK179" s="542"/>
      <c r="CL179" s="543"/>
      <c r="CM179" s="547" t="s">
        <v>35</v>
      </c>
      <c r="CN179" s="544"/>
      <c r="CO179" s="545"/>
      <c r="CP179" s="545"/>
      <c r="CQ179" s="546"/>
      <c r="CR179" s="602">
        <v>80</v>
      </c>
      <c r="CS179" s="104">
        <v>200</v>
      </c>
      <c r="CT179" s="1146">
        <v>400</v>
      </c>
      <c r="CU179" s="1146">
        <v>800</v>
      </c>
      <c r="CV179" s="1145">
        <v>1400</v>
      </c>
      <c r="CW179" s="606">
        <f>IF(ISBLANK(CR179),"", AA179*60/CR179)</f>
        <v>3</v>
      </c>
      <c r="CX179" s="604" t="s">
        <v>735</v>
      </c>
    </row>
    <row r="180" spans="1:102" s="444" customFormat="1">
      <c r="A180" s="472"/>
      <c r="B180" s="100" t="s">
        <v>727</v>
      </c>
      <c r="C180" s="528" t="s">
        <v>186</v>
      </c>
      <c r="D180" s="134"/>
      <c r="E180" s="127" t="s">
        <v>43</v>
      </c>
      <c r="F180" s="101" t="s">
        <v>43</v>
      </c>
      <c r="G180" s="102"/>
      <c r="H180" s="529">
        <v>2</v>
      </c>
      <c r="I180" s="530" t="s">
        <v>186</v>
      </c>
      <c r="J180" s="145">
        <v>2</v>
      </c>
      <c r="K180" s="532">
        <v>0.05</v>
      </c>
      <c r="L180" s="555">
        <f t="shared" si="73"/>
        <v>2</v>
      </c>
      <c r="M180" s="162">
        <v>1</v>
      </c>
      <c r="N180" s="174">
        <v>8018</v>
      </c>
      <c r="O180" s="592">
        <v>42413</v>
      </c>
      <c r="P180" s="175" t="s">
        <v>206</v>
      </c>
      <c r="Q180" s="172">
        <v>200</v>
      </c>
      <c r="R180" s="103">
        <v>100</v>
      </c>
      <c r="S180" s="211">
        <v>2000</v>
      </c>
      <c r="T180" s="268" t="s">
        <v>730</v>
      </c>
      <c r="U180" s="554" t="s">
        <v>733</v>
      </c>
      <c r="V180" s="1037">
        <v>67</v>
      </c>
      <c r="W180" s="1038">
        <v>34</v>
      </c>
      <c r="X180" s="1036">
        <v>5</v>
      </c>
      <c r="Y180" s="550">
        <f t="shared" si="74"/>
        <v>335</v>
      </c>
      <c r="Z180" s="551">
        <f t="shared" si="75"/>
        <v>670</v>
      </c>
      <c r="AA180" s="107">
        <v>4</v>
      </c>
      <c r="AB180" s="104">
        <v>0</v>
      </c>
      <c r="AC180" s="104">
        <v>0</v>
      </c>
      <c r="AD180" s="104">
        <v>0</v>
      </c>
      <c r="AE180" s="104">
        <v>0</v>
      </c>
      <c r="AF180" s="1043">
        <v>101</v>
      </c>
      <c r="AG180" s="1037">
        <v>84</v>
      </c>
      <c r="AH180" s="1038">
        <v>42</v>
      </c>
      <c r="AI180" s="1036">
        <v>5</v>
      </c>
      <c r="AJ180" s="550">
        <f t="shared" si="76"/>
        <v>420</v>
      </c>
      <c r="AK180" s="551">
        <f t="shared" si="77"/>
        <v>840</v>
      </c>
      <c r="AL180" s="1044">
        <v>10</v>
      </c>
      <c r="AM180" s="106">
        <v>10</v>
      </c>
      <c r="AN180" s="104">
        <v>0</v>
      </c>
      <c r="AO180" s="104">
        <v>0</v>
      </c>
      <c r="AP180" s="104">
        <v>0</v>
      </c>
      <c r="AQ180" s="1144">
        <v>420</v>
      </c>
      <c r="AR180" s="1037">
        <v>100</v>
      </c>
      <c r="AS180" s="1038">
        <v>50</v>
      </c>
      <c r="AT180" s="1036">
        <v>5</v>
      </c>
      <c r="AU180" s="550">
        <f t="shared" si="78"/>
        <v>500</v>
      </c>
      <c r="AV180" s="551">
        <f t="shared" si="79"/>
        <v>1000</v>
      </c>
      <c r="AW180" s="1044">
        <v>20</v>
      </c>
      <c r="AX180" s="1145">
        <v>20</v>
      </c>
      <c r="AY180" s="1146">
        <v>0</v>
      </c>
      <c r="AZ180" s="1146">
        <v>0</v>
      </c>
      <c r="BA180" s="1146">
        <v>0</v>
      </c>
      <c r="BB180" s="1144">
        <v>850</v>
      </c>
      <c r="BC180" s="1037">
        <v>134</v>
      </c>
      <c r="BD180" s="1038">
        <v>67</v>
      </c>
      <c r="BE180" s="1036">
        <v>5</v>
      </c>
      <c r="BF180" s="550">
        <f t="shared" si="80"/>
        <v>670</v>
      </c>
      <c r="BG180" s="551">
        <f t="shared" si="81"/>
        <v>1340</v>
      </c>
      <c r="BH180" s="1044">
        <f>1*24+16</f>
        <v>40</v>
      </c>
      <c r="BI180" s="1145">
        <v>30</v>
      </c>
      <c r="BJ180" s="1146">
        <v>0</v>
      </c>
      <c r="BK180" s="1146">
        <v>0</v>
      </c>
      <c r="BL180" s="1146">
        <v>0</v>
      </c>
      <c r="BM180" s="1144">
        <v>1608</v>
      </c>
      <c r="BN180" s="1034">
        <v>200</v>
      </c>
      <c r="BO180" s="1035">
        <v>100</v>
      </c>
      <c r="BP180" s="1036">
        <v>5</v>
      </c>
      <c r="BQ180" s="550">
        <f t="shared" si="82"/>
        <v>1000</v>
      </c>
      <c r="BR180" s="551">
        <f t="shared" si="83"/>
        <v>2000</v>
      </c>
      <c r="BS180" s="1044">
        <f>2*24+22</f>
        <v>70</v>
      </c>
      <c r="BT180" s="1145">
        <v>40</v>
      </c>
      <c r="BU180" s="1146">
        <v>0</v>
      </c>
      <c r="BV180" s="1146">
        <v>0</v>
      </c>
      <c r="BW180" s="1146">
        <v>0</v>
      </c>
      <c r="BX180" s="1144">
        <v>3000</v>
      </c>
      <c r="BY180" s="1147">
        <v>0</v>
      </c>
      <c r="BZ180" s="549" t="s">
        <v>43</v>
      </c>
      <c r="CA180" s="540">
        <v>250</v>
      </c>
      <c r="CB180" s="541">
        <v>777</v>
      </c>
      <c r="CC180" s="542"/>
      <c r="CD180" s="542"/>
      <c r="CE180" s="542"/>
      <c r="CF180" s="542"/>
      <c r="CG180" s="542"/>
      <c r="CH180" s="542"/>
      <c r="CI180" s="542"/>
      <c r="CJ180" s="542"/>
      <c r="CK180" s="542"/>
      <c r="CL180" s="543"/>
      <c r="CM180" s="547" t="s">
        <v>35</v>
      </c>
      <c r="CN180" s="544"/>
      <c r="CO180" s="545"/>
      <c r="CP180" s="545"/>
      <c r="CQ180" s="546"/>
      <c r="CR180" s="602">
        <v>160</v>
      </c>
      <c r="CS180" s="104">
        <v>400</v>
      </c>
      <c r="CT180" s="1146">
        <v>800</v>
      </c>
      <c r="CU180" s="1146">
        <v>1600</v>
      </c>
      <c r="CV180" s="1145">
        <v>2800</v>
      </c>
      <c r="CW180" s="606">
        <f>IF(ISBLANK(CR180),"", AA180*60/CR180)</f>
        <v>1.5</v>
      </c>
      <c r="CX180" s="604" t="s">
        <v>737</v>
      </c>
    </row>
    <row r="181" spans="1:102">
      <c r="A181" s="79"/>
      <c r="B181" s="556" t="s">
        <v>190</v>
      </c>
      <c r="C181" s="557" t="s">
        <v>295</v>
      </c>
      <c r="D181" s="558"/>
      <c r="E181" s="559"/>
      <c r="F181" s="560"/>
      <c r="G181" s="561"/>
      <c r="H181" s="562"/>
      <c r="I181" s="563"/>
      <c r="J181" s="564"/>
      <c r="K181" s="565"/>
      <c r="L181" s="566"/>
      <c r="M181" s="567"/>
      <c r="N181" s="568"/>
      <c r="O181" s="569"/>
      <c r="P181" s="570"/>
      <c r="Q181" s="571"/>
      <c r="R181" s="572"/>
      <c r="S181" s="573"/>
      <c r="T181" s="574"/>
      <c r="U181" s="575"/>
      <c r="V181" s="576"/>
      <c r="W181" s="577"/>
      <c r="X181" s="578"/>
      <c r="Y181" s="576"/>
      <c r="Z181" s="573"/>
      <c r="AA181" s="579"/>
      <c r="AB181" s="577"/>
      <c r="AC181" s="577"/>
      <c r="AD181" s="577"/>
      <c r="AE181" s="577"/>
      <c r="AF181" s="580"/>
      <c r="AG181" s="576"/>
      <c r="AH181" s="577"/>
      <c r="AI181" s="578"/>
      <c r="AJ181" s="576"/>
      <c r="AK181" s="573"/>
      <c r="AL181" s="579"/>
      <c r="AM181" s="581"/>
      <c r="AN181" s="577"/>
      <c r="AO181" s="577"/>
      <c r="AP181" s="577"/>
      <c r="AQ181" s="582"/>
      <c r="AR181" s="576"/>
      <c r="AS181" s="577"/>
      <c r="AT181" s="578"/>
      <c r="AU181" s="576"/>
      <c r="AV181" s="573"/>
      <c r="AW181" s="579"/>
      <c r="AX181" s="581"/>
      <c r="AY181" s="577"/>
      <c r="AZ181" s="577"/>
      <c r="BA181" s="577"/>
      <c r="BB181" s="582"/>
      <c r="BC181" s="576"/>
      <c r="BD181" s="577"/>
      <c r="BE181" s="578"/>
      <c r="BF181" s="576"/>
      <c r="BG181" s="573"/>
      <c r="BH181" s="579"/>
      <c r="BI181" s="581"/>
      <c r="BJ181" s="577"/>
      <c r="BK181" s="577"/>
      <c r="BL181" s="577"/>
      <c r="BM181" s="582"/>
      <c r="BN181" s="576"/>
      <c r="BO181" s="577"/>
      <c r="BP181" s="578"/>
      <c r="BQ181" s="576"/>
      <c r="BR181" s="573"/>
      <c r="BS181" s="579"/>
      <c r="BT181" s="581"/>
      <c r="BU181" s="577"/>
      <c r="BV181" s="577"/>
      <c r="BW181" s="577"/>
      <c r="BX181" s="582"/>
      <c r="BY181" s="583"/>
      <c r="BZ181" s="584"/>
      <c r="CA181" s="585"/>
      <c r="CB181" s="586"/>
      <c r="CC181" s="587"/>
      <c r="CD181" s="587"/>
      <c r="CE181" s="587"/>
      <c r="CF181" s="587"/>
      <c r="CG181" s="587"/>
      <c r="CH181" s="587"/>
      <c r="CI181" s="587"/>
      <c r="CJ181" s="587"/>
      <c r="CK181" s="587"/>
      <c r="CL181" s="588"/>
      <c r="CM181" s="589"/>
      <c r="CN181" s="590"/>
      <c r="CO181" s="569"/>
      <c r="CP181" s="569"/>
      <c r="CQ181" s="591"/>
      <c r="CR181" s="1"/>
      <c r="CS181" s="1"/>
      <c r="CT181" s="1"/>
      <c r="CU181" s="1"/>
      <c r="CV181" s="1"/>
      <c r="CW181" s="2"/>
      <c r="CX181" s="603"/>
    </row>
    <row r="182" spans="1:102">
      <c r="B182" s="82"/>
      <c r="C182" s="117"/>
      <c r="D182" s="135"/>
      <c r="E182" s="94"/>
      <c r="F182" s="83"/>
      <c r="G182" s="84"/>
      <c r="H182" s="85"/>
      <c r="I182" s="85"/>
      <c r="J182" s="146"/>
      <c r="K182" s="219"/>
      <c r="L182" s="148"/>
      <c r="M182" s="176"/>
      <c r="N182" s="17"/>
      <c r="O182" s="204"/>
      <c r="P182" s="19"/>
      <c r="Q182" s="99"/>
      <c r="R182" s="86"/>
      <c r="S182" s="159"/>
      <c r="T182" s="356"/>
      <c r="U182" s="350"/>
      <c r="V182" s="87"/>
      <c r="W182" s="88"/>
      <c r="X182" s="209"/>
      <c r="Y182" s="208"/>
      <c r="Z182" s="210"/>
      <c r="AA182" s="87"/>
      <c r="AB182" s="88"/>
      <c r="AC182" s="7"/>
      <c r="AD182" s="7"/>
      <c r="AE182" s="7"/>
      <c r="AF182" s="90"/>
      <c r="AG182" s="91"/>
      <c r="AH182" s="88"/>
      <c r="AI182" s="92"/>
      <c r="AJ182" s="87"/>
      <c r="AK182" s="210"/>
      <c r="AL182" s="87"/>
      <c r="AM182" s="89"/>
      <c r="AN182" s="7"/>
      <c r="AO182" s="7"/>
      <c r="AP182" s="7"/>
      <c r="AQ182" s="93"/>
      <c r="AR182" s="91"/>
      <c r="AS182" s="88"/>
      <c r="AT182" s="92"/>
      <c r="AU182" s="87"/>
      <c r="AV182" s="210"/>
      <c r="AW182" s="87"/>
      <c r="AX182" s="89"/>
      <c r="AY182" s="7"/>
      <c r="AZ182" s="7"/>
      <c r="BA182" s="7"/>
      <c r="BB182" s="93"/>
      <c r="BC182" s="91"/>
      <c r="BD182" s="88"/>
      <c r="BE182" s="92"/>
      <c r="BF182" s="87"/>
      <c r="BG182" s="210"/>
      <c r="BH182" s="87"/>
      <c r="BI182" s="89"/>
      <c r="BJ182" s="7"/>
      <c r="BK182" s="7"/>
      <c r="BL182" s="7"/>
      <c r="BM182" s="93"/>
      <c r="BN182" s="91"/>
      <c r="BO182" s="88"/>
      <c r="BP182" s="92"/>
      <c r="BQ182" s="87"/>
      <c r="BR182" s="210"/>
      <c r="BS182" s="87"/>
      <c r="BT182" s="89"/>
      <c r="BU182" s="7"/>
      <c r="BV182" s="7"/>
      <c r="BW182" s="7"/>
      <c r="BX182" s="93"/>
      <c r="BY182" s="95"/>
      <c r="BZ182" s="271"/>
      <c r="CA182" s="249"/>
      <c r="CB182" s="234"/>
      <c r="CC182" s="410"/>
      <c r="CD182" s="410"/>
      <c r="CE182" s="410"/>
      <c r="CF182" s="410"/>
      <c r="CG182" s="410"/>
      <c r="CH182" s="410"/>
      <c r="CI182" s="410"/>
      <c r="CJ182" s="410"/>
      <c r="CK182" s="410"/>
      <c r="CL182" s="425"/>
      <c r="CM182" s="439"/>
      <c r="CN182" s="295"/>
      <c r="CO182" s="464"/>
      <c r="CP182" s="464"/>
      <c r="CQ182" s="342"/>
      <c r="CR182" s="1"/>
      <c r="CS182" s="1"/>
      <c r="CT182" s="1"/>
      <c r="CU182" s="1"/>
      <c r="CV182" s="1"/>
      <c r="CW182" s="2"/>
      <c r="CX182" s="603"/>
    </row>
    <row r="183" spans="1:102">
      <c r="B183" s="82"/>
      <c r="C183" s="117"/>
      <c r="D183" s="135"/>
      <c r="E183" s="94"/>
      <c r="F183" s="83"/>
      <c r="G183" s="84"/>
      <c r="H183" s="85"/>
      <c r="I183" s="85"/>
      <c r="J183" s="146"/>
      <c r="K183" s="219"/>
      <c r="L183" s="148"/>
      <c r="M183" s="176"/>
      <c r="N183" s="17"/>
      <c r="O183" s="204"/>
      <c r="P183" s="19"/>
      <c r="Q183" s="99"/>
      <c r="R183" s="86"/>
      <c r="S183" s="159"/>
      <c r="T183" s="356"/>
      <c r="U183" s="350"/>
      <c r="V183" s="87"/>
      <c r="W183" s="88"/>
      <c r="X183" s="209"/>
      <c r="Y183" s="208"/>
      <c r="Z183" s="210"/>
      <c r="AA183" s="87"/>
      <c r="AB183" s="88"/>
      <c r="AC183" s="7"/>
      <c r="AD183" s="7"/>
      <c r="AE183" s="7"/>
      <c r="AF183" s="90"/>
      <c r="AG183" s="91"/>
      <c r="AH183" s="88"/>
      <c r="AI183" s="92"/>
      <c r="AJ183" s="87"/>
      <c r="AK183" s="210"/>
      <c r="AL183" s="87"/>
      <c r="AM183" s="89"/>
      <c r="AN183" s="7"/>
      <c r="AO183" s="7"/>
      <c r="AP183" s="7"/>
      <c r="AQ183" s="93"/>
      <c r="AR183" s="91"/>
      <c r="AS183" s="88"/>
      <c r="AT183" s="92"/>
      <c r="AU183" s="87"/>
      <c r="AV183" s="210"/>
      <c r="AW183" s="87"/>
      <c r="AX183" s="89"/>
      <c r="AY183" s="7"/>
      <c r="AZ183" s="7"/>
      <c r="BA183" s="7"/>
      <c r="BB183" s="93"/>
      <c r="BC183" s="91"/>
      <c r="BD183" s="88"/>
      <c r="BE183" s="92"/>
      <c r="BF183" s="87"/>
      <c r="BG183" s="210"/>
      <c r="BH183" s="87"/>
      <c r="BI183" s="89"/>
      <c r="BJ183" s="7"/>
      <c r="BK183" s="7"/>
      <c r="BL183" s="7"/>
      <c r="BM183" s="93"/>
      <c r="BN183" s="91"/>
      <c r="BO183" s="88"/>
      <c r="BP183" s="92"/>
      <c r="BQ183" s="87"/>
      <c r="BR183" s="210"/>
      <c r="BS183" s="87"/>
      <c r="BT183" s="89"/>
      <c r="BU183" s="7"/>
      <c r="BV183" s="7"/>
      <c r="BW183" s="7"/>
      <c r="BX183" s="93"/>
      <c r="BY183" s="95"/>
      <c r="BZ183" s="271"/>
      <c r="CA183" s="249"/>
      <c r="CB183" s="234"/>
      <c r="CC183" s="410"/>
      <c r="CD183" s="410"/>
      <c r="CE183" s="410"/>
      <c r="CF183" s="410"/>
      <c r="CG183" s="410"/>
      <c r="CH183" s="410"/>
      <c r="CI183" s="410"/>
      <c r="CJ183" s="410"/>
      <c r="CK183" s="410"/>
      <c r="CL183" s="425"/>
      <c r="CM183" s="439"/>
      <c r="CN183" s="295"/>
      <c r="CO183" s="464"/>
      <c r="CP183" s="464"/>
      <c r="CQ183" s="342"/>
      <c r="CR183" s="1"/>
      <c r="CS183" s="1"/>
      <c r="CT183" s="1"/>
      <c r="CU183" s="1"/>
      <c r="CV183" s="1"/>
      <c r="CW183" s="2"/>
      <c r="CX183" s="603"/>
    </row>
    <row r="184" spans="1:102" ht="13.8" thickBot="1">
      <c r="B184" s="22"/>
      <c r="C184" s="21"/>
      <c r="D184" s="136"/>
      <c r="E184" s="70"/>
      <c r="F184" s="18"/>
      <c r="G184" s="20"/>
      <c r="H184" s="54"/>
      <c r="I184" s="54"/>
      <c r="J184" s="147"/>
      <c r="K184" s="220"/>
      <c r="L184" s="149"/>
      <c r="M184" s="163"/>
      <c r="N184" s="18"/>
      <c r="O184" s="190"/>
      <c r="P184" s="20"/>
      <c r="Q184" s="97"/>
      <c r="R184" s="16"/>
      <c r="S184" s="160"/>
      <c r="T184" s="264"/>
      <c r="U184" s="349"/>
      <c r="V184" s="12"/>
      <c r="W184" s="14"/>
      <c r="X184" s="205"/>
      <c r="Y184" s="202"/>
      <c r="Z184" s="201"/>
      <c r="AA184" s="12"/>
      <c r="AB184" s="14"/>
      <c r="AC184" s="14"/>
      <c r="AD184" s="14"/>
      <c r="AE184" s="14"/>
      <c r="AF184" s="64"/>
      <c r="AG184" s="10"/>
      <c r="AH184" s="14"/>
      <c r="AI184" s="11"/>
      <c r="AJ184" s="12"/>
      <c r="AK184" s="201"/>
      <c r="AL184" s="12"/>
      <c r="AM184" s="55"/>
      <c r="AN184" s="14"/>
      <c r="AO184" s="14"/>
      <c r="AP184" s="14"/>
      <c r="AQ184" s="13"/>
      <c r="AR184" s="10"/>
      <c r="AS184" s="14"/>
      <c r="AT184" s="11"/>
      <c r="AU184" s="12"/>
      <c r="AV184" s="201"/>
      <c r="AW184" s="12"/>
      <c r="AX184" s="55"/>
      <c r="AY184" s="14"/>
      <c r="AZ184" s="14"/>
      <c r="BA184" s="14"/>
      <c r="BB184" s="13"/>
      <c r="BC184" s="10"/>
      <c r="BD184" s="14"/>
      <c r="BE184" s="11"/>
      <c r="BF184" s="12"/>
      <c r="BG184" s="201"/>
      <c r="BH184" s="12"/>
      <c r="BI184" s="55"/>
      <c r="BJ184" s="14"/>
      <c r="BK184" s="14"/>
      <c r="BL184" s="14"/>
      <c r="BM184" s="13"/>
      <c r="BN184" s="10"/>
      <c r="BO184" s="14"/>
      <c r="BP184" s="11"/>
      <c r="BQ184" s="12"/>
      <c r="BR184" s="201"/>
      <c r="BS184" s="12"/>
      <c r="BT184" s="55"/>
      <c r="BU184" s="14"/>
      <c r="BV184" s="14"/>
      <c r="BW184" s="14"/>
      <c r="BX184" s="13"/>
      <c r="BY184" s="73"/>
      <c r="BZ184" s="374"/>
      <c r="CA184" s="363"/>
      <c r="CB184" s="316"/>
      <c r="CC184" s="262"/>
      <c r="CD184" s="262"/>
      <c r="CE184" s="262"/>
      <c r="CF184" s="262"/>
      <c r="CG184" s="262"/>
      <c r="CH184" s="262"/>
      <c r="CI184" s="262"/>
      <c r="CJ184" s="262"/>
      <c r="CK184" s="262"/>
      <c r="CL184" s="355"/>
      <c r="CM184" s="272"/>
      <c r="CN184" s="426"/>
      <c r="CO184" s="190"/>
      <c r="CP184" s="190"/>
      <c r="CQ184" s="189"/>
      <c r="CR184" s="1"/>
      <c r="CS184" s="1"/>
      <c r="CT184" s="1"/>
      <c r="CU184" s="1"/>
      <c r="CV184" s="1"/>
      <c r="CW184" s="2"/>
      <c r="CX184" s="603"/>
    </row>
    <row r="187" spans="1:102">
      <c r="J187" s="62"/>
      <c r="L187" s="2"/>
    </row>
    <row r="188" spans="1:102">
      <c r="Q188" s="71"/>
    </row>
    <row r="189" spans="1:102">
      <c r="L189" s="72"/>
    </row>
    <row r="190" spans="1:102">
      <c r="L190" s="72"/>
    </row>
    <row r="191" spans="1:102">
      <c r="L191" s="72"/>
    </row>
    <row r="192" spans="1:102">
      <c r="L192" s="72"/>
    </row>
    <row r="194" spans="12:12">
      <c r="L194" s="72"/>
    </row>
    <row r="195" spans="12:12">
      <c r="L195" s="72"/>
    </row>
    <row r="196" spans="12:12">
      <c r="L196" s="72"/>
    </row>
    <row r="197" spans="12:12">
      <c r="L197" s="72"/>
    </row>
  </sheetData>
  <mergeCells count="51">
    <mergeCell ref="CR3:CX3"/>
    <mergeCell ref="CR4:CW4"/>
    <mergeCell ref="CX4:CX5"/>
    <mergeCell ref="B3:L3"/>
    <mergeCell ref="Q3:S3"/>
    <mergeCell ref="M3:P3"/>
    <mergeCell ref="P4:P5"/>
    <mergeCell ref="N4:N5"/>
    <mergeCell ref="O4:O5"/>
    <mergeCell ref="M4:M5"/>
    <mergeCell ref="V3:AF3"/>
    <mergeCell ref="AA4:AF4"/>
    <mergeCell ref="X4:Z4"/>
    <mergeCell ref="V4:W4"/>
    <mergeCell ref="T3:U3"/>
    <mergeCell ref="T4:T5"/>
    <mergeCell ref="U4:U5"/>
    <mergeCell ref="R4:R5"/>
    <mergeCell ref="S4:S5"/>
    <mergeCell ref="C4:C5"/>
    <mergeCell ref="B4:B5"/>
    <mergeCell ref="H4:H5"/>
    <mergeCell ref="I4:I5"/>
    <mergeCell ref="Q4:Q5"/>
    <mergeCell ref="D4:G4"/>
    <mergeCell ref="J4:J5"/>
    <mergeCell ref="K4:K5"/>
    <mergeCell ref="L4:L5"/>
    <mergeCell ref="AG3:AQ3"/>
    <mergeCell ref="AG4:AH4"/>
    <mergeCell ref="AI4:AK4"/>
    <mergeCell ref="AL4:AQ4"/>
    <mergeCell ref="AR3:BB3"/>
    <mergeCell ref="AR4:AS4"/>
    <mergeCell ref="AT4:AV4"/>
    <mergeCell ref="AW4:BB4"/>
    <mergeCell ref="BY3:BY5"/>
    <mergeCell ref="BZ3:BZ5"/>
    <mergeCell ref="BC3:BM3"/>
    <mergeCell ref="BC4:BD4"/>
    <mergeCell ref="BE4:BG4"/>
    <mergeCell ref="BH4:BM4"/>
    <mergeCell ref="BN3:BX3"/>
    <mergeCell ref="BN4:BO4"/>
    <mergeCell ref="BP4:BR4"/>
    <mergeCell ref="BS4:BX4"/>
    <mergeCell ref="CN3:CQ3"/>
    <mergeCell ref="CN4:CQ4"/>
    <mergeCell ref="CA3:CM3"/>
    <mergeCell ref="CA4:CA5"/>
    <mergeCell ref="CB4:CM4"/>
  </mergeCells>
  <phoneticPr fontId="15"/>
  <pageMargins left="0.7" right="0.7" top="0.75" bottom="0.75" header="0.3" footer="0.3"/>
  <pageSetup paperSize="1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67" r:id="rId4" name="Button 95">
              <controlPr defaultSize="0" print="0" autoFill="0" autoPict="0" macro="[0]!予測値入力">
                <anchor>
                  <from>
                    <xdr:col>1</xdr:col>
                    <xdr:colOff>0</xdr:colOff>
                    <xdr:row>0</xdr:row>
                    <xdr:rowOff>53340</xdr:rowOff>
                  </from>
                  <to>
                    <xdr:col>1</xdr:col>
                    <xdr:colOff>998220</xdr:colOff>
                    <xdr:row>1</xdr:row>
                    <xdr:rowOff>83820</xdr:rowOff>
                  </to>
                </anchor>
              </controlPr>
            </control>
          </mc:Choice>
        </mc:AlternateContent>
        <mc:AlternateContent xmlns:mc="http://schemas.openxmlformats.org/markup-compatibility/2006">
          <mc:Choice Requires="x14">
            <control shapeId="3168" r:id="rId5" name="Button 96">
              <controlPr defaultSize="0" print="0" autoFill="0" autoPict="0" macro="[0]!全一覧作成">
                <anchor>
                  <from>
                    <xdr:col>1</xdr:col>
                    <xdr:colOff>1089660</xdr:colOff>
                    <xdr:row>0</xdr:row>
                    <xdr:rowOff>53340</xdr:rowOff>
                  </from>
                  <to>
                    <xdr:col>2</xdr:col>
                    <xdr:colOff>114300</xdr:colOff>
                    <xdr:row>1</xdr:row>
                    <xdr:rowOff>83820</xdr:rowOff>
                  </to>
                </anchor>
              </controlPr>
            </control>
          </mc:Choice>
        </mc:AlternateContent>
        <mc:AlternateContent xmlns:mc="http://schemas.openxmlformats.org/markup-compatibility/2006">
          <mc:Choice Requires="x14">
            <control shapeId="3169" r:id="rId6" name="Button 97">
              <controlPr defaultSize="0" print="0" autoFill="0" autoPict="0" macro="[0]!wikiデータ生成">
                <anchor>
                  <from>
                    <xdr:col>3</xdr:col>
                    <xdr:colOff>106680</xdr:colOff>
                    <xdr:row>0</xdr:row>
                    <xdr:rowOff>60960</xdr:rowOff>
                  </from>
                  <to>
                    <xdr:col>7</xdr:col>
                    <xdr:colOff>213360</xdr:colOff>
                    <xdr:row>1</xdr:row>
                    <xdr:rowOff>91440</xdr:rowOff>
                  </to>
                </anchor>
              </controlPr>
            </control>
          </mc:Choice>
        </mc:AlternateContent>
        <mc:AlternateContent xmlns:mc="http://schemas.openxmlformats.org/markup-compatibility/2006">
          <mc:Choice Requires="x14">
            <control shapeId="3170" r:id="rId7" name="Button 98">
              <controlPr defaultSize="0" print="0" autoFill="0" autoPict="0" macro="[0]!個別データ生成">
                <anchor>
                  <from>
                    <xdr:col>7</xdr:col>
                    <xdr:colOff>281940</xdr:colOff>
                    <xdr:row>0</xdr:row>
                    <xdr:rowOff>53340</xdr:rowOff>
                  </from>
                  <to>
                    <xdr:col>10</xdr:col>
                    <xdr:colOff>68580</xdr:colOff>
                    <xdr:row>1</xdr:row>
                    <xdr:rowOff>99060</xdr:rowOff>
                  </to>
                </anchor>
              </controlPr>
            </control>
          </mc:Choice>
        </mc:AlternateContent>
        <mc:AlternateContent xmlns:mc="http://schemas.openxmlformats.org/markup-compatibility/2006">
          <mc:Choice Requires="x14">
            <control shapeId="3171" r:id="rId8" name="Button 99">
              <controlPr defaultSize="0" print="0" autoFill="0" autoPict="0" macro="[0]!MakeFastData">
                <anchor>
                  <from>
                    <xdr:col>10</xdr:col>
                    <xdr:colOff>137160</xdr:colOff>
                    <xdr:row>0</xdr:row>
                    <xdr:rowOff>53340</xdr:rowOff>
                  </from>
                  <to>
                    <xdr:col>11</xdr:col>
                    <xdr:colOff>472440</xdr:colOff>
                    <xdr:row>1</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B2:EJ15"/>
  <sheetViews>
    <sheetView zoomScale="85" zoomScaleNormal="85" workbookViewId="0">
      <selection activeCell="B42" sqref="B42"/>
    </sheetView>
  </sheetViews>
  <sheetFormatPr defaultRowHeight="13.2"/>
  <cols>
    <col min="1" max="1" width="4.6640625" customWidth="1"/>
    <col min="2" max="2" width="28.77734375" style="444" bestFit="1" customWidth="1"/>
    <col min="3" max="3" width="8.33203125" style="444" bestFit="1" customWidth="1"/>
    <col min="4" max="4" width="3.6640625" style="444" bestFit="1" customWidth="1"/>
    <col min="5" max="7" width="3.6640625" bestFit="1" customWidth="1"/>
    <col min="8" max="8" width="4.5546875" bestFit="1" customWidth="1"/>
    <col min="9" max="9" width="8.109375" bestFit="1" customWidth="1"/>
    <col min="10" max="10" width="6.77734375" bestFit="1" customWidth="1"/>
    <col min="11" max="11" width="7.77734375" bestFit="1" customWidth="1"/>
    <col min="12" max="12" width="7.5546875" bestFit="1" customWidth="1"/>
    <col min="13" max="13" width="6" bestFit="1" customWidth="1"/>
    <col min="14" max="14" width="7.6640625" bestFit="1" customWidth="1"/>
    <col min="15" max="15" width="12.109375" bestFit="1" customWidth="1"/>
    <col min="16" max="16" width="5.5546875" bestFit="1" customWidth="1"/>
    <col min="17" max="17" width="8" bestFit="1" customWidth="1"/>
    <col min="18" max="18" width="6.6640625" bestFit="1" customWidth="1"/>
    <col min="20" max="20" width="13" bestFit="1" customWidth="1"/>
    <col min="21" max="21" width="28.44140625" bestFit="1" customWidth="1"/>
    <col min="22" max="22" width="6.77734375" bestFit="1" customWidth="1"/>
    <col min="23" max="23" width="6.6640625" bestFit="1" customWidth="1"/>
    <col min="24" max="24" width="6.77734375" style="444" bestFit="1" customWidth="1"/>
    <col min="25" max="25" width="7.77734375" style="444" bestFit="1" customWidth="1"/>
    <col min="26" max="26" width="5" bestFit="1" customWidth="1"/>
    <col min="27" max="28" width="7.77734375" bestFit="1" customWidth="1"/>
    <col min="29" max="29" width="6.77734375" style="444" bestFit="1" customWidth="1"/>
    <col min="30" max="30" width="7.77734375" style="444" bestFit="1" customWidth="1"/>
    <col min="31" max="31" width="7.77734375" customWidth="1"/>
    <col min="32" max="32" width="11.44140625" customWidth="1"/>
    <col min="33" max="35" width="3.21875" bestFit="1" customWidth="1"/>
    <col min="36" max="36" width="7.77734375" bestFit="1" customWidth="1"/>
    <col min="37" max="37" width="9.44140625" style="444" bestFit="1" customWidth="1"/>
    <col min="38" max="38" width="10.33203125" style="444" bestFit="1" customWidth="1"/>
    <col min="39" max="39" width="6.77734375" bestFit="1" customWidth="1"/>
    <col min="40" max="40" width="6.6640625" bestFit="1" customWidth="1"/>
    <col min="41" max="41" width="6.77734375" style="444" bestFit="1" customWidth="1"/>
    <col min="42" max="42" width="7.77734375" style="444" bestFit="1" customWidth="1"/>
    <col min="43" max="43" width="5" bestFit="1" customWidth="1"/>
    <col min="44" max="44" width="7.77734375" bestFit="1" customWidth="1"/>
    <col min="46" max="46" width="6.77734375" style="444" bestFit="1" customWidth="1"/>
    <col min="47" max="47" width="7.77734375" style="444" bestFit="1" customWidth="1"/>
    <col min="48" max="48" width="6.77734375" bestFit="1" customWidth="1"/>
    <col min="49" max="49" width="11.44140625" bestFit="1" customWidth="1"/>
    <col min="50" max="52" width="3.21875" bestFit="1" customWidth="1"/>
    <col min="53" max="53" width="7.77734375" bestFit="1" customWidth="1"/>
    <col min="54" max="54" width="9.44140625" bestFit="1" customWidth="1"/>
    <col min="55" max="55" width="10.33203125" bestFit="1" customWidth="1"/>
    <col min="56" max="58" width="6.77734375" bestFit="1" customWidth="1"/>
    <col min="59" max="59" width="7.77734375" bestFit="1" customWidth="1"/>
    <col min="60" max="60" width="5" bestFit="1" customWidth="1"/>
    <col min="61" max="61" width="7.77734375" bestFit="1" customWidth="1"/>
    <col min="63" max="63" width="6.77734375" bestFit="1" customWidth="1"/>
    <col min="64" max="65" width="7.77734375" bestFit="1" customWidth="1"/>
    <col min="66" max="66" width="11.44140625" bestFit="1" customWidth="1"/>
    <col min="67" max="67" width="3.21875" bestFit="1" customWidth="1"/>
    <col min="68" max="68" width="4.33203125" bestFit="1" customWidth="1"/>
    <col min="69" max="69" width="3.21875" bestFit="1" customWidth="1"/>
    <col min="70" max="70" width="7.77734375" bestFit="1" customWidth="1"/>
    <col min="71" max="71" width="9.44140625" bestFit="1" customWidth="1"/>
    <col min="72" max="72" width="10.33203125" bestFit="1" customWidth="1"/>
    <col min="73" max="75" width="6.77734375" bestFit="1" customWidth="1"/>
    <col min="76" max="76" width="7.77734375" bestFit="1" customWidth="1"/>
    <col min="77" max="77" width="5" bestFit="1" customWidth="1"/>
    <col min="78" max="78" width="7.77734375" bestFit="1" customWidth="1"/>
    <col min="80" max="80" width="6.77734375" bestFit="1" customWidth="1"/>
    <col min="81" max="82" width="7.77734375" bestFit="1" customWidth="1"/>
    <col min="83" max="83" width="11.44140625" bestFit="1" customWidth="1"/>
    <col min="84" max="84" width="3.21875" bestFit="1" customWidth="1"/>
    <col min="85" max="85" width="4.33203125" bestFit="1" customWidth="1"/>
    <col min="86" max="86" width="3.21875" bestFit="1" customWidth="1"/>
    <col min="87" max="87" width="7.77734375" bestFit="1" customWidth="1"/>
    <col min="88" max="88" width="9.44140625" bestFit="1" customWidth="1"/>
    <col min="89" max="89" width="10.33203125" bestFit="1" customWidth="1"/>
    <col min="90" max="92" width="6.77734375" bestFit="1" customWidth="1"/>
    <col min="93" max="93" width="7.77734375" bestFit="1" customWidth="1"/>
    <col min="94" max="94" width="5" bestFit="1" customWidth="1"/>
    <col min="95" max="95" width="7.77734375" bestFit="1" customWidth="1"/>
    <col min="97" max="97" width="6.77734375" bestFit="1" customWidth="1"/>
    <col min="98" max="99" width="7.77734375" bestFit="1" customWidth="1"/>
    <col min="100" max="100" width="11.44140625" bestFit="1" customWidth="1"/>
    <col min="101" max="101" width="3.21875" bestFit="1" customWidth="1"/>
    <col min="102" max="103" width="4.33203125" bestFit="1" customWidth="1"/>
    <col min="104" max="104" width="7.77734375" bestFit="1" customWidth="1"/>
    <col min="105" max="105" width="9.44140625" bestFit="1" customWidth="1"/>
    <col min="106" max="106" width="10.33203125" bestFit="1" customWidth="1"/>
    <col min="107" max="107" width="9.21875" bestFit="1" customWidth="1"/>
    <col min="108" max="108" width="12.6640625" bestFit="1" customWidth="1"/>
    <col min="109" max="109" width="3.21875" bestFit="1" customWidth="1"/>
    <col min="110" max="111" width="3.6640625" bestFit="1" customWidth="1"/>
    <col min="112" max="112" width="8.88671875" bestFit="1" customWidth="1"/>
    <col min="113" max="113" width="9.44140625" bestFit="1" customWidth="1"/>
    <col min="114" max="114" width="8.88671875" bestFit="1" customWidth="1"/>
    <col min="115" max="115" width="6.5546875" bestFit="1" customWidth="1"/>
    <col min="116" max="116" width="5" bestFit="1" customWidth="1"/>
    <col min="117" max="117" width="7.77734375" bestFit="1" customWidth="1"/>
    <col min="118" max="120" width="10.33203125" bestFit="1" customWidth="1"/>
    <col min="121" max="121" width="11.44140625" bestFit="1" customWidth="1"/>
    <col min="122" max="122" width="10.33203125" bestFit="1" customWidth="1"/>
    <col min="123" max="127" width="8.88671875" bestFit="1" customWidth="1"/>
    <col min="128" max="128" width="3.33203125" bestFit="1" customWidth="1"/>
    <col min="129" max="129" width="5" bestFit="1" customWidth="1"/>
    <col min="130" max="130" width="6.21875" bestFit="1" customWidth="1"/>
    <col min="131" max="133" width="3.6640625" bestFit="1" customWidth="1"/>
    <col min="134" max="134" width="6.33203125" bestFit="1" customWidth="1"/>
    <col min="135" max="135" width="5.33203125" bestFit="1" customWidth="1"/>
    <col min="136" max="138" width="6.77734375" bestFit="1" customWidth="1"/>
    <col min="139" max="139" width="6.6640625" bestFit="1" customWidth="1"/>
    <col min="140" max="140" width="95.109375" bestFit="1" customWidth="1"/>
  </cols>
  <sheetData>
    <row r="2" spans="2:140" s="60" customFormat="1" ht="13.8" thickBot="1">
      <c r="Q2" s="60">
        <v>0</v>
      </c>
      <c r="R2" s="60">
        <v>0</v>
      </c>
      <c r="S2" s="60">
        <v>0</v>
      </c>
      <c r="T2" s="60">
        <v>0</v>
      </c>
      <c r="U2" s="60">
        <v>0</v>
      </c>
      <c r="DL2" s="60">
        <v>0</v>
      </c>
      <c r="DM2" s="60">
        <v>0</v>
      </c>
      <c r="DO2" s="60">
        <v>0</v>
      </c>
      <c r="DP2" s="60">
        <v>0</v>
      </c>
      <c r="DQ2" s="60">
        <v>0</v>
      </c>
      <c r="DR2" s="60">
        <v>0</v>
      </c>
      <c r="DS2" s="60">
        <v>0</v>
      </c>
      <c r="DT2" s="60">
        <v>0</v>
      </c>
      <c r="DU2" s="60">
        <v>0</v>
      </c>
      <c r="DV2" s="60">
        <v>0</v>
      </c>
      <c r="DW2" s="60">
        <v>0</v>
      </c>
      <c r="DX2" s="60">
        <v>0</v>
      </c>
      <c r="DY2" s="60">
        <v>0</v>
      </c>
      <c r="DZ2" s="60">
        <v>0</v>
      </c>
      <c r="EA2" s="60">
        <v>0</v>
      </c>
      <c r="EB2" s="60">
        <v>0</v>
      </c>
      <c r="EC2" s="60">
        <v>0</v>
      </c>
      <c r="EJ2" s="60">
        <v>0</v>
      </c>
    </row>
    <row r="3" spans="2:140" s="444" customFormat="1" ht="13.8" thickBot="1">
      <c r="B3" s="645" t="s">
        <v>293</v>
      </c>
      <c r="C3" s="642"/>
      <c r="D3" s="642"/>
      <c r="E3" s="642"/>
      <c r="F3" s="642"/>
      <c r="G3" s="642"/>
      <c r="H3" s="642"/>
      <c r="I3" s="642"/>
      <c r="J3" s="642"/>
      <c r="K3" s="642"/>
      <c r="L3" s="643"/>
      <c r="M3" s="642" t="s">
        <v>292</v>
      </c>
      <c r="N3" s="642"/>
      <c r="O3" s="642"/>
      <c r="P3" s="644"/>
      <c r="Q3" s="642" t="s">
        <v>670</v>
      </c>
      <c r="R3" s="642"/>
      <c r="S3" s="644"/>
      <c r="T3" s="642" t="s">
        <v>671</v>
      </c>
      <c r="U3" s="642"/>
      <c r="V3" s="648" t="s">
        <v>23</v>
      </c>
      <c r="W3" s="642"/>
      <c r="X3" s="642"/>
      <c r="Y3" s="642"/>
      <c r="Z3" s="642"/>
      <c r="AA3" s="642"/>
      <c r="AB3" s="642"/>
      <c r="AC3" s="642"/>
      <c r="AD3" s="642"/>
      <c r="AE3" s="642"/>
      <c r="AF3" s="642"/>
      <c r="AG3" s="642"/>
      <c r="AH3" s="642"/>
      <c r="AI3" s="642"/>
      <c r="AJ3" s="642"/>
      <c r="AK3" s="620"/>
      <c r="AL3" s="621"/>
      <c r="AM3" s="648" t="s">
        <v>674</v>
      </c>
      <c r="AN3" s="642"/>
      <c r="AO3" s="642"/>
      <c r="AP3" s="642"/>
      <c r="AQ3" s="642"/>
      <c r="AR3" s="642"/>
      <c r="AS3" s="642"/>
      <c r="AT3" s="642"/>
      <c r="AU3" s="642"/>
      <c r="AV3" s="642"/>
      <c r="AW3" s="642"/>
      <c r="AX3" s="642"/>
      <c r="AY3" s="642"/>
      <c r="AZ3" s="642"/>
      <c r="BA3" s="642"/>
      <c r="BB3" s="620"/>
      <c r="BC3" s="621"/>
      <c r="BD3" s="648" t="s">
        <v>298</v>
      </c>
      <c r="BE3" s="642"/>
      <c r="BF3" s="642"/>
      <c r="BG3" s="642"/>
      <c r="BH3" s="642"/>
      <c r="BI3" s="642"/>
      <c r="BJ3" s="642"/>
      <c r="BK3" s="642"/>
      <c r="BL3" s="642"/>
      <c r="BM3" s="642"/>
      <c r="BN3" s="642"/>
      <c r="BO3" s="642"/>
      <c r="BP3" s="642"/>
      <c r="BQ3" s="642"/>
      <c r="BR3" s="642"/>
      <c r="BS3" s="620"/>
      <c r="BT3" s="621"/>
      <c r="BU3" s="648" t="s">
        <v>299</v>
      </c>
      <c r="BV3" s="642"/>
      <c r="BW3" s="642"/>
      <c r="BX3" s="642"/>
      <c r="BY3" s="642"/>
      <c r="BZ3" s="642"/>
      <c r="CA3" s="642"/>
      <c r="CB3" s="642"/>
      <c r="CC3" s="642"/>
      <c r="CD3" s="642"/>
      <c r="CE3" s="642"/>
      <c r="CF3" s="642"/>
      <c r="CG3" s="642"/>
      <c r="CH3" s="642"/>
      <c r="CI3" s="642"/>
      <c r="CJ3" s="620"/>
      <c r="CK3" s="621"/>
      <c r="CL3" s="648" t="s">
        <v>300</v>
      </c>
      <c r="CM3" s="642"/>
      <c r="CN3" s="642"/>
      <c r="CO3" s="642"/>
      <c r="CP3" s="642"/>
      <c r="CQ3" s="642"/>
      <c r="CR3" s="642"/>
      <c r="CS3" s="642"/>
      <c r="CT3" s="642"/>
      <c r="CU3" s="642"/>
      <c r="CV3" s="642"/>
      <c r="CW3" s="642"/>
      <c r="CX3" s="642"/>
      <c r="CY3" s="642"/>
      <c r="CZ3" s="642"/>
      <c r="DA3" s="620"/>
      <c r="DB3" s="621"/>
      <c r="DC3" s="648" t="s">
        <v>1</v>
      </c>
      <c r="DD3" s="642"/>
      <c r="DE3" s="642"/>
      <c r="DF3" s="642"/>
      <c r="DG3" s="642"/>
      <c r="DH3" s="642"/>
      <c r="DI3" s="642"/>
      <c r="DJ3" s="643"/>
      <c r="DK3" s="675" t="s">
        <v>675</v>
      </c>
      <c r="DL3" s="676"/>
      <c r="DM3" s="676"/>
      <c r="DN3" s="676"/>
      <c r="DO3" s="676"/>
      <c r="DP3" s="676"/>
      <c r="DQ3" s="676"/>
      <c r="DR3" s="676"/>
      <c r="DS3" s="676"/>
      <c r="DT3" s="676"/>
      <c r="DU3" s="676"/>
      <c r="DV3" s="676"/>
      <c r="DW3" s="676"/>
      <c r="DX3" s="676"/>
      <c r="DY3" s="677"/>
      <c r="DZ3" s="676" t="s">
        <v>46</v>
      </c>
      <c r="EA3" s="676"/>
      <c r="EB3" s="676"/>
      <c r="EC3" s="677"/>
      <c r="ED3" s="676" t="s">
        <v>589</v>
      </c>
      <c r="EE3" s="676"/>
      <c r="EF3" s="676"/>
      <c r="EG3" s="676"/>
      <c r="EH3" s="676"/>
      <c r="EI3" s="676"/>
      <c r="EJ3" s="678"/>
    </row>
    <row r="4" spans="2:140" s="444" customFormat="1" ht="29.4" thickTop="1">
      <c r="B4" s="664" t="s">
        <v>26</v>
      </c>
      <c r="C4" s="668" t="s">
        <v>273</v>
      </c>
      <c r="D4" s="666" t="s">
        <v>45</v>
      </c>
      <c r="E4" s="633" t="s">
        <v>3</v>
      </c>
      <c r="F4" s="633" t="s">
        <v>8</v>
      </c>
      <c r="G4" s="662" t="s">
        <v>13</v>
      </c>
      <c r="H4" s="631" t="s">
        <v>37</v>
      </c>
      <c r="I4" s="631" t="s">
        <v>27</v>
      </c>
      <c r="J4" s="661" t="s">
        <v>284</v>
      </c>
      <c r="K4" s="191" t="s">
        <v>285</v>
      </c>
      <c r="L4" s="659" t="s">
        <v>286</v>
      </c>
      <c r="M4" s="658" t="s">
        <v>290</v>
      </c>
      <c r="N4" s="629" t="s">
        <v>287</v>
      </c>
      <c r="O4" s="192" t="s">
        <v>266</v>
      </c>
      <c r="P4" s="630" t="s">
        <v>274</v>
      </c>
      <c r="Q4" s="654" t="s">
        <v>2</v>
      </c>
      <c r="R4" s="192" t="s">
        <v>18</v>
      </c>
      <c r="S4" s="657" t="s">
        <v>624</v>
      </c>
      <c r="T4" s="651" t="s">
        <v>267</v>
      </c>
      <c r="U4" s="646" t="s">
        <v>276</v>
      </c>
      <c r="V4" s="649" t="s">
        <v>2</v>
      </c>
      <c r="W4" s="192" t="s">
        <v>18</v>
      </c>
      <c r="X4" s="629" t="s">
        <v>673</v>
      </c>
      <c r="Y4" s="630" t="s">
        <v>672</v>
      </c>
      <c r="Z4" s="651" t="s">
        <v>24</v>
      </c>
      <c r="AA4" s="191" t="s">
        <v>666</v>
      </c>
      <c r="AB4" s="191" t="s">
        <v>667</v>
      </c>
      <c r="AC4" s="629" t="s">
        <v>664</v>
      </c>
      <c r="AD4" s="630" t="s">
        <v>665</v>
      </c>
      <c r="AE4" s="654" t="s">
        <v>21</v>
      </c>
      <c r="AF4" s="192" t="s">
        <v>22</v>
      </c>
      <c r="AG4" s="192" t="s">
        <v>162</v>
      </c>
      <c r="AH4" s="192" t="s">
        <v>163</v>
      </c>
      <c r="AI4" s="192" t="s">
        <v>164</v>
      </c>
      <c r="AJ4" s="192" t="s">
        <v>34</v>
      </c>
      <c r="AK4" s="629" t="s">
        <v>676</v>
      </c>
      <c r="AL4" s="711" t="s">
        <v>677</v>
      </c>
      <c r="AM4" s="649" t="s">
        <v>2</v>
      </c>
      <c r="AN4" s="192" t="s">
        <v>18</v>
      </c>
      <c r="AO4" s="629" t="s">
        <v>673</v>
      </c>
      <c r="AP4" s="630" t="s">
        <v>672</v>
      </c>
      <c r="AQ4" s="651" t="s">
        <v>24</v>
      </c>
      <c r="AR4" s="191" t="s">
        <v>666</v>
      </c>
      <c r="AS4" s="191" t="s">
        <v>667</v>
      </c>
      <c r="AT4" s="629" t="s">
        <v>664</v>
      </c>
      <c r="AU4" s="630" t="s">
        <v>665</v>
      </c>
      <c r="AV4" s="654" t="s">
        <v>21</v>
      </c>
      <c r="AW4" s="192" t="s">
        <v>22</v>
      </c>
      <c r="AX4" s="192" t="s">
        <v>162</v>
      </c>
      <c r="AY4" s="192" t="s">
        <v>163</v>
      </c>
      <c r="AZ4" s="192" t="s">
        <v>164</v>
      </c>
      <c r="BA4" s="192" t="s">
        <v>34</v>
      </c>
      <c r="BB4" s="629" t="s">
        <v>676</v>
      </c>
      <c r="BC4" s="711" t="s">
        <v>677</v>
      </c>
      <c r="BD4" s="649" t="s">
        <v>2</v>
      </c>
      <c r="BE4" s="192" t="s">
        <v>18</v>
      </c>
      <c r="BF4" s="629" t="s">
        <v>673</v>
      </c>
      <c r="BG4" s="630" t="s">
        <v>672</v>
      </c>
      <c r="BH4" s="651" t="s">
        <v>24</v>
      </c>
      <c r="BI4" s="191" t="s">
        <v>666</v>
      </c>
      <c r="BJ4" s="191" t="s">
        <v>667</v>
      </c>
      <c r="BK4" s="629" t="s">
        <v>664</v>
      </c>
      <c r="BL4" s="630" t="s">
        <v>665</v>
      </c>
      <c r="BM4" s="654" t="s">
        <v>21</v>
      </c>
      <c r="BN4" s="192" t="s">
        <v>22</v>
      </c>
      <c r="BO4" s="192" t="s">
        <v>162</v>
      </c>
      <c r="BP4" s="192" t="s">
        <v>163</v>
      </c>
      <c r="BQ4" s="192" t="s">
        <v>164</v>
      </c>
      <c r="BR4" s="192" t="s">
        <v>34</v>
      </c>
      <c r="BS4" s="629" t="s">
        <v>676</v>
      </c>
      <c r="BT4" s="711" t="s">
        <v>677</v>
      </c>
      <c r="BU4" s="649" t="s">
        <v>2</v>
      </c>
      <c r="BV4" s="192" t="s">
        <v>18</v>
      </c>
      <c r="BW4" s="629" t="s">
        <v>673</v>
      </c>
      <c r="BX4" s="630" t="s">
        <v>672</v>
      </c>
      <c r="BY4" s="651" t="s">
        <v>24</v>
      </c>
      <c r="BZ4" s="191" t="s">
        <v>666</v>
      </c>
      <c r="CA4" s="191" t="s">
        <v>667</v>
      </c>
      <c r="CB4" s="629" t="s">
        <v>664</v>
      </c>
      <c r="CC4" s="630" t="s">
        <v>665</v>
      </c>
      <c r="CD4" s="654" t="s">
        <v>21</v>
      </c>
      <c r="CE4" s="192" t="s">
        <v>22</v>
      </c>
      <c r="CF4" s="192" t="s">
        <v>162</v>
      </c>
      <c r="CG4" s="192" t="s">
        <v>163</v>
      </c>
      <c r="CH4" s="192" t="s">
        <v>164</v>
      </c>
      <c r="CI4" s="192" t="s">
        <v>34</v>
      </c>
      <c r="CJ4" s="629" t="s">
        <v>676</v>
      </c>
      <c r="CK4" s="711" t="s">
        <v>677</v>
      </c>
      <c r="CL4" s="649" t="s">
        <v>2</v>
      </c>
      <c r="CM4" s="192" t="s">
        <v>18</v>
      </c>
      <c r="CN4" s="629" t="s">
        <v>673</v>
      </c>
      <c r="CO4" s="630" t="s">
        <v>672</v>
      </c>
      <c r="CP4" s="651" t="s">
        <v>24</v>
      </c>
      <c r="CQ4" s="191" t="s">
        <v>666</v>
      </c>
      <c r="CR4" s="191" t="s">
        <v>667</v>
      </c>
      <c r="CS4" s="629" t="s">
        <v>664</v>
      </c>
      <c r="CT4" s="630" t="s">
        <v>665</v>
      </c>
      <c r="CU4" s="654" t="s">
        <v>21</v>
      </c>
      <c r="CV4" s="192" t="s">
        <v>22</v>
      </c>
      <c r="CW4" s="192" t="s">
        <v>162</v>
      </c>
      <c r="CX4" s="192" t="s">
        <v>163</v>
      </c>
      <c r="CY4" s="192" t="s">
        <v>164</v>
      </c>
      <c r="CZ4" s="192" t="s">
        <v>34</v>
      </c>
      <c r="DA4" s="629" t="s">
        <v>676</v>
      </c>
      <c r="DB4" s="711" t="s">
        <v>677</v>
      </c>
      <c r="DC4" s="654" t="s">
        <v>21</v>
      </c>
      <c r="DD4" s="192" t="s">
        <v>22</v>
      </c>
      <c r="DE4" s="192" t="s">
        <v>162</v>
      </c>
      <c r="DF4" s="192" t="s">
        <v>163</v>
      </c>
      <c r="DG4" s="192" t="s">
        <v>164</v>
      </c>
      <c r="DH4" s="192" t="s">
        <v>34</v>
      </c>
      <c r="DI4" s="632" t="s">
        <v>668</v>
      </c>
      <c r="DJ4" s="634" t="s">
        <v>669</v>
      </c>
      <c r="DK4" s="679" t="s">
        <v>304</v>
      </c>
      <c r="DL4" s="680" t="s">
        <v>148</v>
      </c>
      <c r="DM4" s="681" t="s">
        <v>312</v>
      </c>
      <c r="DN4" s="654">
        <v>1</v>
      </c>
      <c r="DO4" s="632">
        <v>2</v>
      </c>
      <c r="DP4" s="632">
        <v>3</v>
      </c>
      <c r="DQ4" s="632">
        <v>4</v>
      </c>
      <c r="DR4" s="632">
        <v>5</v>
      </c>
      <c r="DS4" s="632">
        <v>6</v>
      </c>
      <c r="DT4" s="632">
        <v>7</v>
      </c>
      <c r="DU4" s="632">
        <v>8</v>
      </c>
      <c r="DV4" s="632">
        <v>9</v>
      </c>
      <c r="DW4" s="632">
        <v>10</v>
      </c>
      <c r="DX4" s="682">
        <v>11</v>
      </c>
      <c r="DY4" s="668" t="s">
        <v>148</v>
      </c>
      <c r="DZ4" s="651">
        <v>1</v>
      </c>
      <c r="EA4" s="632">
        <v>2</v>
      </c>
      <c r="EB4" s="632">
        <v>3</v>
      </c>
      <c r="EC4" s="683">
        <v>4</v>
      </c>
      <c r="ED4" s="654" t="s">
        <v>91</v>
      </c>
      <c r="EE4" s="632" t="s">
        <v>92</v>
      </c>
      <c r="EF4" s="632" t="s">
        <v>93</v>
      </c>
      <c r="EG4" s="632" t="s">
        <v>94</v>
      </c>
      <c r="EH4" s="682" t="s">
        <v>90</v>
      </c>
      <c r="EI4" s="668" t="s">
        <v>588</v>
      </c>
      <c r="EJ4" s="607" t="s">
        <v>281</v>
      </c>
    </row>
    <row r="5" spans="2:140" s="444" customFormat="1" ht="13.8" thickBot="1">
      <c r="B5" s="665"/>
      <c r="C5" s="669"/>
      <c r="D5" s="667"/>
      <c r="E5" s="635"/>
      <c r="F5" s="636"/>
      <c r="G5" s="663"/>
      <c r="H5" s="622"/>
      <c r="I5" s="623"/>
      <c r="J5" s="624"/>
      <c r="K5" s="625"/>
      <c r="L5" s="660"/>
      <c r="M5" s="628"/>
      <c r="N5" s="626"/>
      <c r="O5" s="626"/>
      <c r="P5" s="627"/>
      <c r="Q5" s="628"/>
      <c r="R5" s="626"/>
      <c r="S5" s="627"/>
      <c r="T5" s="628"/>
      <c r="U5" s="647"/>
      <c r="V5" s="650"/>
      <c r="W5" s="637"/>
      <c r="X5" s="638"/>
      <c r="Y5" s="653"/>
      <c r="Z5" s="652"/>
      <c r="AA5" s="639"/>
      <c r="AB5" s="639"/>
      <c r="AC5" s="640"/>
      <c r="AD5" s="656"/>
      <c r="AE5" s="655"/>
      <c r="AF5" s="637"/>
      <c r="AG5" s="637"/>
      <c r="AH5" s="637"/>
      <c r="AI5" s="637"/>
      <c r="AJ5" s="637"/>
      <c r="AK5" s="638"/>
      <c r="AL5" s="641"/>
      <c r="AM5" s="650"/>
      <c r="AN5" s="637"/>
      <c r="AO5" s="638"/>
      <c r="AP5" s="653"/>
      <c r="AQ5" s="652"/>
      <c r="AR5" s="639"/>
      <c r="AS5" s="639"/>
      <c r="AT5" s="640"/>
      <c r="AU5" s="656"/>
      <c r="AV5" s="655"/>
      <c r="AW5" s="637"/>
      <c r="AX5" s="637"/>
      <c r="AY5" s="637"/>
      <c r="AZ5" s="637"/>
      <c r="BA5" s="637"/>
      <c r="BB5" s="638"/>
      <c r="BC5" s="641"/>
      <c r="BD5" s="650"/>
      <c r="BE5" s="637"/>
      <c r="BF5" s="638"/>
      <c r="BG5" s="653"/>
      <c r="BH5" s="652"/>
      <c r="BI5" s="639"/>
      <c r="BJ5" s="639"/>
      <c r="BK5" s="640"/>
      <c r="BL5" s="656"/>
      <c r="BM5" s="655"/>
      <c r="BN5" s="637"/>
      <c r="BO5" s="637"/>
      <c r="BP5" s="637"/>
      <c r="BQ5" s="637"/>
      <c r="BR5" s="637"/>
      <c r="BS5" s="638"/>
      <c r="BT5" s="641"/>
      <c r="BU5" s="650"/>
      <c r="BV5" s="637"/>
      <c r="BW5" s="638"/>
      <c r="BX5" s="653"/>
      <c r="BY5" s="652"/>
      <c r="BZ5" s="639"/>
      <c r="CA5" s="639"/>
      <c r="CB5" s="640"/>
      <c r="CC5" s="656"/>
      <c r="CD5" s="655"/>
      <c r="CE5" s="637"/>
      <c r="CF5" s="637"/>
      <c r="CG5" s="637"/>
      <c r="CH5" s="637"/>
      <c r="CI5" s="637"/>
      <c r="CJ5" s="638"/>
      <c r="CK5" s="641"/>
      <c r="CL5" s="650"/>
      <c r="CM5" s="637"/>
      <c r="CN5" s="638"/>
      <c r="CO5" s="653"/>
      <c r="CP5" s="652"/>
      <c r="CQ5" s="639"/>
      <c r="CR5" s="639"/>
      <c r="CS5" s="640"/>
      <c r="CT5" s="656"/>
      <c r="CU5" s="655"/>
      <c r="CV5" s="637"/>
      <c r="CW5" s="637"/>
      <c r="CX5" s="637"/>
      <c r="CY5" s="637"/>
      <c r="CZ5" s="637"/>
      <c r="DA5" s="638"/>
      <c r="DB5" s="641"/>
      <c r="DC5" s="655"/>
      <c r="DD5" s="637"/>
      <c r="DE5" s="637"/>
      <c r="DF5" s="637"/>
      <c r="DG5" s="637"/>
      <c r="DH5" s="637"/>
      <c r="DI5" s="638"/>
      <c r="DJ5" s="641"/>
      <c r="DK5" s="671"/>
      <c r="DL5" s="672"/>
      <c r="DM5" s="673"/>
      <c r="DN5" s="655"/>
      <c r="DO5" s="597"/>
      <c r="DP5" s="597"/>
      <c r="DQ5" s="597"/>
      <c r="DR5" s="597"/>
      <c r="DS5" s="597"/>
      <c r="DT5" s="597"/>
      <c r="DU5" s="597"/>
      <c r="DV5" s="597"/>
      <c r="DW5" s="597"/>
      <c r="DX5" s="598"/>
      <c r="DY5" s="599"/>
      <c r="DZ5" s="652"/>
      <c r="EA5" s="597"/>
      <c r="EB5" s="597"/>
      <c r="EC5" s="674"/>
      <c r="ED5" s="655"/>
      <c r="EE5" s="597"/>
      <c r="EF5" s="597"/>
      <c r="EG5" s="597"/>
      <c r="EH5" s="598"/>
      <c r="EI5" s="599"/>
      <c r="EJ5" s="670"/>
    </row>
    <row r="6" spans="2:140" s="444" customFormat="1">
      <c r="B6" s="203" t="s">
        <v>701</v>
      </c>
      <c r="C6" s="713"/>
      <c r="D6" s="684"/>
      <c r="E6" s="685"/>
      <c r="F6" s="686"/>
      <c r="G6" s="687"/>
      <c r="H6" s="688"/>
      <c r="I6" s="689"/>
      <c r="J6" s="690"/>
      <c r="K6" s="691"/>
      <c r="L6" s="692"/>
      <c r="M6" s="693"/>
      <c r="N6" s="686"/>
      <c r="O6" s="694"/>
      <c r="P6" s="695"/>
      <c r="Q6" s="696"/>
      <c r="R6" s="697"/>
      <c r="S6" s="698"/>
      <c r="T6" s="699"/>
      <c r="U6" s="700"/>
      <c r="V6" s="696"/>
      <c r="W6" s="697"/>
      <c r="X6" s="697"/>
      <c r="Y6" s="701"/>
      <c r="Z6" s="714"/>
      <c r="AA6" s="697"/>
      <c r="AB6" s="697"/>
      <c r="AC6" s="697"/>
      <c r="AD6" s="701"/>
      <c r="AE6" s="715"/>
      <c r="AF6" s="697"/>
      <c r="AG6" s="697"/>
      <c r="AH6" s="697"/>
      <c r="AI6" s="697"/>
      <c r="AJ6" s="697"/>
      <c r="AK6" s="716"/>
      <c r="AL6" s="702"/>
      <c r="AM6" s="696"/>
      <c r="AN6" s="697"/>
      <c r="AO6" s="697"/>
      <c r="AP6" s="701"/>
      <c r="AQ6" s="714"/>
      <c r="AR6" s="697"/>
      <c r="AS6" s="697"/>
      <c r="AT6" s="697"/>
      <c r="AU6" s="701"/>
      <c r="AV6" s="715"/>
      <c r="AW6" s="697"/>
      <c r="AX6" s="697"/>
      <c r="AY6" s="697"/>
      <c r="AZ6" s="697"/>
      <c r="BA6" s="697"/>
      <c r="BB6" s="716"/>
      <c r="BC6" s="702"/>
      <c r="BD6" s="696"/>
      <c r="BE6" s="697"/>
      <c r="BF6" s="697"/>
      <c r="BG6" s="701"/>
      <c r="BH6" s="714"/>
      <c r="BI6" s="697"/>
      <c r="BJ6" s="697"/>
      <c r="BK6" s="697"/>
      <c r="BL6" s="701"/>
      <c r="BM6" s="715"/>
      <c r="BN6" s="697"/>
      <c r="BO6" s="697"/>
      <c r="BP6" s="697"/>
      <c r="BQ6" s="697"/>
      <c r="BR6" s="697"/>
      <c r="BS6" s="716"/>
      <c r="BT6" s="702"/>
      <c r="BU6" s="696"/>
      <c r="BV6" s="697"/>
      <c r="BW6" s="697"/>
      <c r="BX6" s="701"/>
      <c r="BY6" s="714"/>
      <c r="BZ6" s="697"/>
      <c r="CA6" s="697"/>
      <c r="CB6" s="697"/>
      <c r="CC6" s="701"/>
      <c r="CD6" s="715"/>
      <c r="CE6" s="697"/>
      <c r="CF6" s="697"/>
      <c r="CG6" s="697"/>
      <c r="CH6" s="697"/>
      <c r="CI6" s="697"/>
      <c r="CJ6" s="716"/>
      <c r="CK6" s="702"/>
      <c r="CL6" s="696"/>
      <c r="CM6" s="697"/>
      <c r="CN6" s="697"/>
      <c r="CO6" s="701"/>
      <c r="CP6" s="714"/>
      <c r="CQ6" s="697"/>
      <c r="CR6" s="697"/>
      <c r="CS6" s="697"/>
      <c r="CT6" s="701"/>
      <c r="CU6" s="715"/>
      <c r="CV6" s="697"/>
      <c r="CW6" s="697"/>
      <c r="CX6" s="697"/>
      <c r="CY6" s="697"/>
      <c r="CZ6" s="697"/>
      <c r="DA6" s="716"/>
      <c r="DB6" s="702"/>
      <c r="DC6" s="717"/>
      <c r="DD6" s="63"/>
      <c r="DE6" s="718"/>
      <c r="DF6" s="718"/>
      <c r="DG6" s="718"/>
      <c r="DH6" s="63"/>
      <c r="DI6" s="719"/>
      <c r="DJ6" s="720"/>
      <c r="DK6" s="712"/>
      <c r="DL6" s="703"/>
      <c r="DM6" s="704"/>
      <c r="DN6" s="705"/>
      <c r="DO6" s="706"/>
      <c r="DP6" s="706"/>
      <c r="DQ6" s="706"/>
      <c r="DR6" s="706"/>
      <c r="DS6" s="706"/>
      <c r="DT6" s="706"/>
      <c r="DU6" s="706"/>
      <c r="DV6" s="706"/>
      <c r="DW6" s="706"/>
      <c r="DX6" s="707"/>
      <c r="DY6" s="708"/>
      <c r="DZ6" s="709"/>
      <c r="EA6" s="694"/>
      <c r="EB6" s="694"/>
      <c r="EC6" s="710"/>
      <c r="ED6" s="721"/>
      <c r="EE6" s="697"/>
      <c r="EF6" s="697"/>
      <c r="EG6" s="697"/>
      <c r="EH6" s="701"/>
      <c r="EI6" s="722"/>
      <c r="EJ6" s="723"/>
    </row>
    <row r="8" spans="2:140" ht="13.8" thickBot="1"/>
    <row r="9" spans="2:140" ht="13.8" thickBot="1">
      <c r="B9" s="724" t="s">
        <v>698</v>
      </c>
      <c r="C9" s="725">
        <v>173.25</v>
      </c>
      <c r="D9" s="726" t="s">
        <v>699</v>
      </c>
    </row>
    <row r="10" spans="2:140">
      <c r="C10" s="444" t="s">
        <v>704</v>
      </c>
    </row>
    <row r="11" spans="2:140">
      <c r="B11" s="444" t="s">
        <v>703</v>
      </c>
    </row>
    <row r="12" spans="2:140">
      <c r="B12" s="444" t="s">
        <v>700</v>
      </c>
    </row>
    <row r="15" spans="2:140">
      <c r="B15" s="444" t="s">
        <v>702</v>
      </c>
    </row>
  </sheetData>
  <phoneticPr fontId="1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049" r:id="rId3" name="Button 1">
              <controlPr defaultSize="0" print="0" autoFill="0" autoPict="0" macro="[0]!全一覧作成">
                <anchor moveWithCells="1">
                  <from>
                    <xdr:col>1</xdr:col>
                    <xdr:colOff>312420</xdr:colOff>
                    <xdr:row>12</xdr:row>
                    <xdr:rowOff>83820</xdr:rowOff>
                  </from>
                  <to>
                    <xdr:col>1</xdr:col>
                    <xdr:colOff>1310640</xdr:colOff>
                    <xdr:row>13</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B1:EJ180"/>
  <sheetViews>
    <sheetView zoomScale="85" zoomScaleNormal="85" workbookViewId="0">
      <pane xSplit="12" ySplit="5" topLeftCell="CJ6" activePane="bottomRight" state="frozen"/>
      <selection activeCell="L123" sqref="L123"/>
      <selection pane="topRight" activeCell="L123" sqref="L123"/>
      <selection pane="bottomLeft" activeCell="L123" sqref="L123"/>
      <selection pane="bottomRight" activeCell="M6" sqref="M6"/>
    </sheetView>
  </sheetViews>
  <sheetFormatPr defaultRowHeight="13.2"/>
  <cols>
    <col min="1" max="1" width="4.6640625" customWidth="1"/>
    <col min="2" max="2" width="28.77734375" customWidth="1"/>
    <col min="3" max="3" width="8.33203125" customWidth="1"/>
    <col min="4" max="7" width="3.6640625" customWidth="1"/>
    <col min="8" max="8" width="4.5546875" customWidth="1"/>
    <col min="9" max="9" width="8.109375" customWidth="1"/>
    <col min="10" max="10" width="6.77734375" customWidth="1"/>
    <col min="11" max="11" width="7.77734375" customWidth="1"/>
    <col min="12" max="12" width="7.5546875" customWidth="1"/>
    <col min="13" max="13" width="6" customWidth="1"/>
    <col min="14" max="14" width="7.6640625" customWidth="1"/>
    <col min="15" max="15" width="12.109375" customWidth="1"/>
    <col min="16" max="16" width="5.5546875" customWidth="1"/>
    <col min="17" max="17" width="8" hidden="1" customWidth="1"/>
    <col min="18" max="18" width="6.6640625" hidden="1" customWidth="1"/>
    <col min="19" max="19" width="8.88671875" hidden="1" customWidth="1"/>
    <col min="20" max="20" width="13" hidden="1" customWidth="1"/>
    <col min="21" max="21" width="28.44140625" hidden="1" customWidth="1"/>
    <col min="22" max="22" width="6.77734375" customWidth="1"/>
    <col min="23" max="23" width="6.6640625" customWidth="1"/>
    <col min="24" max="24" width="6.77734375" customWidth="1"/>
    <col min="25" max="25" width="7.77734375" customWidth="1"/>
    <col min="26" max="26" width="5" customWidth="1"/>
    <col min="27" max="28" width="7.77734375" customWidth="1"/>
    <col min="29" max="29" width="6.77734375" customWidth="1"/>
    <col min="30" max="31" width="7.77734375" customWidth="1"/>
    <col min="32" max="32" width="11.44140625" customWidth="1"/>
    <col min="33" max="35" width="3.21875" customWidth="1"/>
    <col min="36" max="36" width="7.77734375" customWidth="1"/>
    <col min="37" max="37" width="9.44140625" customWidth="1"/>
    <col min="38" max="38" width="10.33203125" customWidth="1"/>
    <col min="39" max="39" width="6.77734375" customWidth="1"/>
    <col min="40" max="40" width="6.6640625" customWidth="1"/>
    <col min="41" max="41" width="6.77734375" customWidth="1"/>
    <col min="42" max="42" width="7.77734375" customWidth="1"/>
    <col min="43" max="43" width="5" customWidth="1"/>
    <col min="44" max="44" width="7.77734375" customWidth="1"/>
    <col min="45" max="45" width="8.88671875" customWidth="1"/>
    <col min="46" max="46" width="6.77734375" customWidth="1"/>
    <col min="47" max="47" width="7.77734375" customWidth="1"/>
    <col min="48" max="48" width="6.77734375" customWidth="1"/>
    <col min="49" max="49" width="11.44140625" customWidth="1"/>
    <col min="50" max="52" width="3.21875" customWidth="1"/>
    <col min="53" max="53" width="7.77734375" customWidth="1"/>
    <col min="54" max="54" width="9.44140625" customWidth="1"/>
    <col min="55" max="55" width="10.33203125" customWidth="1"/>
    <col min="56" max="58" width="6.77734375" customWidth="1"/>
    <col min="59" max="59" width="7.77734375" customWidth="1"/>
    <col min="60" max="60" width="5" customWidth="1"/>
    <col min="61" max="61" width="7.77734375" customWidth="1"/>
    <col min="62" max="62" width="8.88671875" customWidth="1"/>
    <col min="63" max="63" width="6.77734375" customWidth="1"/>
    <col min="64" max="65" width="7.77734375" customWidth="1"/>
    <col min="66" max="66" width="11.44140625" customWidth="1"/>
    <col min="67" max="67" width="3.21875" customWidth="1"/>
    <col min="68" max="68" width="4.33203125" customWidth="1"/>
    <col min="69" max="69" width="3.21875" customWidth="1"/>
    <col min="70" max="70" width="7.77734375" customWidth="1"/>
    <col min="71" max="71" width="9.44140625" customWidth="1"/>
    <col min="72" max="72" width="10.33203125" customWidth="1"/>
    <col min="73" max="75" width="6.77734375" customWidth="1"/>
    <col min="76" max="76" width="7.77734375" customWidth="1"/>
    <col min="77" max="77" width="5" customWidth="1"/>
    <col min="78" max="78" width="7.77734375" customWidth="1"/>
    <col min="79" max="79" width="8.88671875" customWidth="1"/>
    <col min="80" max="80" width="6.77734375" customWidth="1"/>
    <col min="81" max="82" width="7.77734375" customWidth="1"/>
    <col min="83" max="83" width="11.44140625" customWidth="1"/>
    <col min="84" max="84" width="3.21875" customWidth="1"/>
    <col min="85" max="85" width="4.33203125" customWidth="1"/>
    <col min="86" max="86" width="3.21875" customWidth="1"/>
    <col min="87" max="87" width="7.77734375" customWidth="1"/>
    <col min="88" max="88" width="9.44140625" customWidth="1"/>
    <col min="89" max="89" width="10.33203125" customWidth="1"/>
    <col min="90" max="92" width="6.77734375" customWidth="1"/>
    <col min="93" max="93" width="7.77734375" customWidth="1"/>
    <col min="94" max="94" width="5" customWidth="1"/>
    <col min="95" max="95" width="7.77734375" customWidth="1"/>
    <col min="96" max="96" width="8.88671875" customWidth="1"/>
    <col min="97" max="97" width="6.77734375" customWidth="1"/>
    <col min="98" max="99" width="7.77734375" customWidth="1"/>
    <col min="100" max="100" width="11.44140625" customWidth="1"/>
    <col min="101" max="101" width="3.21875" customWidth="1"/>
    <col min="102" max="103" width="4.33203125" customWidth="1"/>
    <col min="104" max="104" width="7.77734375" customWidth="1"/>
    <col min="105" max="105" width="9.44140625" customWidth="1"/>
    <col min="106" max="106" width="10.33203125" customWidth="1"/>
    <col min="107" max="107" width="9.21875" customWidth="1"/>
    <col min="108" max="108" width="12.6640625" customWidth="1"/>
    <col min="109" max="109" width="3.21875" customWidth="1"/>
    <col min="110" max="111" width="3.6640625" customWidth="1"/>
    <col min="112" max="112" width="8.88671875" customWidth="1"/>
    <col min="113" max="113" width="9.44140625" customWidth="1"/>
    <col min="114" max="114" width="8.88671875" customWidth="1"/>
    <col min="115" max="115" width="6.5546875" customWidth="1"/>
    <col min="116" max="116" width="5" hidden="1" customWidth="1"/>
    <col min="117" max="117" width="7.77734375" hidden="1" customWidth="1"/>
    <col min="118" max="118" width="10.33203125" customWidth="1"/>
    <col min="119" max="120" width="10.33203125" hidden="1" customWidth="1"/>
    <col min="121" max="121" width="11.44140625" hidden="1" customWidth="1"/>
    <col min="122" max="122" width="10.33203125" hidden="1" customWidth="1"/>
    <col min="123" max="127" width="8.88671875" hidden="1" customWidth="1"/>
    <col min="128" max="128" width="3.33203125" hidden="1" customWidth="1"/>
    <col min="129" max="129" width="5" hidden="1" customWidth="1"/>
    <col min="130" max="130" width="6.21875" hidden="1" customWidth="1"/>
    <col min="131" max="133" width="3.6640625" hidden="1" customWidth="1"/>
    <col min="134" max="134" width="6.33203125" customWidth="1"/>
    <col min="135" max="135" width="5.33203125" customWidth="1"/>
    <col min="136" max="138" width="6.77734375" customWidth="1"/>
    <col min="139" max="139" width="6.6640625" customWidth="1"/>
    <col min="140" max="140" width="95.109375" hidden="1" customWidth="1"/>
  </cols>
  <sheetData>
    <row r="1" spans="2:140" ht="13.8" thickBot="1">
      <c r="B1" s="724" t="s">
        <v>698</v>
      </c>
      <c r="C1" s="725">
        <v>173.25</v>
      </c>
      <c r="D1" s="726" t="s">
        <v>699</v>
      </c>
    </row>
    <row r="2" spans="2:140" ht="13.8" thickBot="1"/>
    <row r="3" spans="2:140" ht="13.8" thickBot="1">
      <c r="B3" s="645" t="s">
        <v>293</v>
      </c>
      <c r="C3" s="642"/>
      <c r="D3" s="642"/>
      <c r="E3" s="642"/>
      <c r="F3" s="642"/>
      <c r="G3" s="642"/>
      <c r="H3" s="642"/>
      <c r="I3" s="642"/>
      <c r="J3" s="642"/>
      <c r="K3" s="642"/>
      <c r="L3" s="643"/>
      <c r="M3" s="642" t="s">
        <v>292</v>
      </c>
      <c r="N3" s="642"/>
      <c r="O3" s="642"/>
      <c r="P3" s="644"/>
      <c r="Q3" s="642" t="s">
        <v>670</v>
      </c>
      <c r="R3" s="642"/>
      <c r="S3" s="644"/>
      <c r="T3" s="642" t="s">
        <v>671</v>
      </c>
      <c r="U3" s="642"/>
      <c r="V3" s="648" t="s">
        <v>23</v>
      </c>
      <c r="W3" s="642"/>
      <c r="X3" s="642"/>
      <c r="Y3" s="642"/>
      <c r="Z3" s="642"/>
      <c r="AA3" s="642"/>
      <c r="AB3" s="642"/>
      <c r="AC3" s="642"/>
      <c r="AD3" s="642"/>
      <c r="AE3" s="642"/>
      <c r="AF3" s="642"/>
      <c r="AG3" s="642"/>
      <c r="AH3" s="642"/>
      <c r="AI3" s="642"/>
      <c r="AJ3" s="642"/>
      <c r="AK3" s="620"/>
      <c r="AL3" s="621"/>
      <c r="AM3" s="648" t="s">
        <v>297</v>
      </c>
      <c r="AN3" s="642"/>
      <c r="AO3" s="642"/>
      <c r="AP3" s="642"/>
      <c r="AQ3" s="642"/>
      <c r="AR3" s="642"/>
      <c r="AS3" s="642"/>
      <c r="AT3" s="642"/>
      <c r="AU3" s="642"/>
      <c r="AV3" s="642"/>
      <c r="AW3" s="642"/>
      <c r="AX3" s="642"/>
      <c r="AY3" s="642"/>
      <c r="AZ3" s="642"/>
      <c r="BA3" s="642"/>
      <c r="BB3" s="620"/>
      <c r="BC3" s="621"/>
      <c r="BD3" s="648" t="s">
        <v>298</v>
      </c>
      <c r="BE3" s="642"/>
      <c r="BF3" s="642"/>
      <c r="BG3" s="642"/>
      <c r="BH3" s="642"/>
      <c r="BI3" s="642"/>
      <c r="BJ3" s="642"/>
      <c r="BK3" s="642"/>
      <c r="BL3" s="642"/>
      <c r="BM3" s="642"/>
      <c r="BN3" s="642"/>
      <c r="BO3" s="642"/>
      <c r="BP3" s="642"/>
      <c r="BQ3" s="642"/>
      <c r="BR3" s="642"/>
      <c r="BS3" s="620"/>
      <c r="BT3" s="621"/>
      <c r="BU3" s="648" t="s">
        <v>299</v>
      </c>
      <c r="BV3" s="642"/>
      <c r="BW3" s="642"/>
      <c r="BX3" s="642"/>
      <c r="BY3" s="642"/>
      <c r="BZ3" s="642"/>
      <c r="CA3" s="642"/>
      <c r="CB3" s="642"/>
      <c r="CC3" s="642"/>
      <c r="CD3" s="642"/>
      <c r="CE3" s="642"/>
      <c r="CF3" s="642"/>
      <c r="CG3" s="642"/>
      <c r="CH3" s="642"/>
      <c r="CI3" s="642"/>
      <c r="CJ3" s="620"/>
      <c r="CK3" s="621"/>
      <c r="CL3" s="648" t="s">
        <v>300</v>
      </c>
      <c r="CM3" s="642"/>
      <c r="CN3" s="642"/>
      <c r="CO3" s="642"/>
      <c r="CP3" s="642"/>
      <c r="CQ3" s="642"/>
      <c r="CR3" s="642"/>
      <c r="CS3" s="642"/>
      <c r="CT3" s="642"/>
      <c r="CU3" s="642"/>
      <c r="CV3" s="642"/>
      <c r="CW3" s="642"/>
      <c r="CX3" s="642"/>
      <c r="CY3" s="642"/>
      <c r="CZ3" s="642"/>
      <c r="DA3" s="620"/>
      <c r="DB3" s="621"/>
      <c r="DC3" s="648" t="s">
        <v>1</v>
      </c>
      <c r="DD3" s="642"/>
      <c r="DE3" s="642"/>
      <c r="DF3" s="642"/>
      <c r="DG3" s="642"/>
      <c r="DH3" s="642"/>
      <c r="DI3" s="642"/>
      <c r="DJ3" s="643"/>
      <c r="DK3" s="675" t="s">
        <v>675</v>
      </c>
      <c r="DL3" s="676"/>
      <c r="DM3" s="676"/>
      <c r="DN3" s="676"/>
      <c r="DO3" s="676"/>
      <c r="DP3" s="676"/>
      <c r="DQ3" s="676"/>
      <c r="DR3" s="676"/>
      <c r="DS3" s="676"/>
      <c r="DT3" s="676"/>
      <c r="DU3" s="676"/>
      <c r="DV3" s="676"/>
      <c r="DW3" s="676"/>
      <c r="DX3" s="676"/>
      <c r="DY3" s="677"/>
      <c r="DZ3" s="676" t="s">
        <v>46</v>
      </c>
      <c r="EA3" s="676"/>
      <c r="EB3" s="676"/>
      <c r="EC3" s="677"/>
      <c r="ED3" s="676" t="s">
        <v>182</v>
      </c>
      <c r="EE3" s="676"/>
      <c r="EF3" s="676"/>
      <c r="EG3" s="676"/>
      <c r="EH3" s="676"/>
      <c r="EI3" s="676"/>
      <c r="EJ3" s="678"/>
    </row>
    <row r="4" spans="2:140" ht="29.4" thickTop="1">
      <c r="B4" s="664" t="s">
        <v>26</v>
      </c>
      <c r="C4" s="668" t="s">
        <v>273</v>
      </c>
      <c r="D4" s="666" t="s">
        <v>45</v>
      </c>
      <c r="E4" s="633" t="s">
        <v>3</v>
      </c>
      <c r="F4" s="633" t="s">
        <v>8</v>
      </c>
      <c r="G4" s="662" t="s">
        <v>13</v>
      </c>
      <c r="H4" s="631" t="s">
        <v>37</v>
      </c>
      <c r="I4" s="631" t="s">
        <v>27</v>
      </c>
      <c r="J4" s="661" t="s">
        <v>284</v>
      </c>
      <c r="K4" s="1160" t="s">
        <v>285</v>
      </c>
      <c r="L4" s="659" t="s">
        <v>286</v>
      </c>
      <c r="M4" s="658" t="s">
        <v>290</v>
      </c>
      <c r="N4" s="629" t="s">
        <v>287</v>
      </c>
      <c r="O4" s="1162" t="s">
        <v>266</v>
      </c>
      <c r="P4" s="630" t="s">
        <v>274</v>
      </c>
      <c r="Q4" s="654" t="s">
        <v>2</v>
      </c>
      <c r="R4" s="1162" t="s">
        <v>18</v>
      </c>
      <c r="S4" s="657" t="s">
        <v>624</v>
      </c>
      <c r="T4" s="651" t="s">
        <v>267</v>
      </c>
      <c r="U4" s="646" t="s">
        <v>276</v>
      </c>
      <c r="V4" s="649" t="s">
        <v>2</v>
      </c>
      <c r="W4" s="1162" t="s">
        <v>18</v>
      </c>
      <c r="X4" s="629" t="s">
        <v>673</v>
      </c>
      <c r="Y4" s="630" t="s">
        <v>672</v>
      </c>
      <c r="Z4" s="651" t="s">
        <v>24</v>
      </c>
      <c r="AA4" s="1160" t="s">
        <v>666</v>
      </c>
      <c r="AB4" s="1160" t="s">
        <v>667</v>
      </c>
      <c r="AC4" s="629" t="s">
        <v>664</v>
      </c>
      <c r="AD4" s="630" t="s">
        <v>665</v>
      </c>
      <c r="AE4" s="654" t="s">
        <v>21</v>
      </c>
      <c r="AF4" s="1162" t="s">
        <v>22</v>
      </c>
      <c r="AG4" s="1162" t="s">
        <v>162</v>
      </c>
      <c r="AH4" s="1162" t="s">
        <v>163</v>
      </c>
      <c r="AI4" s="1162" t="s">
        <v>164</v>
      </c>
      <c r="AJ4" s="1162" t="s">
        <v>34</v>
      </c>
      <c r="AK4" s="629" t="s">
        <v>676</v>
      </c>
      <c r="AL4" s="711" t="s">
        <v>677</v>
      </c>
      <c r="AM4" s="649" t="s">
        <v>2</v>
      </c>
      <c r="AN4" s="1162" t="s">
        <v>18</v>
      </c>
      <c r="AO4" s="629" t="s">
        <v>673</v>
      </c>
      <c r="AP4" s="630" t="s">
        <v>672</v>
      </c>
      <c r="AQ4" s="651" t="s">
        <v>24</v>
      </c>
      <c r="AR4" s="1160" t="s">
        <v>666</v>
      </c>
      <c r="AS4" s="1160" t="s">
        <v>667</v>
      </c>
      <c r="AT4" s="629" t="s">
        <v>664</v>
      </c>
      <c r="AU4" s="630" t="s">
        <v>665</v>
      </c>
      <c r="AV4" s="654" t="s">
        <v>21</v>
      </c>
      <c r="AW4" s="1162" t="s">
        <v>22</v>
      </c>
      <c r="AX4" s="1162" t="s">
        <v>162</v>
      </c>
      <c r="AY4" s="1162" t="s">
        <v>163</v>
      </c>
      <c r="AZ4" s="1162" t="s">
        <v>164</v>
      </c>
      <c r="BA4" s="1162" t="s">
        <v>34</v>
      </c>
      <c r="BB4" s="629" t="s">
        <v>676</v>
      </c>
      <c r="BC4" s="711" t="s">
        <v>677</v>
      </c>
      <c r="BD4" s="649" t="s">
        <v>2</v>
      </c>
      <c r="BE4" s="1162" t="s">
        <v>18</v>
      </c>
      <c r="BF4" s="629" t="s">
        <v>673</v>
      </c>
      <c r="BG4" s="630" t="s">
        <v>672</v>
      </c>
      <c r="BH4" s="651" t="s">
        <v>24</v>
      </c>
      <c r="BI4" s="1160" t="s">
        <v>666</v>
      </c>
      <c r="BJ4" s="1160" t="s">
        <v>667</v>
      </c>
      <c r="BK4" s="629" t="s">
        <v>664</v>
      </c>
      <c r="BL4" s="630" t="s">
        <v>665</v>
      </c>
      <c r="BM4" s="654" t="s">
        <v>21</v>
      </c>
      <c r="BN4" s="1162" t="s">
        <v>22</v>
      </c>
      <c r="BO4" s="1162" t="s">
        <v>162</v>
      </c>
      <c r="BP4" s="1162" t="s">
        <v>163</v>
      </c>
      <c r="BQ4" s="1162" t="s">
        <v>164</v>
      </c>
      <c r="BR4" s="1162" t="s">
        <v>34</v>
      </c>
      <c r="BS4" s="629" t="s">
        <v>676</v>
      </c>
      <c r="BT4" s="711" t="s">
        <v>677</v>
      </c>
      <c r="BU4" s="649" t="s">
        <v>2</v>
      </c>
      <c r="BV4" s="1162" t="s">
        <v>18</v>
      </c>
      <c r="BW4" s="629" t="s">
        <v>673</v>
      </c>
      <c r="BX4" s="630" t="s">
        <v>672</v>
      </c>
      <c r="BY4" s="651" t="s">
        <v>24</v>
      </c>
      <c r="BZ4" s="1160" t="s">
        <v>666</v>
      </c>
      <c r="CA4" s="1160" t="s">
        <v>667</v>
      </c>
      <c r="CB4" s="629" t="s">
        <v>664</v>
      </c>
      <c r="CC4" s="630" t="s">
        <v>665</v>
      </c>
      <c r="CD4" s="654" t="s">
        <v>21</v>
      </c>
      <c r="CE4" s="1162" t="s">
        <v>22</v>
      </c>
      <c r="CF4" s="1162" t="s">
        <v>162</v>
      </c>
      <c r="CG4" s="1162" t="s">
        <v>163</v>
      </c>
      <c r="CH4" s="1162" t="s">
        <v>164</v>
      </c>
      <c r="CI4" s="1162" t="s">
        <v>34</v>
      </c>
      <c r="CJ4" s="629" t="s">
        <v>676</v>
      </c>
      <c r="CK4" s="711" t="s">
        <v>677</v>
      </c>
      <c r="CL4" s="649" t="s">
        <v>2</v>
      </c>
      <c r="CM4" s="1162" t="s">
        <v>18</v>
      </c>
      <c r="CN4" s="629" t="s">
        <v>673</v>
      </c>
      <c r="CO4" s="630" t="s">
        <v>672</v>
      </c>
      <c r="CP4" s="651" t="s">
        <v>24</v>
      </c>
      <c r="CQ4" s="1160" t="s">
        <v>666</v>
      </c>
      <c r="CR4" s="1160" t="s">
        <v>667</v>
      </c>
      <c r="CS4" s="629" t="s">
        <v>664</v>
      </c>
      <c r="CT4" s="630" t="s">
        <v>665</v>
      </c>
      <c r="CU4" s="654" t="s">
        <v>21</v>
      </c>
      <c r="CV4" s="1162" t="s">
        <v>22</v>
      </c>
      <c r="CW4" s="1162" t="s">
        <v>162</v>
      </c>
      <c r="CX4" s="1162" t="s">
        <v>163</v>
      </c>
      <c r="CY4" s="1162" t="s">
        <v>164</v>
      </c>
      <c r="CZ4" s="1162" t="s">
        <v>34</v>
      </c>
      <c r="DA4" s="629" t="s">
        <v>676</v>
      </c>
      <c r="DB4" s="711" t="s">
        <v>677</v>
      </c>
      <c r="DC4" s="654" t="s">
        <v>21</v>
      </c>
      <c r="DD4" s="1162" t="s">
        <v>22</v>
      </c>
      <c r="DE4" s="1162" t="s">
        <v>162</v>
      </c>
      <c r="DF4" s="1162" t="s">
        <v>163</v>
      </c>
      <c r="DG4" s="1162" t="s">
        <v>164</v>
      </c>
      <c r="DH4" s="1162" t="s">
        <v>34</v>
      </c>
      <c r="DI4" s="632" t="s">
        <v>668</v>
      </c>
      <c r="DJ4" s="634" t="s">
        <v>669</v>
      </c>
      <c r="DK4" s="679" t="s">
        <v>304</v>
      </c>
      <c r="DL4" s="680" t="s">
        <v>148</v>
      </c>
      <c r="DM4" s="681" t="s">
        <v>312</v>
      </c>
      <c r="DN4" s="654">
        <v>1</v>
      </c>
      <c r="DO4" s="632">
        <v>2</v>
      </c>
      <c r="DP4" s="632">
        <v>3</v>
      </c>
      <c r="DQ4" s="632">
        <v>4</v>
      </c>
      <c r="DR4" s="632">
        <v>5</v>
      </c>
      <c r="DS4" s="632">
        <v>6</v>
      </c>
      <c r="DT4" s="632">
        <v>7</v>
      </c>
      <c r="DU4" s="632">
        <v>8</v>
      </c>
      <c r="DV4" s="632">
        <v>9</v>
      </c>
      <c r="DW4" s="632">
        <v>10</v>
      </c>
      <c r="DX4" s="682">
        <v>11</v>
      </c>
      <c r="DY4" s="668" t="s">
        <v>148</v>
      </c>
      <c r="DZ4" s="651">
        <v>1</v>
      </c>
      <c r="EA4" s="632">
        <v>2</v>
      </c>
      <c r="EB4" s="632">
        <v>3</v>
      </c>
      <c r="EC4" s="683">
        <v>4</v>
      </c>
      <c r="ED4" s="654" t="s">
        <v>91</v>
      </c>
      <c r="EE4" s="632" t="s">
        <v>92</v>
      </c>
      <c r="EF4" s="632" t="s">
        <v>93</v>
      </c>
      <c r="EG4" s="632" t="s">
        <v>94</v>
      </c>
      <c r="EH4" s="682" t="s">
        <v>90</v>
      </c>
      <c r="EI4" s="668" t="s">
        <v>588</v>
      </c>
      <c r="EJ4" s="1161" t="s">
        <v>281</v>
      </c>
    </row>
    <row r="5" spans="2:140" ht="13.8" thickBot="1">
      <c r="B5" s="665"/>
      <c r="C5" s="669"/>
      <c r="D5" s="667"/>
      <c r="E5" s="635"/>
      <c r="F5" s="636"/>
      <c r="G5" s="663"/>
      <c r="H5" s="622"/>
      <c r="I5" s="623"/>
      <c r="J5" s="624"/>
      <c r="K5" s="625"/>
      <c r="L5" s="660"/>
      <c r="M5" s="628"/>
      <c r="N5" s="626"/>
      <c r="O5" s="626"/>
      <c r="P5" s="627"/>
      <c r="Q5" s="628"/>
      <c r="R5" s="626"/>
      <c r="S5" s="627"/>
      <c r="T5" s="628"/>
      <c r="U5" s="647"/>
      <c r="V5" s="650"/>
      <c r="W5" s="637"/>
      <c r="X5" s="638"/>
      <c r="Y5" s="653"/>
      <c r="Z5" s="652"/>
      <c r="AA5" s="639"/>
      <c r="AB5" s="639"/>
      <c r="AC5" s="640"/>
      <c r="AD5" s="656"/>
      <c r="AE5" s="655"/>
      <c r="AF5" s="637"/>
      <c r="AG5" s="637"/>
      <c r="AH5" s="637"/>
      <c r="AI5" s="637"/>
      <c r="AJ5" s="637"/>
      <c r="AK5" s="638"/>
      <c r="AL5" s="641"/>
      <c r="AM5" s="650"/>
      <c r="AN5" s="637"/>
      <c r="AO5" s="638"/>
      <c r="AP5" s="653"/>
      <c r="AQ5" s="652"/>
      <c r="AR5" s="639"/>
      <c r="AS5" s="639"/>
      <c r="AT5" s="640"/>
      <c r="AU5" s="656"/>
      <c r="AV5" s="655"/>
      <c r="AW5" s="637"/>
      <c r="AX5" s="637"/>
      <c r="AY5" s="637"/>
      <c r="AZ5" s="637"/>
      <c r="BA5" s="637"/>
      <c r="BB5" s="638"/>
      <c r="BC5" s="641"/>
      <c r="BD5" s="650"/>
      <c r="BE5" s="637"/>
      <c r="BF5" s="638"/>
      <c r="BG5" s="653"/>
      <c r="BH5" s="652"/>
      <c r="BI5" s="639"/>
      <c r="BJ5" s="639"/>
      <c r="BK5" s="640"/>
      <c r="BL5" s="656"/>
      <c r="BM5" s="655"/>
      <c r="BN5" s="637"/>
      <c r="BO5" s="637"/>
      <c r="BP5" s="637"/>
      <c r="BQ5" s="637"/>
      <c r="BR5" s="637"/>
      <c r="BS5" s="638"/>
      <c r="BT5" s="641"/>
      <c r="BU5" s="650"/>
      <c r="BV5" s="637"/>
      <c r="BW5" s="638"/>
      <c r="BX5" s="653"/>
      <c r="BY5" s="652"/>
      <c r="BZ5" s="639"/>
      <c r="CA5" s="639"/>
      <c r="CB5" s="640"/>
      <c r="CC5" s="656"/>
      <c r="CD5" s="655"/>
      <c r="CE5" s="637"/>
      <c r="CF5" s="637"/>
      <c r="CG5" s="637"/>
      <c r="CH5" s="637"/>
      <c r="CI5" s="637"/>
      <c r="CJ5" s="638"/>
      <c r="CK5" s="641"/>
      <c r="CL5" s="650"/>
      <c r="CM5" s="637"/>
      <c r="CN5" s="638"/>
      <c r="CO5" s="653"/>
      <c r="CP5" s="652"/>
      <c r="CQ5" s="639"/>
      <c r="CR5" s="639"/>
      <c r="CS5" s="640"/>
      <c r="CT5" s="656"/>
      <c r="CU5" s="655"/>
      <c r="CV5" s="637"/>
      <c r="CW5" s="637"/>
      <c r="CX5" s="637"/>
      <c r="CY5" s="637"/>
      <c r="CZ5" s="637"/>
      <c r="DA5" s="638"/>
      <c r="DB5" s="641"/>
      <c r="DC5" s="655"/>
      <c r="DD5" s="637"/>
      <c r="DE5" s="637"/>
      <c r="DF5" s="637"/>
      <c r="DG5" s="637"/>
      <c r="DH5" s="637"/>
      <c r="DI5" s="638"/>
      <c r="DJ5" s="641"/>
      <c r="DK5" s="671"/>
      <c r="DL5" s="672"/>
      <c r="DM5" s="673"/>
      <c r="DN5" s="655"/>
      <c r="DO5" s="597"/>
      <c r="DP5" s="597"/>
      <c r="DQ5" s="597"/>
      <c r="DR5" s="597"/>
      <c r="DS5" s="597"/>
      <c r="DT5" s="597"/>
      <c r="DU5" s="597"/>
      <c r="DV5" s="597"/>
      <c r="DW5" s="597"/>
      <c r="DX5" s="598"/>
      <c r="DY5" s="599"/>
      <c r="DZ5" s="652"/>
      <c r="EA5" s="597"/>
      <c r="EB5" s="597"/>
      <c r="EC5" s="674"/>
      <c r="ED5" s="655"/>
      <c r="EE5" s="597"/>
      <c r="EF5" s="597"/>
      <c r="EG5" s="597"/>
      <c r="EH5" s="598"/>
      <c r="EI5" s="599"/>
      <c r="EJ5" s="670"/>
    </row>
    <row r="6" spans="2:140">
      <c r="B6" s="203" t="s">
        <v>49</v>
      </c>
      <c r="C6" s="727" t="s">
        <v>54</v>
      </c>
      <c r="D6" s="728"/>
      <c r="E6" s="729" t="s">
        <v>43</v>
      </c>
      <c r="F6" s="730"/>
      <c r="G6" s="731"/>
      <c r="H6" s="732">
        <v>2</v>
      </c>
      <c r="I6" s="733" t="s">
        <v>268</v>
      </c>
      <c r="J6" s="734">
        <v>3</v>
      </c>
      <c r="K6" s="735">
        <v>7.4999999999999997E-2</v>
      </c>
      <c r="L6" s="736">
        <v>2.3255813953488373</v>
      </c>
      <c r="M6" s="737">
        <v>30</v>
      </c>
      <c r="N6" s="730">
        <v>6</v>
      </c>
      <c r="O6" s="738" t="s">
        <v>47</v>
      </c>
      <c r="P6" s="739" t="s">
        <v>98</v>
      </c>
      <c r="Q6" s="740">
        <v>200</v>
      </c>
      <c r="R6" s="741">
        <v>86</v>
      </c>
      <c r="S6" s="742">
        <v>2400</v>
      </c>
      <c r="T6" s="743" t="s">
        <v>625</v>
      </c>
      <c r="U6" s="744" t="s">
        <v>47</v>
      </c>
      <c r="V6" s="740">
        <v>200</v>
      </c>
      <c r="W6" s="741">
        <v>86</v>
      </c>
      <c r="X6" s="741">
        <f t="shared" ref="X6:X37" si="0">INT(W6*$C$1/100)</f>
        <v>148</v>
      </c>
      <c r="Y6" s="745">
        <f t="shared" ref="Y6:Y37" si="1">X6-V6</f>
        <v>-52</v>
      </c>
      <c r="Z6" s="746">
        <v>4</v>
      </c>
      <c r="AA6" s="741">
        <v>800</v>
      </c>
      <c r="AB6" s="741">
        <v>2400</v>
      </c>
      <c r="AC6" s="741">
        <v>60</v>
      </c>
      <c r="AD6" s="745">
        <v>180</v>
      </c>
      <c r="AE6" s="747">
        <v>8.3333333333333339E-4</v>
      </c>
      <c r="AF6" s="741">
        <v>1500</v>
      </c>
      <c r="AG6" s="741">
        <v>0</v>
      </c>
      <c r="AH6" s="741">
        <v>0</v>
      </c>
      <c r="AI6" s="741">
        <v>0</v>
      </c>
      <c r="AJ6" s="741">
        <v>5</v>
      </c>
      <c r="AK6" s="748">
        <v>7.8125E-2</v>
      </c>
      <c r="AL6" s="749">
        <v>1800000</v>
      </c>
      <c r="AM6" s="740">
        <v>300</v>
      </c>
      <c r="AN6" s="741">
        <v>129</v>
      </c>
      <c r="AO6" s="741">
        <f t="shared" ref="AO6:AO37" si="2">INT(AN6*$C$1/100)</f>
        <v>223</v>
      </c>
      <c r="AP6" s="745">
        <f t="shared" ref="AP6:AP37" si="3">AO6-AM6</f>
        <v>-77</v>
      </c>
      <c r="AQ6" s="746">
        <v>4</v>
      </c>
      <c r="AR6" s="741">
        <v>1200</v>
      </c>
      <c r="AS6" s="741">
        <v>3600</v>
      </c>
      <c r="AT6" s="741">
        <v>90</v>
      </c>
      <c r="AU6" s="745">
        <v>270</v>
      </c>
      <c r="AV6" s="747">
        <v>8.3333333333333329E-2</v>
      </c>
      <c r="AW6" s="741">
        <v>5000</v>
      </c>
      <c r="AX6" s="741">
        <v>0</v>
      </c>
      <c r="AY6" s="741">
        <v>0</v>
      </c>
      <c r="AZ6" s="741">
        <v>0</v>
      </c>
      <c r="BA6" s="741">
        <v>7</v>
      </c>
      <c r="BB6" s="748">
        <v>0.17592592592592593</v>
      </c>
      <c r="BC6" s="749">
        <v>60000</v>
      </c>
      <c r="BD6" s="740">
        <v>350</v>
      </c>
      <c r="BE6" s="741">
        <v>150</v>
      </c>
      <c r="BF6" s="741">
        <f t="shared" ref="BF6:BF37" si="4">INT(BE6*$C$1/100)</f>
        <v>259</v>
      </c>
      <c r="BG6" s="745">
        <f t="shared" ref="BG6:BG37" si="5">BF6-BD6</f>
        <v>-91</v>
      </c>
      <c r="BH6" s="746">
        <v>4</v>
      </c>
      <c r="BI6" s="741">
        <v>1400</v>
      </c>
      <c r="BJ6" s="741">
        <v>4200</v>
      </c>
      <c r="BK6" s="741">
        <v>105</v>
      </c>
      <c r="BL6" s="745">
        <v>315</v>
      </c>
      <c r="BM6" s="747">
        <v>0.5</v>
      </c>
      <c r="BN6" s="741">
        <v>10000</v>
      </c>
      <c r="BO6" s="741">
        <v>1</v>
      </c>
      <c r="BP6" s="741">
        <v>0</v>
      </c>
      <c r="BQ6" s="741">
        <v>0</v>
      </c>
      <c r="BR6" s="741">
        <v>52</v>
      </c>
      <c r="BS6" s="748">
        <v>0.31547619047619047</v>
      </c>
      <c r="BT6" s="749">
        <v>20000</v>
      </c>
      <c r="BU6" s="740">
        <v>380</v>
      </c>
      <c r="BV6" s="741">
        <v>163</v>
      </c>
      <c r="BW6" s="741">
        <f t="shared" ref="BW6:BW37" si="6">INT(BV6*$C$1/100)</f>
        <v>282</v>
      </c>
      <c r="BX6" s="745">
        <f t="shared" ref="BX6:BX37" si="7">BW6-BU6</f>
        <v>-98</v>
      </c>
      <c r="BY6" s="746">
        <v>4</v>
      </c>
      <c r="BZ6" s="741">
        <v>1520</v>
      </c>
      <c r="CA6" s="741">
        <v>4560</v>
      </c>
      <c r="CB6" s="741">
        <v>114</v>
      </c>
      <c r="CC6" s="745">
        <v>342</v>
      </c>
      <c r="CD6" s="747">
        <v>1</v>
      </c>
      <c r="CE6" s="741">
        <v>15000</v>
      </c>
      <c r="CF6" s="741">
        <v>0</v>
      </c>
      <c r="CG6" s="741">
        <v>0</v>
      </c>
      <c r="CH6" s="741">
        <v>0</v>
      </c>
      <c r="CI6" s="741">
        <v>114</v>
      </c>
      <c r="CJ6" s="748">
        <v>0.44956140350877188</v>
      </c>
      <c r="CK6" s="749">
        <v>15000</v>
      </c>
      <c r="CL6" s="740">
        <v>400</v>
      </c>
      <c r="CM6" s="741">
        <v>172</v>
      </c>
      <c r="CN6" s="741">
        <f t="shared" ref="CN6:CN37" si="8">INT(CM6*$C$1/100)</f>
        <v>297</v>
      </c>
      <c r="CO6" s="745">
        <f t="shared" ref="CO6:CO37" si="9">CN6-CL6</f>
        <v>-103</v>
      </c>
      <c r="CP6" s="746">
        <v>4</v>
      </c>
      <c r="CQ6" s="741">
        <v>1600</v>
      </c>
      <c r="CR6" s="741">
        <v>4800</v>
      </c>
      <c r="CS6" s="741">
        <v>120</v>
      </c>
      <c r="CT6" s="745">
        <v>360</v>
      </c>
      <c r="CU6" s="747">
        <v>2</v>
      </c>
      <c r="CV6" s="741">
        <v>30000</v>
      </c>
      <c r="CW6" s="741">
        <v>0</v>
      </c>
      <c r="CX6" s="741">
        <v>1</v>
      </c>
      <c r="CY6" s="741">
        <v>0</v>
      </c>
      <c r="CZ6" s="741">
        <v>160</v>
      </c>
      <c r="DA6" s="748">
        <v>0.86041666666666661</v>
      </c>
      <c r="DB6" s="749">
        <v>15000</v>
      </c>
      <c r="DC6" s="750">
        <v>3.5841666666666665</v>
      </c>
      <c r="DD6" s="741">
        <v>61500</v>
      </c>
      <c r="DE6" s="751">
        <v>1</v>
      </c>
      <c r="DF6" s="751">
        <v>1</v>
      </c>
      <c r="DG6" s="751">
        <v>0</v>
      </c>
      <c r="DH6" s="741">
        <v>338</v>
      </c>
      <c r="DI6" s="748">
        <v>1.6015625</v>
      </c>
      <c r="DJ6" s="749">
        <v>17158.800279004885</v>
      </c>
      <c r="DK6" s="752">
        <v>1</v>
      </c>
      <c r="DL6" s="753" t="s">
        <v>43</v>
      </c>
      <c r="DM6" s="754"/>
      <c r="DN6" s="755"/>
      <c r="DO6" s="756"/>
      <c r="DP6" s="756"/>
      <c r="DQ6" s="756"/>
      <c r="DR6" s="756"/>
      <c r="DS6" s="756"/>
      <c r="DT6" s="756"/>
      <c r="DU6" s="756"/>
      <c r="DV6" s="756"/>
      <c r="DW6" s="756"/>
      <c r="DX6" s="757"/>
      <c r="DY6" s="758" t="s">
        <v>43</v>
      </c>
      <c r="DZ6" s="759">
        <v>1</v>
      </c>
      <c r="EA6" s="738"/>
      <c r="EB6" s="738"/>
      <c r="EC6" s="760"/>
      <c r="ED6" s="761"/>
      <c r="EE6" s="741"/>
      <c r="EF6" s="741"/>
      <c r="EG6" s="741"/>
      <c r="EH6" s="745"/>
      <c r="EI6" s="762"/>
      <c r="EJ6" s="763"/>
    </row>
    <row r="7" spans="2:140">
      <c r="B7" s="203" t="s">
        <v>122</v>
      </c>
      <c r="C7" s="727" t="s">
        <v>54</v>
      </c>
      <c r="D7" s="728"/>
      <c r="E7" s="729" t="s">
        <v>43</v>
      </c>
      <c r="F7" s="730"/>
      <c r="G7" s="731"/>
      <c r="H7" s="732">
        <v>4</v>
      </c>
      <c r="I7" s="733" t="s">
        <v>268</v>
      </c>
      <c r="J7" s="734">
        <v>3</v>
      </c>
      <c r="K7" s="735">
        <v>7.4999999999999997E-2</v>
      </c>
      <c r="L7" s="736">
        <v>2.9007633587786259</v>
      </c>
      <c r="M7" s="737">
        <v>30</v>
      </c>
      <c r="N7" s="730">
        <v>66</v>
      </c>
      <c r="O7" s="738" t="s">
        <v>47</v>
      </c>
      <c r="P7" s="739" t="s">
        <v>98</v>
      </c>
      <c r="Q7" s="740">
        <v>380</v>
      </c>
      <c r="R7" s="741">
        <v>131</v>
      </c>
      <c r="S7" s="742">
        <v>6840</v>
      </c>
      <c r="T7" s="743" t="s">
        <v>626</v>
      </c>
      <c r="U7" s="744" t="s">
        <v>47</v>
      </c>
      <c r="V7" s="740">
        <v>380</v>
      </c>
      <c r="W7" s="741">
        <v>131</v>
      </c>
      <c r="X7" s="741">
        <f t="shared" si="0"/>
        <v>226</v>
      </c>
      <c r="Y7" s="745">
        <f t="shared" si="1"/>
        <v>-154</v>
      </c>
      <c r="Z7" s="746">
        <v>6</v>
      </c>
      <c r="AA7" s="741">
        <v>2280</v>
      </c>
      <c r="AB7" s="741">
        <v>6840</v>
      </c>
      <c r="AC7" s="741">
        <v>171</v>
      </c>
      <c r="AD7" s="745">
        <v>513</v>
      </c>
      <c r="AE7" s="747">
        <v>336</v>
      </c>
      <c r="AF7" s="741">
        <v>20000000</v>
      </c>
      <c r="AG7" s="741">
        <v>0</v>
      </c>
      <c r="AH7" s="741">
        <v>0</v>
      </c>
      <c r="AI7" s="741">
        <v>0</v>
      </c>
      <c r="AJ7" s="741">
        <v>10000</v>
      </c>
      <c r="AK7" s="748">
        <v>365.4970760233918</v>
      </c>
      <c r="AL7" s="749">
        <v>59523</v>
      </c>
      <c r="AM7" s="740">
        <v>570</v>
      </c>
      <c r="AN7" s="741">
        <v>196</v>
      </c>
      <c r="AO7" s="741">
        <f t="shared" si="2"/>
        <v>339</v>
      </c>
      <c r="AP7" s="745">
        <f t="shared" si="3"/>
        <v>-231</v>
      </c>
      <c r="AQ7" s="746">
        <v>6</v>
      </c>
      <c r="AR7" s="741">
        <v>3420</v>
      </c>
      <c r="AS7" s="741">
        <v>10260</v>
      </c>
      <c r="AT7" s="741">
        <v>256</v>
      </c>
      <c r="AU7" s="745">
        <v>769</v>
      </c>
      <c r="AV7" s="747">
        <v>84</v>
      </c>
      <c r="AW7" s="741">
        <v>20000000</v>
      </c>
      <c r="AX7" s="741">
        <v>0</v>
      </c>
      <c r="AY7" s="741">
        <v>0</v>
      </c>
      <c r="AZ7" s="741">
        <v>0</v>
      </c>
      <c r="BA7" s="741">
        <v>10000</v>
      </c>
      <c r="BB7" s="748">
        <v>245.99805068226121</v>
      </c>
      <c r="BC7" s="749">
        <v>238095</v>
      </c>
      <c r="BD7" s="740">
        <v>665</v>
      </c>
      <c r="BE7" s="741">
        <v>229</v>
      </c>
      <c r="BF7" s="741">
        <f t="shared" si="4"/>
        <v>396</v>
      </c>
      <c r="BG7" s="745">
        <f t="shared" si="5"/>
        <v>-269</v>
      </c>
      <c r="BH7" s="746">
        <v>6</v>
      </c>
      <c r="BI7" s="741">
        <v>3990</v>
      </c>
      <c r="BJ7" s="741">
        <v>11970</v>
      </c>
      <c r="BK7" s="741">
        <v>299</v>
      </c>
      <c r="BL7" s="745">
        <v>897</v>
      </c>
      <c r="BM7" s="747">
        <v>168</v>
      </c>
      <c r="BN7" s="741">
        <v>30000000</v>
      </c>
      <c r="BO7" s="741">
        <v>1</v>
      </c>
      <c r="BP7" s="741">
        <v>0</v>
      </c>
      <c r="BQ7" s="741">
        <v>0</v>
      </c>
      <c r="BR7" s="741">
        <v>10000</v>
      </c>
      <c r="BS7" s="748">
        <v>319.28320802005015</v>
      </c>
      <c r="BT7" s="749">
        <v>178571</v>
      </c>
      <c r="BU7" s="740">
        <v>722</v>
      </c>
      <c r="BV7" s="741">
        <v>248</v>
      </c>
      <c r="BW7" s="741">
        <f t="shared" si="6"/>
        <v>429</v>
      </c>
      <c r="BX7" s="745">
        <f t="shared" si="7"/>
        <v>-293</v>
      </c>
      <c r="BY7" s="746">
        <v>7</v>
      </c>
      <c r="BZ7" s="741">
        <v>5054</v>
      </c>
      <c r="CA7" s="741">
        <v>15162</v>
      </c>
      <c r="CB7" s="741">
        <v>379</v>
      </c>
      <c r="CC7" s="745">
        <v>1137</v>
      </c>
      <c r="CD7" s="747">
        <v>252</v>
      </c>
      <c r="CE7" s="741">
        <v>40000000</v>
      </c>
      <c r="CF7" s="741">
        <v>0</v>
      </c>
      <c r="CG7" s="741">
        <v>0</v>
      </c>
      <c r="CH7" s="741">
        <v>0</v>
      </c>
      <c r="CI7" s="741">
        <v>10000</v>
      </c>
      <c r="CJ7" s="748">
        <v>338.06127160005275</v>
      </c>
      <c r="CK7" s="749">
        <v>158730</v>
      </c>
      <c r="CL7" s="740">
        <v>760</v>
      </c>
      <c r="CM7" s="741">
        <v>262</v>
      </c>
      <c r="CN7" s="741">
        <f t="shared" si="8"/>
        <v>453</v>
      </c>
      <c r="CO7" s="745">
        <f t="shared" si="9"/>
        <v>-307</v>
      </c>
      <c r="CP7" s="746">
        <v>7</v>
      </c>
      <c r="CQ7" s="741">
        <v>5320</v>
      </c>
      <c r="CR7" s="741">
        <v>15960</v>
      </c>
      <c r="CS7" s="741">
        <v>399</v>
      </c>
      <c r="CT7" s="745">
        <v>1197</v>
      </c>
      <c r="CU7" s="747">
        <v>336</v>
      </c>
      <c r="CV7" s="741">
        <v>50000000</v>
      </c>
      <c r="CW7" s="741">
        <v>0</v>
      </c>
      <c r="CX7" s="741">
        <v>1</v>
      </c>
      <c r="CY7" s="741">
        <v>0</v>
      </c>
      <c r="CZ7" s="955">
        <v>10000</v>
      </c>
      <c r="DA7" s="748">
        <v>404.90401002506269</v>
      </c>
      <c r="DB7" s="749">
        <v>148809</v>
      </c>
      <c r="DC7" s="750">
        <v>1176</v>
      </c>
      <c r="DD7" s="741">
        <v>160000000</v>
      </c>
      <c r="DE7" s="751">
        <v>1</v>
      </c>
      <c r="DF7" s="751">
        <v>1</v>
      </c>
      <c r="DG7" s="751">
        <v>0</v>
      </c>
      <c r="DH7" s="955">
        <v>50000</v>
      </c>
      <c r="DI7" s="748">
        <v>1253.1328320802006</v>
      </c>
      <c r="DJ7" s="749">
        <v>136054.42176870749</v>
      </c>
      <c r="DK7" s="752"/>
      <c r="DL7" s="753"/>
      <c r="DM7" s="754"/>
      <c r="DN7" s="755"/>
      <c r="DO7" s="756"/>
      <c r="DP7" s="756"/>
      <c r="DQ7" s="756"/>
      <c r="DR7" s="756"/>
      <c r="DS7" s="756"/>
      <c r="DT7" s="756"/>
      <c r="DU7" s="756"/>
      <c r="DV7" s="756"/>
      <c r="DW7" s="756"/>
      <c r="DX7" s="757"/>
      <c r="DY7" s="758" t="s">
        <v>43</v>
      </c>
      <c r="DZ7" s="759">
        <v>96</v>
      </c>
      <c r="EA7" s="738"/>
      <c r="EB7" s="738"/>
      <c r="EC7" s="760"/>
      <c r="ED7" s="761"/>
      <c r="EE7" s="741"/>
      <c r="EF7" s="741"/>
      <c r="EG7" s="741"/>
      <c r="EH7" s="745"/>
      <c r="EI7" s="762"/>
      <c r="EJ7" s="763"/>
    </row>
    <row r="8" spans="2:140">
      <c r="B8" s="203" t="s">
        <v>79</v>
      </c>
      <c r="C8" s="727" t="s">
        <v>54</v>
      </c>
      <c r="D8" s="728"/>
      <c r="E8" s="729" t="s">
        <v>43</v>
      </c>
      <c r="F8" s="730"/>
      <c r="G8" s="731"/>
      <c r="H8" s="732">
        <v>5</v>
      </c>
      <c r="I8" s="733" t="s">
        <v>283</v>
      </c>
      <c r="J8" s="734">
        <v>3</v>
      </c>
      <c r="K8" s="735">
        <v>7.4999999999999997E-2</v>
      </c>
      <c r="L8" s="736">
        <v>2.5</v>
      </c>
      <c r="M8" s="737">
        <v>30</v>
      </c>
      <c r="N8" s="730">
        <v>31</v>
      </c>
      <c r="O8" s="738" t="s">
        <v>47</v>
      </c>
      <c r="P8" s="739" t="s">
        <v>98</v>
      </c>
      <c r="Q8" s="740">
        <v>300</v>
      </c>
      <c r="R8" s="741">
        <v>120</v>
      </c>
      <c r="S8" s="742">
        <v>3600</v>
      </c>
      <c r="T8" s="743" t="s">
        <v>627</v>
      </c>
      <c r="U8" s="744" t="s">
        <v>47</v>
      </c>
      <c r="V8" s="740">
        <v>300</v>
      </c>
      <c r="W8" s="741">
        <v>120</v>
      </c>
      <c r="X8" s="741">
        <f t="shared" si="0"/>
        <v>207</v>
      </c>
      <c r="Y8" s="745">
        <f t="shared" si="1"/>
        <v>-93</v>
      </c>
      <c r="Z8" s="746">
        <v>4</v>
      </c>
      <c r="AA8" s="741">
        <v>1200</v>
      </c>
      <c r="AB8" s="741">
        <v>3600</v>
      </c>
      <c r="AC8" s="741">
        <v>90</v>
      </c>
      <c r="AD8" s="745">
        <v>270</v>
      </c>
      <c r="AE8" s="747">
        <v>10</v>
      </c>
      <c r="AF8" s="741">
        <v>0</v>
      </c>
      <c r="AG8" s="741">
        <v>0</v>
      </c>
      <c r="AH8" s="741">
        <v>0</v>
      </c>
      <c r="AI8" s="741">
        <v>0</v>
      </c>
      <c r="AJ8" s="741">
        <v>900</v>
      </c>
      <c r="AK8" s="748">
        <v>0</v>
      </c>
      <c r="AL8" s="749">
        <v>0</v>
      </c>
      <c r="AM8" s="740">
        <v>450</v>
      </c>
      <c r="AN8" s="741">
        <v>180</v>
      </c>
      <c r="AO8" s="741">
        <f t="shared" si="2"/>
        <v>311</v>
      </c>
      <c r="AP8" s="745">
        <f t="shared" si="3"/>
        <v>-139</v>
      </c>
      <c r="AQ8" s="746">
        <v>4</v>
      </c>
      <c r="AR8" s="741">
        <v>1800</v>
      </c>
      <c r="AS8" s="741">
        <v>5400</v>
      </c>
      <c r="AT8" s="741">
        <v>135</v>
      </c>
      <c r="AU8" s="745">
        <v>405</v>
      </c>
      <c r="AV8" s="747">
        <v>3</v>
      </c>
      <c r="AW8" s="741">
        <v>120000</v>
      </c>
      <c r="AX8" s="741">
        <v>0</v>
      </c>
      <c r="AY8" s="741">
        <v>0</v>
      </c>
      <c r="AZ8" s="741">
        <v>0</v>
      </c>
      <c r="BA8" s="741">
        <v>337</v>
      </c>
      <c r="BB8" s="748">
        <v>2.8611111111111112</v>
      </c>
      <c r="BC8" s="749">
        <v>40000</v>
      </c>
      <c r="BD8" s="740">
        <v>525</v>
      </c>
      <c r="BE8" s="741">
        <v>210</v>
      </c>
      <c r="BF8" s="741">
        <f t="shared" si="4"/>
        <v>363</v>
      </c>
      <c r="BG8" s="745">
        <f t="shared" si="5"/>
        <v>-162</v>
      </c>
      <c r="BH8" s="746">
        <v>4</v>
      </c>
      <c r="BI8" s="741">
        <v>2100</v>
      </c>
      <c r="BJ8" s="741">
        <v>6300</v>
      </c>
      <c r="BK8" s="741">
        <v>157</v>
      </c>
      <c r="BL8" s="745">
        <v>472</v>
      </c>
      <c r="BM8" s="747">
        <v>5</v>
      </c>
      <c r="BN8" s="741">
        <v>180000</v>
      </c>
      <c r="BO8" s="741">
        <v>0</v>
      </c>
      <c r="BP8" s="741">
        <v>1</v>
      </c>
      <c r="BQ8" s="741">
        <v>0</v>
      </c>
      <c r="BR8" s="741">
        <v>787</v>
      </c>
      <c r="BS8" s="748">
        <v>3.75</v>
      </c>
      <c r="BT8" s="749">
        <v>36000</v>
      </c>
      <c r="BU8" s="740">
        <v>570</v>
      </c>
      <c r="BV8" s="741">
        <v>228</v>
      </c>
      <c r="BW8" s="741">
        <f t="shared" si="6"/>
        <v>395</v>
      </c>
      <c r="BX8" s="745">
        <f t="shared" si="7"/>
        <v>-175</v>
      </c>
      <c r="BY8" s="746">
        <v>4</v>
      </c>
      <c r="BZ8" s="741">
        <v>2280</v>
      </c>
      <c r="CA8" s="741">
        <v>6840</v>
      </c>
      <c r="CB8" s="741">
        <v>171</v>
      </c>
      <c r="CC8" s="745">
        <v>513</v>
      </c>
      <c r="CD8" s="747">
        <v>8</v>
      </c>
      <c r="CE8" s="741">
        <v>240000</v>
      </c>
      <c r="CF8" s="741">
        <v>0</v>
      </c>
      <c r="CG8" s="741">
        <v>0</v>
      </c>
      <c r="CH8" s="741">
        <v>0</v>
      </c>
      <c r="CI8" s="741">
        <v>1282</v>
      </c>
      <c r="CJ8" s="748">
        <v>4.692982456140351</v>
      </c>
      <c r="CK8" s="749">
        <v>30000</v>
      </c>
      <c r="CL8" s="740">
        <v>600</v>
      </c>
      <c r="CM8" s="741">
        <v>240</v>
      </c>
      <c r="CN8" s="741">
        <f t="shared" si="8"/>
        <v>415</v>
      </c>
      <c r="CO8" s="745">
        <f t="shared" si="9"/>
        <v>-185</v>
      </c>
      <c r="CP8" s="746">
        <v>4</v>
      </c>
      <c r="CQ8" s="741">
        <v>2400</v>
      </c>
      <c r="CR8" s="741">
        <v>7200</v>
      </c>
      <c r="CS8" s="741">
        <v>180</v>
      </c>
      <c r="CT8" s="745">
        <v>540</v>
      </c>
      <c r="CU8" s="747">
        <v>10</v>
      </c>
      <c r="CV8" s="741">
        <v>300000</v>
      </c>
      <c r="CW8" s="741">
        <v>0</v>
      </c>
      <c r="CX8" s="741">
        <v>0</v>
      </c>
      <c r="CY8" s="741">
        <v>1</v>
      </c>
      <c r="CZ8" s="741">
        <v>1800</v>
      </c>
      <c r="DA8" s="748">
        <v>5.604166666666667</v>
      </c>
      <c r="DB8" s="749">
        <v>30000</v>
      </c>
      <c r="DC8" s="750">
        <v>36</v>
      </c>
      <c r="DD8" s="741">
        <v>840000</v>
      </c>
      <c r="DE8" s="751">
        <v>0</v>
      </c>
      <c r="DF8" s="751">
        <v>1</v>
      </c>
      <c r="DG8" s="751">
        <v>1</v>
      </c>
      <c r="DH8" s="741">
        <v>5106</v>
      </c>
      <c r="DI8" s="748">
        <v>14.583333333333334</v>
      </c>
      <c r="DJ8" s="749">
        <v>23333.333333333332</v>
      </c>
      <c r="DK8" s="752">
        <v>10</v>
      </c>
      <c r="DL8" s="753" t="s">
        <v>43</v>
      </c>
      <c r="DM8" s="754">
        <v>3330</v>
      </c>
      <c r="DN8" s="755">
        <v>10000</v>
      </c>
      <c r="DO8" s="756">
        <v>20000</v>
      </c>
      <c r="DP8" s="756">
        <v>40000</v>
      </c>
      <c r="DQ8" s="756">
        <v>80000</v>
      </c>
      <c r="DR8" s="756">
        <v>160000</v>
      </c>
      <c r="DS8" s="756">
        <v>320000</v>
      </c>
      <c r="DT8" s="756">
        <v>640000</v>
      </c>
      <c r="DU8" s="756"/>
      <c r="DV8" s="756"/>
      <c r="DW8" s="756"/>
      <c r="DX8" s="757"/>
      <c r="DY8" s="758" t="s">
        <v>43</v>
      </c>
      <c r="DZ8" s="759"/>
      <c r="EA8" s="738"/>
      <c r="EB8" s="738"/>
      <c r="EC8" s="760"/>
      <c r="ED8" s="761"/>
      <c r="EE8" s="741"/>
      <c r="EF8" s="741"/>
      <c r="EG8" s="741"/>
      <c r="EH8" s="745"/>
      <c r="EI8" s="762"/>
      <c r="EJ8" s="763"/>
    </row>
    <row r="9" spans="2:140">
      <c r="B9" s="203" t="s">
        <v>36</v>
      </c>
      <c r="C9" s="727" t="s">
        <v>54</v>
      </c>
      <c r="D9" s="728"/>
      <c r="E9" s="729" t="s">
        <v>43</v>
      </c>
      <c r="F9" s="730" t="s">
        <v>43</v>
      </c>
      <c r="G9" s="731"/>
      <c r="H9" s="732">
        <v>5</v>
      </c>
      <c r="I9" s="733" t="s">
        <v>283</v>
      </c>
      <c r="J9" s="734">
        <v>3</v>
      </c>
      <c r="K9" s="735">
        <v>7.4999999999999997E-2</v>
      </c>
      <c r="L9" s="736">
        <v>2.88</v>
      </c>
      <c r="M9" s="737">
        <v>30</v>
      </c>
      <c r="N9" s="730">
        <v>45</v>
      </c>
      <c r="O9" s="738" t="s">
        <v>47</v>
      </c>
      <c r="P9" s="739" t="s">
        <v>98</v>
      </c>
      <c r="Q9" s="740">
        <v>360</v>
      </c>
      <c r="R9" s="741">
        <v>125</v>
      </c>
      <c r="S9" s="742">
        <v>5400</v>
      </c>
      <c r="T9" s="743" t="s">
        <v>628</v>
      </c>
      <c r="U9" s="744" t="s">
        <v>47</v>
      </c>
      <c r="V9" s="740">
        <v>360</v>
      </c>
      <c r="W9" s="741">
        <v>125</v>
      </c>
      <c r="X9" s="741">
        <f t="shared" si="0"/>
        <v>216</v>
      </c>
      <c r="Y9" s="745">
        <f t="shared" si="1"/>
        <v>-144</v>
      </c>
      <c r="Z9" s="746">
        <v>5</v>
      </c>
      <c r="AA9" s="741">
        <v>1800</v>
      </c>
      <c r="AB9" s="741">
        <v>5400</v>
      </c>
      <c r="AC9" s="741">
        <v>135</v>
      </c>
      <c r="AD9" s="745">
        <v>405</v>
      </c>
      <c r="AE9" s="747">
        <v>15</v>
      </c>
      <c r="AF9" s="741">
        <v>0</v>
      </c>
      <c r="AG9" s="741">
        <v>0</v>
      </c>
      <c r="AH9" s="741">
        <v>0</v>
      </c>
      <c r="AI9" s="741">
        <v>0</v>
      </c>
      <c r="AJ9" s="741">
        <v>2025</v>
      </c>
      <c r="AK9" s="748">
        <v>0</v>
      </c>
      <c r="AL9" s="749">
        <v>0</v>
      </c>
      <c r="AM9" s="740">
        <v>540</v>
      </c>
      <c r="AN9" s="741">
        <v>187</v>
      </c>
      <c r="AO9" s="741">
        <f t="shared" si="2"/>
        <v>323</v>
      </c>
      <c r="AP9" s="745">
        <f t="shared" si="3"/>
        <v>-217</v>
      </c>
      <c r="AQ9" s="746">
        <v>5</v>
      </c>
      <c r="AR9" s="741">
        <v>2700</v>
      </c>
      <c r="AS9" s="741">
        <v>8100</v>
      </c>
      <c r="AT9" s="741">
        <v>202</v>
      </c>
      <c r="AU9" s="745">
        <v>607</v>
      </c>
      <c r="AV9" s="747">
        <v>4</v>
      </c>
      <c r="AW9" s="741">
        <v>500000</v>
      </c>
      <c r="AX9" s="741">
        <v>0</v>
      </c>
      <c r="AY9" s="741">
        <v>0</v>
      </c>
      <c r="AZ9" s="741">
        <v>0</v>
      </c>
      <c r="BA9" s="741">
        <v>759</v>
      </c>
      <c r="BB9" s="748">
        <v>7.8271604938271606</v>
      </c>
      <c r="BC9" s="749">
        <v>125000</v>
      </c>
      <c r="BD9" s="740">
        <v>630</v>
      </c>
      <c r="BE9" s="741">
        <v>218</v>
      </c>
      <c r="BF9" s="741">
        <f t="shared" si="4"/>
        <v>377</v>
      </c>
      <c r="BG9" s="745">
        <f t="shared" si="5"/>
        <v>-253</v>
      </c>
      <c r="BH9" s="746">
        <v>5</v>
      </c>
      <c r="BI9" s="741">
        <v>3150</v>
      </c>
      <c r="BJ9" s="741">
        <v>9450</v>
      </c>
      <c r="BK9" s="741">
        <v>236</v>
      </c>
      <c r="BL9" s="745">
        <v>708</v>
      </c>
      <c r="BM9" s="747">
        <v>8</v>
      </c>
      <c r="BN9" s="741">
        <v>750000</v>
      </c>
      <c r="BO9" s="741">
        <v>0</v>
      </c>
      <c r="BP9" s="741">
        <v>1</v>
      </c>
      <c r="BQ9" s="741">
        <v>0</v>
      </c>
      <c r="BR9" s="741">
        <v>1771</v>
      </c>
      <c r="BS9" s="748">
        <v>10.206349206349207</v>
      </c>
      <c r="BT9" s="749">
        <v>93750</v>
      </c>
      <c r="BU9" s="740">
        <v>684</v>
      </c>
      <c r="BV9" s="741">
        <v>237</v>
      </c>
      <c r="BW9" s="741">
        <f t="shared" si="6"/>
        <v>410</v>
      </c>
      <c r="BX9" s="745">
        <f t="shared" si="7"/>
        <v>-274</v>
      </c>
      <c r="BY9" s="746">
        <v>5</v>
      </c>
      <c r="BZ9" s="741">
        <v>3420</v>
      </c>
      <c r="CA9" s="741">
        <v>10260</v>
      </c>
      <c r="CB9" s="741">
        <v>256</v>
      </c>
      <c r="CC9" s="745">
        <v>769</v>
      </c>
      <c r="CD9" s="747">
        <v>12</v>
      </c>
      <c r="CE9" s="741">
        <v>1000000</v>
      </c>
      <c r="CF9" s="741">
        <v>0</v>
      </c>
      <c r="CG9" s="741">
        <v>0</v>
      </c>
      <c r="CH9" s="741">
        <v>0</v>
      </c>
      <c r="CI9" s="741">
        <v>2885</v>
      </c>
      <c r="CJ9" s="748">
        <v>12.643762183235866</v>
      </c>
      <c r="CK9" s="749">
        <v>83333</v>
      </c>
      <c r="CL9" s="740">
        <v>720</v>
      </c>
      <c r="CM9" s="741">
        <v>250</v>
      </c>
      <c r="CN9" s="741">
        <f t="shared" si="8"/>
        <v>433</v>
      </c>
      <c r="CO9" s="745">
        <f t="shared" si="9"/>
        <v>-287</v>
      </c>
      <c r="CP9" s="746">
        <v>6</v>
      </c>
      <c r="CQ9" s="741">
        <v>4320</v>
      </c>
      <c r="CR9" s="741">
        <v>12960</v>
      </c>
      <c r="CS9" s="741">
        <v>324</v>
      </c>
      <c r="CT9" s="745">
        <v>972</v>
      </c>
      <c r="CU9" s="747">
        <v>15</v>
      </c>
      <c r="CV9" s="741">
        <v>1250000</v>
      </c>
      <c r="CW9" s="741">
        <v>0</v>
      </c>
      <c r="CX9" s="741">
        <v>0</v>
      </c>
      <c r="CY9" s="741">
        <v>1</v>
      </c>
      <c r="CZ9" s="741">
        <v>4860</v>
      </c>
      <c r="DA9" s="748">
        <v>12.551118827160494</v>
      </c>
      <c r="DB9" s="749">
        <v>83333</v>
      </c>
      <c r="DC9" s="750">
        <v>54</v>
      </c>
      <c r="DD9" s="741">
        <v>3500000</v>
      </c>
      <c r="DE9" s="751">
        <v>0</v>
      </c>
      <c r="DF9" s="751">
        <v>1</v>
      </c>
      <c r="DG9" s="751">
        <v>1</v>
      </c>
      <c r="DH9" s="741">
        <v>12300</v>
      </c>
      <c r="DI9" s="748">
        <v>33.757716049382715</v>
      </c>
      <c r="DJ9" s="749">
        <v>64814.814814814818</v>
      </c>
      <c r="DK9" s="752">
        <v>15</v>
      </c>
      <c r="DL9" s="753" t="s">
        <v>43</v>
      </c>
      <c r="DM9" s="754">
        <v>10000</v>
      </c>
      <c r="DN9" s="755">
        <v>70000</v>
      </c>
      <c r="DO9" s="756">
        <v>140000</v>
      </c>
      <c r="DP9" s="756">
        <v>280000</v>
      </c>
      <c r="DQ9" s="756">
        <v>560000</v>
      </c>
      <c r="DR9" s="756">
        <v>1120000</v>
      </c>
      <c r="DS9" s="756"/>
      <c r="DT9" s="756"/>
      <c r="DU9" s="756"/>
      <c r="DV9" s="756"/>
      <c r="DW9" s="756"/>
      <c r="DX9" s="757"/>
      <c r="DY9" s="758" t="s">
        <v>43</v>
      </c>
      <c r="DZ9" s="759"/>
      <c r="EA9" s="738"/>
      <c r="EB9" s="738"/>
      <c r="EC9" s="760"/>
      <c r="ED9" s="761"/>
      <c r="EE9" s="741"/>
      <c r="EF9" s="741"/>
      <c r="EG9" s="741"/>
      <c r="EH9" s="745"/>
      <c r="EI9" s="762"/>
      <c r="EJ9" s="763"/>
    </row>
    <row r="10" spans="2:140">
      <c r="B10" s="203" t="s">
        <v>67</v>
      </c>
      <c r="C10" s="727" t="s">
        <v>54</v>
      </c>
      <c r="D10" s="728"/>
      <c r="E10" s="729" t="s">
        <v>43</v>
      </c>
      <c r="F10" s="730"/>
      <c r="G10" s="731"/>
      <c r="H10" s="732">
        <v>6</v>
      </c>
      <c r="I10" s="733" t="s">
        <v>283</v>
      </c>
      <c r="J10" s="734">
        <v>3</v>
      </c>
      <c r="K10" s="735">
        <v>7.4999999999999997E-2</v>
      </c>
      <c r="L10" s="736">
        <v>2.9230769230769229</v>
      </c>
      <c r="M10" s="737">
        <v>30</v>
      </c>
      <c r="N10" s="730">
        <v>50</v>
      </c>
      <c r="O10" s="738" t="s">
        <v>47</v>
      </c>
      <c r="P10" s="739" t="s">
        <v>98</v>
      </c>
      <c r="Q10" s="740">
        <v>380</v>
      </c>
      <c r="R10" s="741">
        <v>130</v>
      </c>
      <c r="S10" s="742">
        <v>6840</v>
      </c>
      <c r="T10" s="743" t="s">
        <v>629</v>
      </c>
      <c r="U10" s="744" t="s">
        <v>47</v>
      </c>
      <c r="V10" s="740">
        <v>380</v>
      </c>
      <c r="W10" s="741">
        <v>130</v>
      </c>
      <c r="X10" s="741">
        <f t="shared" si="0"/>
        <v>225</v>
      </c>
      <c r="Y10" s="745">
        <f t="shared" si="1"/>
        <v>-155</v>
      </c>
      <c r="Z10" s="746">
        <v>6</v>
      </c>
      <c r="AA10" s="741">
        <v>2280</v>
      </c>
      <c r="AB10" s="741">
        <v>6840</v>
      </c>
      <c r="AC10" s="741">
        <v>171</v>
      </c>
      <c r="AD10" s="745">
        <v>513</v>
      </c>
      <c r="AE10" s="747">
        <v>24</v>
      </c>
      <c r="AF10" s="741">
        <v>0</v>
      </c>
      <c r="AG10" s="741">
        <v>0</v>
      </c>
      <c r="AH10" s="741">
        <v>0</v>
      </c>
      <c r="AI10" s="741">
        <v>0</v>
      </c>
      <c r="AJ10" s="741">
        <v>4104</v>
      </c>
      <c r="AK10" s="748">
        <v>0</v>
      </c>
      <c r="AL10" s="749">
        <v>0</v>
      </c>
      <c r="AM10" s="740">
        <v>570</v>
      </c>
      <c r="AN10" s="741">
        <v>195</v>
      </c>
      <c r="AO10" s="741">
        <f t="shared" si="2"/>
        <v>337</v>
      </c>
      <c r="AP10" s="745">
        <f t="shared" si="3"/>
        <v>-233</v>
      </c>
      <c r="AQ10" s="746">
        <v>6</v>
      </c>
      <c r="AR10" s="741">
        <v>3420</v>
      </c>
      <c r="AS10" s="741">
        <v>10260</v>
      </c>
      <c r="AT10" s="741">
        <v>256</v>
      </c>
      <c r="AU10" s="745">
        <v>769</v>
      </c>
      <c r="AV10" s="747">
        <v>6</v>
      </c>
      <c r="AW10" s="741">
        <v>3000000</v>
      </c>
      <c r="AX10" s="741">
        <v>0</v>
      </c>
      <c r="AY10" s="741">
        <v>0</v>
      </c>
      <c r="AZ10" s="741">
        <v>0</v>
      </c>
      <c r="BA10" s="741">
        <v>1539</v>
      </c>
      <c r="BB10" s="748">
        <v>36.716374269005847</v>
      </c>
      <c r="BC10" s="749">
        <v>500000</v>
      </c>
      <c r="BD10" s="740">
        <v>665</v>
      </c>
      <c r="BE10" s="741">
        <v>227</v>
      </c>
      <c r="BF10" s="741">
        <f t="shared" si="4"/>
        <v>393</v>
      </c>
      <c r="BG10" s="745">
        <f t="shared" si="5"/>
        <v>-272</v>
      </c>
      <c r="BH10" s="746">
        <v>6</v>
      </c>
      <c r="BI10" s="741">
        <v>3990</v>
      </c>
      <c r="BJ10" s="741">
        <v>11970</v>
      </c>
      <c r="BK10" s="741">
        <v>299</v>
      </c>
      <c r="BL10" s="745">
        <v>897</v>
      </c>
      <c r="BM10" s="747">
        <v>12</v>
      </c>
      <c r="BN10" s="741">
        <v>4500000</v>
      </c>
      <c r="BO10" s="741">
        <v>0</v>
      </c>
      <c r="BP10" s="741">
        <v>1</v>
      </c>
      <c r="BQ10" s="741">
        <v>0</v>
      </c>
      <c r="BR10" s="741">
        <v>3591</v>
      </c>
      <c r="BS10" s="748">
        <v>47.421052631578952</v>
      </c>
      <c r="BT10" s="749">
        <v>375000</v>
      </c>
      <c r="BU10" s="740">
        <v>722</v>
      </c>
      <c r="BV10" s="741">
        <v>247</v>
      </c>
      <c r="BW10" s="741">
        <f t="shared" si="6"/>
        <v>427</v>
      </c>
      <c r="BX10" s="745">
        <f t="shared" si="7"/>
        <v>-295</v>
      </c>
      <c r="BY10" s="746">
        <v>7</v>
      </c>
      <c r="BZ10" s="741">
        <v>5054</v>
      </c>
      <c r="CA10" s="741">
        <v>15162</v>
      </c>
      <c r="CB10" s="741">
        <v>379</v>
      </c>
      <c r="CC10" s="745">
        <v>1137</v>
      </c>
      <c r="CD10" s="747">
        <v>18</v>
      </c>
      <c r="CE10" s="741">
        <v>6000000</v>
      </c>
      <c r="CF10" s="741">
        <v>0</v>
      </c>
      <c r="CG10" s="741">
        <v>0</v>
      </c>
      <c r="CH10" s="741">
        <v>0</v>
      </c>
      <c r="CI10" s="741">
        <v>6822</v>
      </c>
      <c r="CJ10" s="748">
        <v>50.057874950534227</v>
      </c>
      <c r="CK10" s="749">
        <v>333333</v>
      </c>
      <c r="CL10" s="740">
        <v>760</v>
      </c>
      <c r="CM10" s="741">
        <v>260</v>
      </c>
      <c r="CN10" s="741">
        <f t="shared" si="8"/>
        <v>450</v>
      </c>
      <c r="CO10" s="745">
        <f t="shared" si="9"/>
        <v>-310</v>
      </c>
      <c r="CP10" s="746">
        <v>7</v>
      </c>
      <c r="CQ10" s="741">
        <v>5320</v>
      </c>
      <c r="CR10" s="741">
        <v>15960</v>
      </c>
      <c r="CS10" s="741">
        <v>399</v>
      </c>
      <c r="CT10" s="745">
        <v>1197</v>
      </c>
      <c r="CU10" s="747">
        <v>24</v>
      </c>
      <c r="CV10" s="741">
        <v>7500000</v>
      </c>
      <c r="CW10" s="741">
        <v>0</v>
      </c>
      <c r="CX10" s="741">
        <v>0</v>
      </c>
      <c r="CY10" s="741">
        <v>1</v>
      </c>
      <c r="CZ10" s="741">
        <v>9576</v>
      </c>
      <c r="DA10" s="748">
        <v>59.690601503759403</v>
      </c>
      <c r="DB10" s="749">
        <v>312500</v>
      </c>
      <c r="DC10" s="750">
        <v>84</v>
      </c>
      <c r="DD10" s="741">
        <v>21000000</v>
      </c>
      <c r="DE10" s="751">
        <v>0</v>
      </c>
      <c r="DF10" s="751">
        <v>1</v>
      </c>
      <c r="DG10" s="751">
        <v>1</v>
      </c>
      <c r="DH10" s="741">
        <v>25632</v>
      </c>
      <c r="DI10" s="748">
        <v>164.47368421052633</v>
      </c>
      <c r="DJ10" s="749">
        <v>250000</v>
      </c>
      <c r="DK10" s="752">
        <v>23</v>
      </c>
      <c r="DL10" s="753" t="s">
        <v>43</v>
      </c>
      <c r="DM10" s="754">
        <v>10000</v>
      </c>
      <c r="DN10" s="755">
        <v>200000</v>
      </c>
      <c r="DO10" s="756">
        <v>400000</v>
      </c>
      <c r="DP10" s="756">
        <v>800000</v>
      </c>
      <c r="DQ10" s="756">
        <v>1600000</v>
      </c>
      <c r="DR10" s="756"/>
      <c r="DS10" s="756"/>
      <c r="DT10" s="756"/>
      <c r="DU10" s="756"/>
      <c r="DV10" s="756"/>
      <c r="DW10" s="756"/>
      <c r="DX10" s="757"/>
      <c r="DY10" s="758" t="s">
        <v>43</v>
      </c>
      <c r="DZ10" s="759"/>
      <c r="EA10" s="738"/>
      <c r="EB10" s="738"/>
      <c r="EC10" s="760"/>
      <c r="ED10" s="761"/>
      <c r="EE10" s="741"/>
      <c r="EF10" s="741"/>
      <c r="EG10" s="741"/>
      <c r="EH10" s="745"/>
      <c r="EI10" s="762"/>
      <c r="EJ10" s="763"/>
    </row>
    <row r="11" spans="2:140">
      <c r="B11" s="203" t="s">
        <v>81</v>
      </c>
      <c r="C11" s="727" t="s">
        <v>54</v>
      </c>
      <c r="D11" s="728"/>
      <c r="E11" s="729" t="s">
        <v>43</v>
      </c>
      <c r="F11" s="730"/>
      <c r="G11" s="731"/>
      <c r="H11" s="732">
        <v>6</v>
      </c>
      <c r="I11" s="733" t="s">
        <v>283</v>
      </c>
      <c r="J11" s="734">
        <v>3</v>
      </c>
      <c r="K11" s="735">
        <v>7.4999999999999997E-2</v>
      </c>
      <c r="L11" s="736">
        <v>2.9629629629629628</v>
      </c>
      <c r="M11" s="737">
        <v>30</v>
      </c>
      <c r="N11" s="730">
        <v>57</v>
      </c>
      <c r="O11" s="738" t="s">
        <v>47</v>
      </c>
      <c r="P11" s="739" t="s">
        <v>98</v>
      </c>
      <c r="Q11" s="740">
        <v>400</v>
      </c>
      <c r="R11" s="741">
        <v>135</v>
      </c>
      <c r="S11" s="742">
        <v>7200</v>
      </c>
      <c r="T11" s="743" t="s">
        <v>333</v>
      </c>
      <c r="U11" s="744" t="s">
        <v>47</v>
      </c>
      <c r="V11" s="740">
        <v>400</v>
      </c>
      <c r="W11" s="741">
        <v>135</v>
      </c>
      <c r="X11" s="741">
        <f t="shared" si="0"/>
        <v>233</v>
      </c>
      <c r="Y11" s="745">
        <f t="shared" si="1"/>
        <v>-167</v>
      </c>
      <c r="Z11" s="746">
        <v>6</v>
      </c>
      <c r="AA11" s="741">
        <v>2400</v>
      </c>
      <c r="AB11" s="741">
        <v>7200</v>
      </c>
      <c r="AC11" s="741">
        <v>180</v>
      </c>
      <c r="AD11" s="745">
        <v>540</v>
      </c>
      <c r="AE11" s="747">
        <v>96</v>
      </c>
      <c r="AF11" s="741">
        <v>0</v>
      </c>
      <c r="AG11" s="741">
        <v>0</v>
      </c>
      <c r="AH11" s="741">
        <v>0</v>
      </c>
      <c r="AI11" s="741">
        <v>0</v>
      </c>
      <c r="AJ11" s="741">
        <v>10000</v>
      </c>
      <c r="AK11" s="748">
        <v>0</v>
      </c>
      <c r="AL11" s="749">
        <v>0</v>
      </c>
      <c r="AM11" s="740">
        <v>600</v>
      </c>
      <c r="AN11" s="741">
        <v>202</v>
      </c>
      <c r="AO11" s="741">
        <f t="shared" si="2"/>
        <v>349</v>
      </c>
      <c r="AP11" s="745">
        <f t="shared" si="3"/>
        <v>-251</v>
      </c>
      <c r="AQ11" s="746">
        <v>6</v>
      </c>
      <c r="AR11" s="741">
        <v>3600</v>
      </c>
      <c r="AS11" s="741">
        <v>10800</v>
      </c>
      <c r="AT11" s="741">
        <v>270</v>
      </c>
      <c r="AU11" s="745">
        <v>810</v>
      </c>
      <c r="AV11" s="747">
        <v>24</v>
      </c>
      <c r="AW11" s="741">
        <v>3000000</v>
      </c>
      <c r="AX11" s="741">
        <v>0</v>
      </c>
      <c r="AY11" s="741">
        <v>0</v>
      </c>
      <c r="AZ11" s="741">
        <v>0</v>
      </c>
      <c r="BA11" s="741">
        <v>6480</v>
      </c>
      <c r="BB11" s="748">
        <v>35.388888888888893</v>
      </c>
      <c r="BC11" s="749">
        <v>125000</v>
      </c>
      <c r="BD11" s="740">
        <v>700</v>
      </c>
      <c r="BE11" s="741">
        <v>236</v>
      </c>
      <c r="BF11" s="741">
        <f t="shared" si="4"/>
        <v>408</v>
      </c>
      <c r="BG11" s="745">
        <f t="shared" si="5"/>
        <v>-292</v>
      </c>
      <c r="BH11" s="746">
        <v>6</v>
      </c>
      <c r="BI11" s="741">
        <v>4200</v>
      </c>
      <c r="BJ11" s="741">
        <v>12600</v>
      </c>
      <c r="BK11" s="741">
        <v>315</v>
      </c>
      <c r="BL11" s="745">
        <v>945</v>
      </c>
      <c r="BM11" s="747">
        <v>48</v>
      </c>
      <c r="BN11" s="741">
        <v>4500000</v>
      </c>
      <c r="BO11" s="741">
        <v>0</v>
      </c>
      <c r="BP11" s="741">
        <v>1</v>
      </c>
      <c r="BQ11" s="741">
        <v>0</v>
      </c>
      <c r="BR11" s="741">
        <v>10000</v>
      </c>
      <c r="BS11" s="748">
        <v>46.357142857142861</v>
      </c>
      <c r="BT11" s="749">
        <v>93750</v>
      </c>
      <c r="BU11" s="740">
        <v>760</v>
      </c>
      <c r="BV11" s="741">
        <v>256</v>
      </c>
      <c r="BW11" s="741">
        <f t="shared" si="6"/>
        <v>443</v>
      </c>
      <c r="BX11" s="745">
        <f t="shared" si="7"/>
        <v>-317</v>
      </c>
      <c r="BY11" s="746">
        <v>7</v>
      </c>
      <c r="BZ11" s="741">
        <v>5320</v>
      </c>
      <c r="CA11" s="741">
        <v>15960</v>
      </c>
      <c r="CB11" s="741">
        <v>399</v>
      </c>
      <c r="CC11" s="745">
        <v>1197</v>
      </c>
      <c r="CD11" s="747">
        <v>72</v>
      </c>
      <c r="CE11" s="741">
        <v>6000000</v>
      </c>
      <c r="CF11" s="741">
        <v>0</v>
      </c>
      <c r="CG11" s="741">
        <v>0</v>
      </c>
      <c r="CH11" s="741">
        <v>0</v>
      </c>
      <c r="CI11" s="741">
        <v>10000</v>
      </c>
      <c r="CJ11" s="748">
        <v>49.360902255639097</v>
      </c>
      <c r="CK11" s="749">
        <v>83333</v>
      </c>
      <c r="CL11" s="740">
        <v>800</v>
      </c>
      <c r="CM11" s="741">
        <v>270</v>
      </c>
      <c r="CN11" s="741">
        <f t="shared" si="8"/>
        <v>467</v>
      </c>
      <c r="CO11" s="745">
        <f t="shared" si="9"/>
        <v>-333</v>
      </c>
      <c r="CP11" s="746">
        <v>7</v>
      </c>
      <c r="CQ11" s="741">
        <v>5600</v>
      </c>
      <c r="CR11" s="741">
        <v>16800</v>
      </c>
      <c r="CS11" s="741">
        <v>420</v>
      </c>
      <c r="CT11" s="745">
        <v>1260</v>
      </c>
      <c r="CU11" s="747">
        <v>96</v>
      </c>
      <c r="CV11" s="741">
        <v>7500000</v>
      </c>
      <c r="CW11" s="741">
        <v>0</v>
      </c>
      <c r="CX11" s="741">
        <v>0</v>
      </c>
      <c r="CY11" s="741">
        <v>1</v>
      </c>
      <c r="CZ11" s="741">
        <v>10000</v>
      </c>
      <c r="DA11" s="748">
        <v>59.603571428571428</v>
      </c>
      <c r="DB11" s="749">
        <v>78125</v>
      </c>
      <c r="DC11" s="750">
        <v>336</v>
      </c>
      <c r="DD11" s="741">
        <v>21000000</v>
      </c>
      <c r="DE11" s="751">
        <v>0</v>
      </c>
      <c r="DF11" s="751">
        <v>1</v>
      </c>
      <c r="DG11" s="751">
        <v>1</v>
      </c>
      <c r="DH11" s="741">
        <v>46480</v>
      </c>
      <c r="DI11" s="748">
        <v>156.25</v>
      </c>
      <c r="DJ11" s="749">
        <v>62500</v>
      </c>
      <c r="DK11" s="752">
        <v>92</v>
      </c>
      <c r="DL11" s="753" t="s">
        <v>43</v>
      </c>
      <c r="DM11" s="754">
        <v>10000</v>
      </c>
      <c r="DN11" s="755">
        <v>700000</v>
      </c>
      <c r="DO11" s="756">
        <v>1400000</v>
      </c>
      <c r="DP11" s="756"/>
      <c r="DQ11" s="756"/>
      <c r="DR11" s="756"/>
      <c r="DS11" s="756"/>
      <c r="DT11" s="756"/>
      <c r="DU11" s="756"/>
      <c r="DV11" s="756"/>
      <c r="DW11" s="756"/>
      <c r="DX11" s="757"/>
      <c r="DY11" s="758" t="s">
        <v>43</v>
      </c>
      <c r="DZ11" s="759"/>
      <c r="EA11" s="738"/>
      <c r="EB11" s="738"/>
      <c r="EC11" s="760"/>
      <c r="ED11" s="761"/>
      <c r="EE11" s="741"/>
      <c r="EF11" s="741"/>
      <c r="EG11" s="741"/>
      <c r="EH11" s="745"/>
      <c r="EI11" s="762"/>
      <c r="EJ11" s="763"/>
    </row>
    <row r="12" spans="2:140">
      <c r="B12" s="203" t="s">
        <v>123</v>
      </c>
      <c r="C12" s="727" t="s">
        <v>54</v>
      </c>
      <c r="D12" s="728"/>
      <c r="E12" s="729" t="s">
        <v>43</v>
      </c>
      <c r="F12" s="730"/>
      <c r="G12" s="731"/>
      <c r="H12" s="732">
        <v>6</v>
      </c>
      <c r="I12" s="733" t="s">
        <v>283</v>
      </c>
      <c r="J12" s="734">
        <v>3</v>
      </c>
      <c r="K12" s="735">
        <v>7.4999999999999997E-2</v>
      </c>
      <c r="L12" s="736">
        <v>2.9027777777777777</v>
      </c>
      <c r="M12" s="737">
        <v>30</v>
      </c>
      <c r="N12" s="730">
        <v>63</v>
      </c>
      <c r="O12" s="738" t="s">
        <v>47</v>
      </c>
      <c r="P12" s="739" t="s">
        <v>98</v>
      </c>
      <c r="Q12" s="740">
        <v>418</v>
      </c>
      <c r="R12" s="741">
        <v>144</v>
      </c>
      <c r="S12" s="742">
        <v>7524</v>
      </c>
      <c r="T12" s="743" t="s">
        <v>318</v>
      </c>
      <c r="U12" s="744" t="s">
        <v>47</v>
      </c>
      <c r="V12" s="740">
        <v>418</v>
      </c>
      <c r="W12" s="741">
        <v>144</v>
      </c>
      <c r="X12" s="741">
        <f t="shared" si="0"/>
        <v>249</v>
      </c>
      <c r="Y12" s="745">
        <f t="shared" si="1"/>
        <v>-169</v>
      </c>
      <c r="Z12" s="746">
        <v>6</v>
      </c>
      <c r="AA12" s="741">
        <v>2508</v>
      </c>
      <c r="AB12" s="741">
        <v>7524</v>
      </c>
      <c r="AC12" s="741">
        <v>188</v>
      </c>
      <c r="AD12" s="745">
        <v>564</v>
      </c>
      <c r="AE12" s="747">
        <v>144</v>
      </c>
      <c r="AF12" s="741">
        <v>0</v>
      </c>
      <c r="AG12" s="741">
        <v>0</v>
      </c>
      <c r="AH12" s="741">
        <v>0</v>
      </c>
      <c r="AI12" s="741">
        <v>0</v>
      </c>
      <c r="AJ12" s="741">
        <v>10000</v>
      </c>
      <c r="AK12" s="748">
        <v>0</v>
      </c>
      <c r="AL12" s="749">
        <v>0</v>
      </c>
      <c r="AM12" s="740">
        <v>627</v>
      </c>
      <c r="AN12" s="741">
        <v>216</v>
      </c>
      <c r="AO12" s="741">
        <f t="shared" si="2"/>
        <v>374</v>
      </c>
      <c r="AP12" s="745">
        <f t="shared" si="3"/>
        <v>-253</v>
      </c>
      <c r="AQ12" s="746">
        <v>6</v>
      </c>
      <c r="AR12" s="741">
        <v>3762</v>
      </c>
      <c r="AS12" s="741">
        <v>11286</v>
      </c>
      <c r="AT12" s="741">
        <v>282</v>
      </c>
      <c r="AU12" s="745">
        <v>846</v>
      </c>
      <c r="AV12" s="747">
        <v>36</v>
      </c>
      <c r="AW12" s="741">
        <v>10000000</v>
      </c>
      <c r="AX12" s="741">
        <v>0</v>
      </c>
      <c r="AY12" s="741">
        <v>0</v>
      </c>
      <c r="AZ12" s="741">
        <v>0</v>
      </c>
      <c r="BA12" s="741">
        <v>10000</v>
      </c>
      <c r="BB12" s="748">
        <v>111.75668970405813</v>
      </c>
      <c r="BC12" s="749">
        <v>277777</v>
      </c>
      <c r="BD12" s="740">
        <v>731</v>
      </c>
      <c r="BE12" s="741">
        <v>252</v>
      </c>
      <c r="BF12" s="741">
        <f t="shared" si="4"/>
        <v>436</v>
      </c>
      <c r="BG12" s="745">
        <f t="shared" si="5"/>
        <v>-295</v>
      </c>
      <c r="BH12" s="746">
        <v>6</v>
      </c>
      <c r="BI12" s="741">
        <v>4386</v>
      </c>
      <c r="BJ12" s="741">
        <v>13158</v>
      </c>
      <c r="BK12" s="741">
        <v>328</v>
      </c>
      <c r="BL12" s="745">
        <v>986</v>
      </c>
      <c r="BM12" s="747">
        <v>72</v>
      </c>
      <c r="BN12" s="741">
        <v>15000000</v>
      </c>
      <c r="BO12" s="741">
        <v>0</v>
      </c>
      <c r="BP12" s="741">
        <v>1</v>
      </c>
      <c r="BQ12" s="741">
        <v>0</v>
      </c>
      <c r="BR12" s="741">
        <v>10000</v>
      </c>
      <c r="BS12" s="748">
        <v>145.0720474236206</v>
      </c>
      <c r="BT12" s="749">
        <v>208333</v>
      </c>
      <c r="BU12" s="740">
        <v>794</v>
      </c>
      <c r="BV12" s="741">
        <v>273</v>
      </c>
      <c r="BW12" s="741">
        <f t="shared" si="6"/>
        <v>472</v>
      </c>
      <c r="BX12" s="745">
        <f t="shared" si="7"/>
        <v>-322</v>
      </c>
      <c r="BY12" s="746">
        <v>7</v>
      </c>
      <c r="BZ12" s="741">
        <v>5558</v>
      </c>
      <c r="CA12" s="741">
        <v>16674</v>
      </c>
      <c r="CB12" s="741">
        <v>416</v>
      </c>
      <c r="CC12" s="745">
        <v>1250</v>
      </c>
      <c r="CD12" s="747">
        <v>108</v>
      </c>
      <c r="CE12" s="741">
        <v>20000000</v>
      </c>
      <c r="CF12" s="741">
        <v>0</v>
      </c>
      <c r="CG12" s="741">
        <v>0</v>
      </c>
      <c r="CH12" s="741">
        <v>0</v>
      </c>
      <c r="CI12" s="741">
        <v>10000</v>
      </c>
      <c r="CJ12" s="748">
        <v>153.48512654432051</v>
      </c>
      <c r="CK12" s="749">
        <v>185185</v>
      </c>
      <c r="CL12" s="740">
        <v>836</v>
      </c>
      <c r="CM12" s="741">
        <v>288</v>
      </c>
      <c r="CN12" s="741">
        <f t="shared" si="8"/>
        <v>498</v>
      </c>
      <c r="CO12" s="745">
        <f t="shared" si="9"/>
        <v>-338</v>
      </c>
      <c r="CP12" s="746">
        <v>7</v>
      </c>
      <c r="CQ12" s="741">
        <v>5852</v>
      </c>
      <c r="CR12" s="741">
        <v>17556</v>
      </c>
      <c r="CS12" s="741">
        <v>438</v>
      </c>
      <c r="CT12" s="745">
        <v>1316</v>
      </c>
      <c r="CU12" s="747">
        <v>144</v>
      </c>
      <c r="CV12" s="741">
        <v>25000000</v>
      </c>
      <c r="CW12" s="741">
        <v>0</v>
      </c>
      <c r="CX12" s="741">
        <v>0</v>
      </c>
      <c r="CY12" s="741">
        <v>1</v>
      </c>
      <c r="CZ12" s="741">
        <v>10000</v>
      </c>
      <c r="DA12" s="748">
        <v>183.70038733196625</v>
      </c>
      <c r="DB12" s="749">
        <v>173611</v>
      </c>
      <c r="DC12" s="750">
        <v>504</v>
      </c>
      <c r="DD12" s="741">
        <v>70000000</v>
      </c>
      <c r="DE12" s="751">
        <v>0</v>
      </c>
      <c r="DF12" s="751">
        <v>1</v>
      </c>
      <c r="DG12" s="751">
        <v>1</v>
      </c>
      <c r="DH12" s="741">
        <v>50000</v>
      </c>
      <c r="DI12" s="748">
        <v>498.40510366826157</v>
      </c>
      <c r="DJ12" s="749">
        <v>138888.88888888888</v>
      </c>
      <c r="DK12" s="752">
        <v>137</v>
      </c>
      <c r="DL12" s="753" t="s">
        <v>43</v>
      </c>
      <c r="DM12" s="754">
        <v>10000</v>
      </c>
      <c r="DN12" s="755">
        <v>1500000</v>
      </c>
      <c r="DO12" s="756">
        <v>3000000</v>
      </c>
      <c r="DP12" s="756">
        <v>6000000</v>
      </c>
      <c r="DQ12" s="756">
        <v>12000000</v>
      </c>
      <c r="DR12" s="756"/>
      <c r="DS12" s="756"/>
      <c r="DT12" s="756"/>
      <c r="DU12" s="756"/>
      <c r="DV12" s="756"/>
      <c r="DW12" s="756"/>
      <c r="DX12" s="757"/>
      <c r="DY12" s="758" t="s">
        <v>43</v>
      </c>
      <c r="DZ12" s="759"/>
      <c r="EA12" s="738"/>
      <c r="EB12" s="738"/>
      <c r="EC12" s="760"/>
      <c r="ED12" s="761"/>
      <c r="EE12" s="741"/>
      <c r="EF12" s="741"/>
      <c r="EG12" s="741"/>
      <c r="EH12" s="745"/>
      <c r="EI12" s="762"/>
      <c r="EJ12" s="763"/>
    </row>
    <row r="13" spans="2:140">
      <c r="B13" s="203" t="s">
        <v>118</v>
      </c>
      <c r="C13" s="727" t="s">
        <v>54</v>
      </c>
      <c r="D13" s="728"/>
      <c r="E13" s="729" t="s">
        <v>43</v>
      </c>
      <c r="F13" s="730"/>
      <c r="G13" s="731"/>
      <c r="H13" s="732">
        <v>7</v>
      </c>
      <c r="I13" s="733" t="s">
        <v>269</v>
      </c>
      <c r="J13" s="734">
        <v>1</v>
      </c>
      <c r="K13" s="735">
        <v>7.4999999999999997E-2</v>
      </c>
      <c r="L13" s="736">
        <v>2.8</v>
      </c>
      <c r="M13" s="737">
        <v>30</v>
      </c>
      <c r="N13" s="730">
        <v>7005</v>
      </c>
      <c r="O13" s="764">
        <v>42184</v>
      </c>
      <c r="P13" s="739" t="s">
        <v>98</v>
      </c>
      <c r="Q13" s="740">
        <v>420</v>
      </c>
      <c r="R13" s="741">
        <v>150</v>
      </c>
      <c r="S13" s="742">
        <v>2940</v>
      </c>
      <c r="T13" s="743" t="s">
        <v>319</v>
      </c>
      <c r="U13" s="744" t="s">
        <v>47</v>
      </c>
      <c r="V13" s="740">
        <v>420</v>
      </c>
      <c r="W13" s="741">
        <v>150</v>
      </c>
      <c r="X13" s="741">
        <f t="shared" si="0"/>
        <v>259</v>
      </c>
      <c r="Y13" s="745">
        <f t="shared" si="1"/>
        <v>-161</v>
      </c>
      <c r="Z13" s="746">
        <v>7</v>
      </c>
      <c r="AA13" s="741">
        <v>2940</v>
      </c>
      <c r="AB13" s="741">
        <v>2940</v>
      </c>
      <c r="AC13" s="741">
        <v>220</v>
      </c>
      <c r="AD13" s="745">
        <v>220</v>
      </c>
      <c r="AE13" s="747">
        <v>144</v>
      </c>
      <c r="AF13" s="741">
        <v>0</v>
      </c>
      <c r="AG13" s="741">
        <v>0</v>
      </c>
      <c r="AH13" s="741">
        <v>0</v>
      </c>
      <c r="AI13" s="741">
        <v>0</v>
      </c>
      <c r="AJ13" s="741">
        <v>10000</v>
      </c>
      <c r="AK13" s="748">
        <v>0</v>
      </c>
      <c r="AL13" s="749">
        <v>0</v>
      </c>
      <c r="AM13" s="740">
        <v>630</v>
      </c>
      <c r="AN13" s="741">
        <v>225</v>
      </c>
      <c r="AO13" s="741">
        <f t="shared" si="2"/>
        <v>389</v>
      </c>
      <c r="AP13" s="745">
        <f t="shared" si="3"/>
        <v>-241</v>
      </c>
      <c r="AQ13" s="746">
        <v>7</v>
      </c>
      <c r="AR13" s="741">
        <v>4410</v>
      </c>
      <c r="AS13" s="741">
        <v>4410</v>
      </c>
      <c r="AT13" s="741">
        <v>330</v>
      </c>
      <c r="AU13" s="745">
        <v>330</v>
      </c>
      <c r="AV13" s="747">
        <v>36</v>
      </c>
      <c r="AW13" s="741">
        <v>1300000</v>
      </c>
      <c r="AX13" s="741">
        <v>0</v>
      </c>
      <c r="AY13" s="741">
        <v>0</v>
      </c>
      <c r="AZ13" s="741">
        <v>1</v>
      </c>
      <c r="BA13" s="741">
        <v>10000</v>
      </c>
      <c r="BB13" s="748">
        <v>13.282690854119425</v>
      </c>
      <c r="BC13" s="749">
        <v>36111</v>
      </c>
      <c r="BD13" s="740">
        <v>735</v>
      </c>
      <c r="BE13" s="741">
        <v>263</v>
      </c>
      <c r="BF13" s="741">
        <f t="shared" si="4"/>
        <v>455</v>
      </c>
      <c r="BG13" s="745">
        <f t="shared" si="5"/>
        <v>-280</v>
      </c>
      <c r="BH13" s="746">
        <v>7</v>
      </c>
      <c r="BI13" s="741">
        <v>5145</v>
      </c>
      <c r="BJ13" s="741">
        <v>5145</v>
      </c>
      <c r="BK13" s="741">
        <v>385</v>
      </c>
      <c r="BL13" s="745">
        <v>385</v>
      </c>
      <c r="BM13" s="747">
        <v>72</v>
      </c>
      <c r="BN13" s="741">
        <v>2000000</v>
      </c>
      <c r="BO13" s="741">
        <v>0</v>
      </c>
      <c r="BP13" s="741">
        <v>0</v>
      </c>
      <c r="BQ13" s="741">
        <v>2</v>
      </c>
      <c r="BR13" s="741">
        <v>10000</v>
      </c>
      <c r="BS13" s="748">
        <v>18.768383543893748</v>
      </c>
      <c r="BT13" s="749">
        <v>27777</v>
      </c>
      <c r="BU13" s="740">
        <v>797</v>
      </c>
      <c r="BV13" s="741">
        <v>285</v>
      </c>
      <c r="BW13" s="741">
        <f t="shared" si="6"/>
        <v>493</v>
      </c>
      <c r="BX13" s="745">
        <f t="shared" si="7"/>
        <v>-304</v>
      </c>
      <c r="BY13" s="746">
        <v>7</v>
      </c>
      <c r="BZ13" s="741">
        <v>5579</v>
      </c>
      <c r="CA13" s="741">
        <v>5579</v>
      </c>
      <c r="CB13" s="741">
        <v>418</v>
      </c>
      <c r="CC13" s="745">
        <v>418</v>
      </c>
      <c r="CD13" s="747">
        <v>108</v>
      </c>
      <c r="CE13" s="741">
        <v>2700000</v>
      </c>
      <c r="CF13" s="741">
        <v>0</v>
      </c>
      <c r="CG13" s="741">
        <v>0</v>
      </c>
      <c r="CH13" s="741">
        <v>3</v>
      </c>
      <c r="CI13" s="741">
        <v>10000</v>
      </c>
      <c r="CJ13" s="748">
        <v>24.314841369421043</v>
      </c>
      <c r="CK13" s="749">
        <v>25000</v>
      </c>
      <c r="CL13" s="740">
        <v>840</v>
      </c>
      <c r="CM13" s="741">
        <v>300</v>
      </c>
      <c r="CN13" s="741">
        <f t="shared" si="8"/>
        <v>519</v>
      </c>
      <c r="CO13" s="745">
        <f t="shared" si="9"/>
        <v>-321</v>
      </c>
      <c r="CP13" s="746">
        <v>7</v>
      </c>
      <c r="CQ13" s="741">
        <v>5880</v>
      </c>
      <c r="CR13" s="741">
        <v>5880</v>
      </c>
      <c r="CS13" s="741">
        <v>441</v>
      </c>
      <c r="CT13" s="745">
        <v>441</v>
      </c>
      <c r="CU13" s="747">
        <v>144</v>
      </c>
      <c r="CV13" s="741">
        <v>3300000</v>
      </c>
      <c r="CW13" s="741">
        <v>0</v>
      </c>
      <c r="CX13" s="741">
        <v>0</v>
      </c>
      <c r="CY13" s="741">
        <v>5</v>
      </c>
      <c r="CZ13" s="741">
        <v>10000</v>
      </c>
      <c r="DA13" s="748">
        <v>29.077210884353743</v>
      </c>
      <c r="DB13" s="749">
        <v>22916</v>
      </c>
      <c r="DC13" s="750">
        <v>504</v>
      </c>
      <c r="DD13" s="741">
        <v>9300000</v>
      </c>
      <c r="DE13" s="751">
        <v>0</v>
      </c>
      <c r="DF13" s="751">
        <v>0</v>
      </c>
      <c r="DG13" s="751">
        <v>11</v>
      </c>
      <c r="DH13" s="741">
        <v>50000</v>
      </c>
      <c r="DI13" s="748">
        <v>65.901360544217695</v>
      </c>
      <c r="DJ13" s="749">
        <v>18452.380952380954</v>
      </c>
      <c r="DK13" s="961">
        <v>137</v>
      </c>
      <c r="DL13" s="753" t="s">
        <v>43</v>
      </c>
      <c r="DM13" s="754">
        <v>10000</v>
      </c>
      <c r="DN13" s="755">
        <v>200000</v>
      </c>
      <c r="DO13" s="756">
        <v>400000</v>
      </c>
      <c r="DP13" s="756">
        <v>800000</v>
      </c>
      <c r="DQ13" s="756"/>
      <c r="DR13" s="756"/>
      <c r="DS13" s="756"/>
      <c r="DT13" s="756"/>
      <c r="DU13" s="756"/>
      <c r="DV13" s="756"/>
      <c r="DW13" s="756"/>
      <c r="DX13" s="757"/>
      <c r="DY13" s="758" t="s">
        <v>43</v>
      </c>
      <c r="DZ13" s="759"/>
      <c r="EA13" s="738"/>
      <c r="EB13" s="738"/>
      <c r="EC13" s="760"/>
      <c r="ED13" s="761"/>
      <c r="EE13" s="741"/>
      <c r="EF13" s="741"/>
      <c r="EG13" s="741"/>
      <c r="EH13" s="745"/>
      <c r="EI13" s="762"/>
      <c r="EJ13" s="763"/>
    </row>
    <row r="14" spans="2:140">
      <c r="B14" s="203" t="s">
        <v>219</v>
      </c>
      <c r="C14" s="727" t="s">
        <v>54</v>
      </c>
      <c r="D14" s="728"/>
      <c r="E14" s="729" t="s">
        <v>43</v>
      </c>
      <c r="F14" s="730"/>
      <c r="G14" s="731"/>
      <c r="H14" s="732">
        <v>7</v>
      </c>
      <c r="I14" s="733" t="s">
        <v>269</v>
      </c>
      <c r="J14" s="734">
        <v>5</v>
      </c>
      <c r="K14" s="735">
        <v>7.4999999999999997E-2</v>
      </c>
      <c r="L14" s="736">
        <v>4.2857142857142856</v>
      </c>
      <c r="M14" s="737">
        <v>30</v>
      </c>
      <c r="N14" s="730">
        <v>7014</v>
      </c>
      <c r="O14" s="764">
        <v>42348</v>
      </c>
      <c r="P14" s="739" t="s">
        <v>206</v>
      </c>
      <c r="Q14" s="740">
        <v>1500</v>
      </c>
      <c r="R14" s="741">
        <v>350</v>
      </c>
      <c r="S14" s="742">
        <v>60000</v>
      </c>
      <c r="T14" s="743" t="s">
        <v>320</v>
      </c>
      <c r="U14" s="744" t="s">
        <v>47</v>
      </c>
      <c r="V14" s="740">
        <v>500</v>
      </c>
      <c r="W14" s="741">
        <v>117</v>
      </c>
      <c r="X14" s="741">
        <f t="shared" si="0"/>
        <v>202</v>
      </c>
      <c r="Y14" s="745">
        <f t="shared" si="1"/>
        <v>-298</v>
      </c>
      <c r="Z14" s="746">
        <v>8</v>
      </c>
      <c r="AA14" s="741">
        <v>4000</v>
      </c>
      <c r="AB14" s="741">
        <v>20000</v>
      </c>
      <c r="AC14" s="741">
        <v>300</v>
      </c>
      <c r="AD14" s="745">
        <v>1500</v>
      </c>
      <c r="AE14" s="747">
        <v>6</v>
      </c>
      <c r="AF14" s="741">
        <v>0</v>
      </c>
      <c r="AG14" s="741">
        <v>0</v>
      </c>
      <c r="AH14" s="741">
        <v>0</v>
      </c>
      <c r="AI14" s="741">
        <v>0</v>
      </c>
      <c r="AJ14" s="741">
        <v>10000</v>
      </c>
      <c r="AK14" s="748">
        <v>0</v>
      </c>
      <c r="AL14" s="749">
        <v>0</v>
      </c>
      <c r="AM14" s="740">
        <v>625</v>
      </c>
      <c r="AN14" s="741">
        <v>146</v>
      </c>
      <c r="AO14" s="741">
        <f t="shared" si="2"/>
        <v>252</v>
      </c>
      <c r="AP14" s="745">
        <f t="shared" si="3"/>
        <v>-373</v>
      </c>
      <c r="AQ14" s="746">
        <v>8</v>
      </c>
      <c r="AR14" s="741">
        <v>5000</v>
      </c>
      <c r="AS14" s="741">
        <v>25000</v>
      </c>
      <c r="AT14" s="741">
        <v>375</v>
      </c>
      <c r="AU14" s="745">
        <v>1875</v>
      </c>
      <c r="AV14" s="747">
        <v>48</v>
      </c>
      <c r="AW14" s="741">
        <v>3000000</v>
      </c>
      <c r="AX14" s="741">
        <v>0</v>
      </c>
      <c r="AY14" s="741">
        <v>0</v>
      </c>
      <c r="AZ14" s="741">
        <v>3</v>
      </c>
      <c r="BA14" s="955">
        <v>10000</v>
      </c>
      <c r="BB14" s="748">
        <v>26.599999999999998</v>
      </c>
      <c r="BC14" s="749">
        <v>62500</v>
      </c>
      <c r="BD14" s="740">
        <v>750</v>
      </c>
      <c r="BE14" s="741">
        <v>175</v>
      </c>
      <c r="BF14" s="741">
        <f t="shared" si="4"/>
        <v>303</v>
      </c>
      <c r="BG14" s="745">
        <f t="shared" si="5"/>
        <v>-447</v>
      </c>
      <c r="BH14" s="746">
        <v>8</v>
      </c>
      <c r="BI14" s="741">
        <v>6000</v>
      </c>
      <c r="BJ14" s="741">
        <v>30000</v>
      </c>
      <c r="BK14" s="741">
        <v>450</v>
      </c>
      <c r="BL14" s="745">
        <v>2250</v>
      </c>
      <c r="BM14" s="747">
        <v>96</v>
      </c>
      <c r="BN14" s="741">
        <v>4500000</v>
      </c>
      <c r="BO14" s="741">
        <v>0</v>
      </c>
      <c r="BP14" s="741">
        <v>0</v>
      </c>
      <c r="BQ14" s="741">
        <v>5</v>
      </c>
      <c r="BR14" s="955">
        <v>10000</v>
      </c>
      <c r="BS14" s="748">
        <v>34.583333333333336</v>
      </c>
      <c r="BT14" s="749">
        <v>46875</v>
      </c>
      <c r="BU14" s="962">
        <v>1000</v>
      </c>
      <c r="BV14" s="955">
        <v>234</v>
      </c>
      <c r="BW14" s="955">
        <f t="shared" si="6"/>
        <v>405</v>
      </c>
      <c r="BX14" s="963">
        <f t="shared" si="7"/>
        <v>-595</v>
      </c>
      <c r="BY14" s="746">
        <v>8</v>
      </c>
      <c r="BZ14" s="955">
        <v>8000</v>
      </c>
      <c r="CA14" s="955">
        <v>40000</v>
      </c>
      <c r="CB14" s="955">
        <v>600</v>
      </c>
      <c r="CC14" s="963">
        <v>3000</v>
      </c>
      <c r="CD14" s="747"/>
      <c r="CE14" s="741"/>
      <c r="CF14" s="741"/>
      <c r="CG14" s="741"/>
      <c r="CH14" s="741"/>
      <c r="CI14" s="955">
        <v>10000</v>
      </c>
      <c r="CJ14" s="957">
        <v>0</v>
      </c>
      <c r="CK14" s="749">
        <v>0</v>
      </c>
      <c r="CL14" s="740">
        <v>1500</v>
      </c>
      <c r="CM14" s="741">
        <v>350</v>
      </c>
      <c r="CN14" s="741">
        <f t="shared" si="8"/>
        <v>606</v>
      </c>
      <c r="CO14" s="745">
        <f t="shared" si="9"/>
        <v>-894</v>
      </c>
      <c r="CP14" s="746">
        <v>8</v>
      </c>
      <c r="CQ14" s="741">
        <v>12000</v>
      </c>
      <c r="CR14" s="741">
        <v>60000</v>
      </c>
      <c r="CS14" s="741">
        <v>900</v>
      </c>
      <c r="CT14" s="745">
        <v>4500</v>
      </c>
      <c r="CU14" s="747"/>
      <c r="CV14" s="741"/>
      <c r="CW14" s="741"/>
      <c r="CX14" s="741"/>
      <c r="CY14" s="741"/>
      <c r="CZ14" s="955">
        <v>10000</v>
      </c>
      <c r="DA14" s="748">
        <v>0</v>
      </c>
      <c r="DB14" s="749">
        <v>0</v>
      </c>
      <c r="DC14" s="750"/>
      <c r="DD14" s="741"/>
      <c r="DE14" s="751"/>
      <c r="DF14" s="751"/>
      <c r="DG14" s="751"/>
      <c r="DH14" s="955">
        <v>50000</v>
      </c>
      <c r="DI14" s="957"/>
      <c r="DJ14" s="749"/>
      <c r="DK14" s="752"/>
      <c r="DL14" s="753"/>
      <c r="DM14" s="754">
        <v>10000</v>
      </c>
      <c r="DN14" s="755">
        <v>1500000</v>
      </c>
      <c r="DO14" s="756"/>
      <c r="DP14" s="756"/>
      <c r="DQ14" s="756"/>
      <c r="DR14" s="756"/>
      <c r="DS14" s="756"/>
      <c r="DT14" s="756"/>
      <c r="DU14" s="756"/>
      <c r="DV14" s="756"/>
      <c r="DW14" s="756"/>
      <c r="DX14" s="757"/>
      <c r="DY14" s="758" t="s">
        <v>43</v>
      </c>
      <c r="DZ14" s="759"/>
      <c r="EA14" s="738"/>
      <c r="EB14" s="738"/>
      <c r="EC14" s="760"/>
      <c r="ED14" s="761"/>
      <c r="EE14" s="741"/>
      <c r="EF14" s="741"/>
      <c r="EG14" s="741"/>
      <c r="EH14" s="745"/>
      <c r="EI14" s="762"/>
      <c r="EJ14" s="763"/>
    </row>
    <row r="15" spans="2:140">
      <c r="B15" s="203" t="s">
        <v>263</v>
      </c>
      <c r="C15" s="727" t="s">
        <v>54</v>
      </c>
      <c r="D15" s="728"/>
      <c r="E15" s="729" t="s">
        <v>43</v>
      </c>
      <c r="F15" s="730" t="s">
        <v>43</v>
      </c>
      <c r="G15" s="731"/>
      <c r="H15" s="732">
        <v>7</v>
      </c>
      <c r="I15" s="733" t="s">
        <v>269</v>
      </c>
      <c r="J15" s="734">
        <v>5</v>
      </c>
      <c r="K15" s="964">
        <v>7.4999999999999997E-2</v>
      </c>
      <c r="L15" s="736">
        <v>4.333333333333333</v>
      </c>
      <c r="M15" s="737">
        <v>30</v>
      </c>
      <c r="N15" s="730">
        <v>7019</v>
      </c>
      <c r="O15" s="764">
        <v>42384</v>
      </c>
      <c r="P15" s="739" t="s">
        <v>206</v>
      </c>
      <c r="Q15" s="740">
        <v>1560</v>
      </c>
      <c r="R15" s="741">
        <v>360</v>
      </c>
      <c r="S15" s="742">
        <v>62400</v>
      </c>
      <c r="T15" s="743" t="s">
        <v>321</v>
      </c>
      <c r="U15" s="744" t="s">
        <v>47</v>
      </c>
      <c r="V15" s="740">
        <v>520</v>
      </c>
      <c r="W15" s="741">
        <v>120</v>
      </c>
      <c r="X15" s="741">
        <f t="shared" si="0"/>
        <v>207</v>
      </c>
      <c r="Y15" s="745">
        <f t="shared" si="1"/>
        <v>-313</v>
      </c>
      <c r="Z15" s="746">
        <v>8</v>
      </c>
      <c r="AA15" s="741">
        <v>4160</v>
      </c>
      <c r="AB15" s="741">
        <v>20800</v>
      </c>
      <c r="AC15" s="955">
        <v>312</v>
      </c>
      <c r="AD15" s="963">
        <v>1560</v>
      </c>
      <c r="AE15" s="747">
        <v>6</v>
      </c>
      <c r="AF15" s="741">
        <v>0</v>
      </c>
      <c r="AG15" s="741">
        <v>0</v>
      </c>
      <c r="AH15" s="741">
        <v>0</v>
      </c>
      <c r="AI15" s="741">
        <v>0</v>
      </c>
      <c r="AJ15" s="955">
        <v>10000</v>
      </c>
      <c r="AK15" s="748">
        <v>0</v>
      </c>
      <c r="AL15" s="749">
        <v>0</v>
      </c>
      <c r="AM15" s="962">
        <v>650</v>
      </c>
      <c r="AN15" s="955">
        <v>150</v>
      </c>
      <c r="AO15" s="955">
        <f t="shared" si="2"/>
        <v>259</v>
      </c>
      <c r="AP15" s="963">
        <f t="shared" si="3"/>
        <v>-391</v>
      </c>
      <c r="AQ15" s="746">
        <v>8</v>
      </c>
      <c r="AR15" s="955">
        <v>5200</v>
      </c>
      <c r="AS15" s="955">
        <v>26000</v>
      </c>
      <c r="AT15" s="955">
        <v>390</v>
      </c>
      <c r="AU15" s="963">
        <v>1950</v>
      </c>
      <c r="AV15" s="747"/>
      <c r="AW15" s="741"/>
      <c r="AX15" s="741"/>
      <c r="AY15" s="741"/>
      <c r="AZ15" s="741"/>
      <c r="BA15" s="955">
        <v>10000</v>
      </c>
      <c r="BB15" s="957">
        <v>0</v>
      </c>
      <c r="BC15" s="749">
        <v>0</v>
      </c>
      <c r="BD15" s="962">
        <v>780</v>
      </c>
      <c r="BE15" s="955">
        <v>180</v>
      </c>
      <c r="BF15" s="955">
        <f t="shared" si="4"/>
        <v>311</v>
      </c>
      <c r="BG15" s="963">
        <f t="shared" si="5"/>
        <v>-469</v>
      </c>
      <c r="BH15" s="746">
        <v>8</v>
      </c>
      <c r="BI15" s="955">
        <v>6240</v>
      </c>
      <c r="BJ15" s="955">
        <v>31200</v>
      </c>
      <c r="BK15" s="955">
        <v>468</v>
      </c>
      <c r="BL15" s="963">
        <v>2340</v>
      </c>
      <c r="BM15" s="747"/>
      <c r="BN15" s="741"/>
      <c r="BO15" s="741"/>
      <c r="BP15" s="741"/>
      <c r="BQ15" s="741"/>
      <c r="BR15" s="955">
        <v>10000</v>
      </c>
      <c r="BS15" s="957">
        <v>0</v>
      </c>
      <c r="BT15" s="749">
        <v>0</v>
      </c>
      <c r="BU15" s="962">
        <v>1040</v>
      </c>
      <c r="BV15" s="955">
        <v>240</v>
      </c>
      <c r="BW15" s="955">
        <f t="shared" si="6"/>
        <v>415</v>
      </c>
      <c r="BX15" s="963">
        <f t="shared" si="7"/>
        <v>-625</v>
      </c>
      <c r="BY15" s="746">
        <v>8</v>
      </c>
      <c r="BZ15" s="955">
        <v>8320</v>
      </c>
      <c r="CA15" s="955">
        <v>41600</v>
      </c>
      <c r="CB15" s="955">
        <v>624</v>
      </c>
      <c r="CC15" s="963">
        <v>3120</v>
      </c>
      <c r="CD15" s="747"/>
      <c r="CE15" s="741"/>
      <c r="CF15" s="741"/>
      <c r="CG15" s="741"/>
      <c r="CH15" s="741"/>
      <c r="CI15" s="955">
        <v>10000</v>
      </c>
      <c r="CJ15" s="957">
        <v>0</v>
      </c>
      <c r="CK15" s="749">
        <v>0</v>
      </c>
      <c r="CL15" s="740">
        <v>1560</v>
      </c>
      <c r="CM15" s="741">
        <v>360</v>
      </c>
      <c r="CN15" s="741">
        <f t="shared" si="8"/>
        <v>623</v>
      </c>
      <c r="CO15" s="745">
        <f t="shared" si="9"/>
        <v>-937</v>
      </c>
      <c r="CP15" s="746">
        <v>8</v>
      </c>
      <c r="CQ15" s="741">
        <v>12480</v>
      </c>
      <c r="CR15" s="741">
        <v>62400</v>
      </c>
      <c r="CS15" s="955">
        <v>936</v>
      </c>
      <c r="CT15" s="963">
        <v>4680</v>
      </c>
      <c r="CU15" s="747"/>
      <c r="CV15" s="741"/>
      <c r="CW15" s="741"/>
      <c r="CX15" s="741"/>
      <c r="CY15" s="741"/>
      <c r="CZ15" s="955">
        <v>10000</v>
      </c>
      <c r="DA15" s="748">
        <v>0</v>
      </c>
      <c r="DB15" s="749">
        <v>0</v>
      </c>
      <c r="DC15" s="750"/>
      <c r="DD15" s="741"/>
      <c r="DE15" s="751"/>
      <c r="DF15" s="751"/>
      <c r="DG15" s="751"/>
      <c r="DH15" s="955">
        <v>50000</v>
      </c>
      <c r="DI15" s="957"/>
      <c r="DJ15" s="749"/>
      <c r="DK15" s="752"/>
      <c r="DL15" s="753"/>
      <c r="DM15" s="754">
        <v>10000</v>
      </c>
      <c r="DN15" s="755">
        <v>2000000</v>
      </c>
      <c r="DO15" s="756"/>
      <c r="DP15" s="756"/>
      <c r="DQ15" s="756"/>
      <c r="DR15" s="756"/>
      <c r="DS15" s="756"/>
      <c r="DT15" s="756"/>
      <c r="DU15" s="756"/>
      <c r="DV15" s="756"/>
      <c r="DW15" s="756"/>
      <c r="DX15" s="757"/>
      <c r="DY15" s="758" t="s">
        <v>43</v>
      </c>
      <c r="DZ15" s="759"/>
      <c r="EA15" s="738"/>
      <c r="EB15" s="738"/>
      <c r="EC15" s="760"/>
      <c r="ED15" s="761"/>
      <c r="EE15" s="741"/>
      <c r="EF15" s="741"/>
      <c r="EG15" s="741"/>
      <c r="EH15" s="745"/>
      <c r="EI15" s="762"/>
      <c r="EJ15" s="763"/>
    </row>
    <row r="16" spans="2:140">
      <c r="B16" s="203" t="s">
        <v>142</v>
      </c>
      <c r="C16" s="727" t="s">
        <v>54</v>
      </c>
      <c r="D16" s="728"/>
      <c r="E16" s="729" t="s">
        <v>43</v>
      </c>
      <c r="F16" s="730"/>
      <c r="G16" s="731"/>
      <c r="H16" s="732">
        <v>6</v>
      </c>
      <c r="I16" s="733" t="s">
        <v>282</v>
      </c>
      <c r="J16" s="734">
        <v>3</v>
      </c>
      <c r="K16" s="735">
        <v>7.4999999999999997E-2</v>
      </c>
      <c r="L16" s="736">
        <v>3.2</v>
      </c>
      <c r="M16" s="737">
        <v>100</v>
      </c>
      <c r="N16" s="730">
        <v>75</v>
      </c>
      <c r="O16" s="764">
        <v>42156</v>
      </c>
      <c r="P16" s="739" t="s">
        <v>98</v>
      </c>
      <c r="Q16" s="740">
        <v>400</v>
      </c>
      <c r="R16" s="741">
        <v>125</v>
      </c>
      <c r="S16" s="742">
        <v>6000</v>
      </c>
      <c r="T16" s="743" t="s">
        <v>322</v>
      </c>
      <c r="U16" s="744" t="s">
        <v>630</v>
      </c>
      <c r="V16" s="740">
        <v>400</v>
      </c>
      <c r="W16" s="741">
        <v>125</v>
      </c>
      <c r="X16" s="741">
        <f t="shared" si="0"/>
        <v>216</v>
      </c>
      <c r="Y16" s="745">
        <f t="shared" si="1"/>
        <v>-184</v>
      </c>
      <c r="Z16" s="746">
        <v>5</v>
      </c>
      <c r="AA16" s="741">
        <v>2000</v>
      </c>
      <c r="AB16" s="741">
        <v>6000</v>
      </c>
      <c r="AC16" s="741">
        <v>150</v>
      </c>
      <c r="AD16" s="745">
        <v>450</v>
      </c>
      <c r="AE16" s="747">
        <v>15</v>
      </c>
      <c r="AF16" s="741">
        <v>0</v>
      </c>
      <c r="AG16" s="741">
        <v>0</v>
      </c>
      <c r="AH16" s="741">
        <v>0</v>
      </c>
      <c r="AI16" s="741">
        <v>0</v>
      </c>
      <c r="AJ16" s="741">
        <v>2025</v>
      </c>
      <c r="AK16" s="748">
        <v>0</v>
      </c>
      <c r="AL16" s="749">
        <v>0</v>
      </c>
      <c r="AM16" s="740">
        <v>600</v>
      </c>
      <c r="AN16" s="741">
        <v>187</v>
      </c>
      <c r="AO16" s="741">
        <f t="shared" si="2"/>
        <v>323</v>
      </c>
      <c r="AP16" s="745">
        <f t="shared" si="3"/>
        <v>-277</v>
      </c>
      <c r="AQ16" s="746">
        <v>5</v>
      </c>
      <c r="AR16" s="741">
        <v>3000</v>
      </c>
      <c r="AS16" s="741">
        <v>9000</v>
      </c>
      <c r="AT16" s="741">
        <v>225</v>
      </c>
      <c r="AU16" s="745">
        <v>675</v>
      </c>
      <c r="AV16" s="747">
        <v>4</v>
      </c>
      <c r="AW16" s="741">
        <v>500000</v>
      </c>
      <c r="AX16" s="741">
        <v>0</v>
      </c>
      <c r="AY16" s="741">
        <v>0</v>
      </c>
      <c r="AZ16" s="741">
        <v>0</v>
      </c>
      <c r="BA16" s="741">
        <v>759</v>
      </c>
      <c r="BB16" s="748">
        <v>7.0555555555555562</v>
      </c>
      <c r="BC16" s="749">
        <v>125000</v>
      </c>
      <c r="BD16" s="740">
        <v>700</v>
      </c>
      <c r="BE16" s="741">
        <v>218</v>
      </c>
      <c r="BF16" s="741">
        <f t="shared" si="4"/>
        <v>377</v>
      </c>
      <c r="BG16" s="745">
        <f t="shared" si="5"/>
        <v>-323</v>
      </c>
      <c r="BH16" s="746">
        <v>5</v>
      </c>
      <c r="BI16" s="741">
        <v>3500</v>
      </c>
      <c r="BJ16" s="741">
        <v>10500</v>
      </c>
      <c r="BK16" s="741">
        <v>262</v>
      </c>
      <c r="BL16" s="745">
        <v>787</v>
      </c>
      <c r="BM16" s="747">
        <v>8</v>
      </c>
      <c r="BN16" s="741">
        <v>750000</v>
      </c>
      <c r="BO16" s="741">
        <v>0</v>
      </c>
      <c r="BP16" s="741">
        <v>1</v>
      </c>
      <c r="BQ16" s="741">
        <v>0</v>
      </c>
      <c r="BR16" s="741">
        <v>1771</v>
      </c>
      <c r="BS16" s="748">
        <v>9.2142857142857135</v>
      </c>
      <c r="BT16" s="749">
        <v>93750</v>
      </c>
      <c r="BU16" s="740">
        <v>760</v>
      </c>
      <c r="BV16" s="741">
        <v>237</v>
      </c>
      <c r="BW16" s="741">
        <f t="shared" si="6"/>
        <v>410</v>
      </c>
      <c r="BX16" s="745">
        <f t="shared" si="7"/>
        <v>-350</v>
      </c>
      <c r="BY16" s="746">
        <v>5</v>
      </c>
      <c r="BZ16" s="741">
        <v>3800</v>
      </c>
      <c r="CA16" s="741">
        <v>11400</v>
      </c>
      <c r="CB16" s="741">
        <v>285</v>
      </c>
      <c r="CC16" s="745">
        <v>855</v>
      </c>
      <c r="CD16" s="747">
        <v>12</v>
      </c>
      <c r="CE16" s="741">
        <v>1000000</v>
      </c>
      <c r="CF16" s="741">
        <v>0</v>
      </c>
      <c r="CG16" s="741">
        <v>0</v>
      </c>
      <c r="CH16" s="741">
        <v>0</v>
      </c>
      <c r="CI16" s="741">
        <v>2885</v>
      </c>
      <c r="CJ16" s="748">
        <v>11.425438596491228</v>
      </c>
      <c r="CK16" s="749">
        <v>83333</v>
      </c>
      <c r="CL16" s="740">
        <v>800</v>
      </c>
      <c r="CM16" s="741">
        <v>250</v>
      </c>
      <c r="CN16" s="741">
        <f t="shared" si="8"/>
        <v>433</v>
      </c>
      <c r="CO16" s="745">
        <f t="shared" si="9"/>
        <v>-367</v>
      </c>
      <c r="CP16" s="746">
        <v>6</v>
      </c>
      <c r="CQ16" s="741">
        <v>4800</v>
      </c>
      <c r="CR16" s="741">
        <v>14400</v>
      </c>
      <c r="CS16" s="741">
        <v>360</v>
      </c>
      <c r="CT16" s="745">
        <v>1080</v>
      </c>
      <c r="CU16" s="747">
        <v>15</v>
      </c>
      <c r="CV16" s="741">
        <v>1250000</v>
      </c>
      <c r="CW16" s="741">
        <v>0</v>
      </c>
      <c r="CX16" s="741">
        <v>0</v>
      </c>
      <c r="CY16" s="741">
        <v>1</v>
      </c>
      <c r="CZ16" s="741">
        <v>4860</v>
      </c>
      <c r="DA16" s="748">
        <v>11.345486111111112</v>
      </c>
      <c r="DB16" s="749">
        <v>83333</v>
      </c>
      <c r="DC16" s="750">
        <v>54</v>
      </c>
      <c r="DD16" s="741">
        <v>3500000</v>
      </c>
      <c r="DE16" s="751">
        <v>0</v>
      </c>
      <c r="DF16" s="751">
        <v>1</v>
      </c>
      <c r="DG16" s="751">
        <v>1</v>
      </c>
      <c r="DH16" s="741">
        <v>12300</v>
      </c>
      <c r="DI16" s="748">
        <v>30.381944444444443</v>
      </c>
      <c r="DJ16" s="749">
        <v>64814.814814814818</v>
      </c>
      <c r="DK16" s="752">
        <v>30</v>
      </c>
      <c r="DL16" s="753" t="s">
        <v>43</v>
      </c>
      <c r="DM16" s="754">
        <v>3330</v>
      </c>
      <c r="DN16" s="755">
        <v>10000</v>
      </c>
      <c r="DO16" s="756">
        <v>20000</v>
      </c>
      <c r="DP16" s="756">
        <v>40000</v>
      </c>
      <c r="DQ16" s="756">
        <v>80000</v>
      </c>
      <c r="DR16" s="756">
        <v>160000</v>
      </c>
      <c r="DS16" s="756">
        <v>320000</v>
      </c>
      <c r="DT16" s="756">
        <v>640000</v>
      </c>
      <c r="DU16" s="756"/>
      <c r="DV16" s="756"/>
      <c r="DW16" s="756"/>
      <c r="DX16" s="757"/>
      <c r="DY16" s="758" t="s">
        <v>43</v>
      </c>
      <c r="DZ16" s="759"/>
      <c r="EA16" s="738"/>
      <c r="EB16" s="738"/>
      <c r="EC16" s="760"/>
      <c r="ED16" s="761"/>
      <c r="EE16" s="741"/>
      <c r="EF16" s="741"/>
      <c r="EG16" s="741"/>
      <c r="EH16" s="745"/>
      <c r="EI16" s="762"/>
      <c r="EJ16" s="763"/>
    </row>
    <row r="17" spans="2:140">
      <c r="B17" s="203" t="s">
        <v>140</v>
      </c>
      <c r="C17" s="727" t="s">
        <v>54</v>
      </c>
      <c r="D17" s="728"/>
      <c r="E17" s="729" t="s">
        <v>43</v>
      </c>
      <c r="F17" s="730"/>
      <c r="G17" s="731"/>
      <c r="H17" s="732">
        <v>5</v>
      </c>
      <c r="I17" s="733" t="s">
        <v>282</v>
      </c>
      <c r="J17" s="734">
        <v>6</v>
      </c>
      <c r="K17" s="735">
        <v>7.4999999999999997E-2</v>
      </c>
      <c r="L17" s="736">
        <v>3.4615384615384617</v>
      </c>
      <c r="M17" s="737">
        <v>100</v>
      </c>
      <c r="N17" s="730">
        <v>83</v>
      </c>
      <c r="O17" s="764">
        <v>42248</v>
      </c>
      <c r="P17" s="739" t="s">
        <v>98</v>
      </c>
      <c r="Q17" s="740">
        <v>450</v>
      </c>
      <c r="R17" s="741">
        <v>130</v>
      </c>
      <c r="S17" s="742">
        <v>16200</v>
      </c>
      <c r="T17" s="743" t="s">
        <v>323</v>
      </c>
      <c r="U17" s="744" t="s">
        <v>631</v>
      </c>
      <c r="V17" s="740">
        <v>450</v>
      </c>
      <c r="W17" s="741">
        <v>130</v>
      </c>
      <c r="X17" s="741">
        <f t="shared" si="0"/>
        <v>225</v>
      </c>
      <c r="Y17" s="745">
        <f t="shared" si="1"/>
        <v>-225</v>
      </c>
      <c r="Z17" s="746">
        <v>6</v>
      </c>
      <c r="AA17" s="741">
        <v>2700</v>
      </c>
      <c r="AB17" s="741">
        <v>16200</v>
      </c>
      <c r="AC17" s="741">
        <v>202</v>
      </c>
      <c r="AD17" s="745">
        <v>1215</v>
      </c>
      <c r="AE17" s="747">
        <v>20</v>
      </c>
      <c r="AF17" s="741">
        <v>0</v>
      </c>
      <c r="AG17" s="741">
        <v>0</v>
      </c>
      <c r="AH17" s="741">
        <v>0</v>
      </c>
      <c r="AI17" s="741">
        <v>0</v>
      </c>
      <c r="AJ17" s="741">
        <v>4050</v>
      </c>
      <c r="AK17" s="748">
        <v>0</v>
      </c>
      <c r="AL17" s="749">
        <v>0</v>
      </c>
      <c r="AM17" s="740">
        <v>675</v>
      </c>
      <c r="AN17" s="741">
        <v>195</v>
      </c>
      <c r="AO17" s="741">
        <f t="shared" si="2"/>
        <v>337</v>
      </c>
      <c r="AP17" s="745">
        <f t="shared" si="3"/>
        <v>-338</v>
      </c>
      <c r="AQ17" s="746">
        <v>6</v>
      </c>
      <c r="AR17" s="741">
        <v>4050</v>
      </c>
      <c r="AS17" s="741">
        <v>24300</v>
      </c>
      <c r="AT17" s="741">
        <v>303</v>
      </c>
      <c r="AU17" s="745">
        <v>1822</v>
      </c>
      <c r="AV17" s="747">
        <v>6</v>
      </c>
      <c r="AW17" s="741">
        <v>1200000</v>
      </c>
      <c r="AX17" s="741">
        <v>0</v>
      </c>
      <c r="AY17" s="741">
        <v>2</v>
      </c>
      <c r="AZ17" s="741">
        <v>0</v>
      </c>
      <c r="BA17" s="741">
        <v>1822</v>
      </c>
      <c r="BB17" s="748">
        <v>12.512345679012347</v>
      </c>
      <c r="BC17" s="749">
        <v>200000</v>
      </c>
      <c r="BD17" s="740">
        <v>786</v>
      </c>
      <c r="BE17" s="741">
        <v>227</v>
      </c>
      <c r="BF17" s="741">
        <f t="shared" si="4"/>
        <v>393</v>
      </c>
      <c r="BG17" s="745">
        <f t="shared" si="5"/>
        <v>-393</v>
      </c>
      <c r="BH17" s="746">
        <v>6</v>
      </c>
      <c r="BI17" s="741">
        <v>4716</v>
      </c>
      <c r="BJ17" s="741">
        <v>28296</v>
      </c>
      <c r="BK17" s="741">
        <v>353</v>
      </c>
      <c r="BL17" s="745">
        <v>2122</v>
      </c>
      <c r="BM17" s="747">
        <v>11</v>
      </c>
      <c r="BN17" s="741">
        <v>1800000</v>
      </c>
      <c r="BO17" s="741">
        <v>0</v>
      </c>
      <c r="BP17" s="741">
        <v>3</v>
      </c>
      <c r="BQ17" s="741">
        <v>0</v>
      </c>
      <c r="BR17" s="741">
        <v>3890</v>
      </c>
      <c r="BS17" s="748">
        <v>16.296914758269718</v>
      </c>
      <c r="BT17" s="749">
        <v>163636</v>
      </c>
      <c r="BU17" s="740">
        <v>855</v>
      </c>
      <c r="BV17" s="741">
        <v>247</v>
      </c>
      <c r="BW17" s="741">
        <f t="shared" si="6"/>
        <v>427</v>
      </c>
      <c r="BX17" s="745">
        <f t="shared" si="7"/>
        <v>-428</v>
      </c>
      <c r="BY17" s="746">
        <v>6</v>
      </c>
      <c r="BZ17" s="741">
        <v>5130</v>
      </c>
      <c r="CA17" s="741">
        <v>30780</v>
      </c>
      <c r="CB17" s="741">
        <v>384</v>
      </c>
      <c r="CC17" s="745">
        <v>2308</v>
      </c>
      <c r="CD17" s="747">
        <v>16</v>
      </c>
      <c r="CE17" s="741">
        <v>2400000</v>
      </c>
      <c r="CF17" s="741">
        <v>0</v>
      </c>
      <c r="CG17" s="741">
        <v>0</v>
      </c>
      <c r="CH17" s="741">
        <v>2</v>
      </c>
      <c r="CI17" s="741">
        <v>6156</v>
      </c>
      <c r="CJ17" s="748">
        <v>20.106042884990256</v>
      </c>
      <c r="CK17" s="749">
        <v>150000</v>
      </c>
      <c r="CL17" s="740">
        <v>900</v>
      </c>
      <c r="CM17" s="741">
        <v>260</v>
      </c>
      <c r="CN17" s="741">
        <f t="shared" si="8"/>
        <v>450</v>
      </c>
      <c r="CO17" s="745">
        <f t="shared" si="9"/>
        <v>-450</v>
      </c>
      <c r="CP17" s="746">
        <v>6</v>
      </c>
      <c r="CQ17" s="741">
        <v>5400</v>
      </c>
      <c r="CR17" s="741">
        <v>32400</v>
      </c>
      <c r="CS17" s="741">
        <v>405</v>
      </c>
      <c r="CT17" s="745">
        <v>2430</v>
      </c>
      <c r="CU17" s="747">
        <v>20</v>
      </c>
      <c r="CV17" s="741">
        <v>3000000</v>
      </c>
      <c r="CW17" s="741">
        <v>0</v>
      </c>
      <c r="CX17" s="741">
        <v>0</v>
      </c>
      <c r="CY17" s="741">
        <v>3</v>
      </c>
      <c r="CZ17" s="741">
        <v>8100</v>
      </c>
      <c r="DA17" s="748">
        <v>23.939814814814813</v>
      </c>
      <c r="DB17" s="749">
        <v>150000</v>
      </c>
      <c r="DC17" s="750">
        <v>73</v>
      </c>
      <c r="DD17" s="741">
        <v>8400000</v>
      </c>
      <c r="DE17" s="751">
        <v>0</v>
      </c>
      <c r="DF17" s="751">
        <v>5</v>
      </c>
      <c r="DG17" s="751">
        <v>5</v>
      </c>
      <c r="DH17" s="741">
        <v>24018</v>
      </c>
      <c r="DI17" s="748">
        <v>64.814814814814824</v>
      </c>
      <c r="DJ17" s="749">
        <v>115068.49315068492</v>
      </c>
      <c r="DK17" s="752">
        <v>19</v>
      </c>
      <c r="DL17" s="753" t="s">
        <v>43</v>
      </c>
      <c r="DM17" s="754">
        <v>10000</v>
      </c>
      <c r="DN17" s="755">
        <v>60000</v>
      </c>
      <c r="DO17" s="756">
        <v>120000</v>
      </c>
      <c r="DP17" s="756">
        <v>240000</v>
      </c>
      <c r="DQ17" s="756">
        <v>480000</v>
      </c>
      <c r="DR17" s="756">
        <v>960000</v>
      </c>
      <c r="DS17" s="756"/>
      <c r="DT17" s="756"/>
      <c r="DU17" s="756"/>
      <c r="DV17" s="756"/>
      <c r="DW17" s="756"/>
      <c r="DX17" s="757"/>
      <c r="DY17" s="758" t="s">
        <v>43</v>
      </c>
      <c r="DZ17" s="759"/>
      <c r="EA17" s="738"/>
      <c r="EB17" s="738"/>
      <c r="EC17" s="760"/>
      <c r="ED17" s="761"/>
      <c r="EE17" s="741"/>
      <c r="EF17" s="741"/>
      <c r="EG17" s="741"/>
      <c r="EH17" s="745"/>
      <c r="EI17" s="762"/>
      <c r="EJ17" s="763"/>
    </row>
    <row r="18" spans="2:140">
      <c r="B18" s="203" t="s">
        <v>184</v>
      </c>
      <c r="C18" s="727" t="s">
        <v>54</v>
      </c>
      <c r="D18" s="728" t="s">
        <v>43</v>
      </c>
      <c r="E18" s="729" t="s">
        <v>43</v>
      </c>
      <c r="F18" s="730"/>
      <c r="G18" s="731"/>
      <c r="H18" s="732">
        <v>6</v>
      </c>
      <c r="I18" s="733" t="s">
        <v>282</v>
      </c>
      <c r="J18" s="734">
        <v>6</v>
      </c>
      <c r="K18" s="735">
        <v>7.4999999999999997E-2</v>
      </c>
      <c r="L18" s="736">
        <v>3.8888888888888888</v>
      </c>
      <c r="M18" s="737">
        <v>100</v>
      </c>
      <c r="N18" s="730">
        <v>92</v>
      </c>
      <c r="O18" s="764">
        <v>42309</v>
      </c>
      <c r="P18" s="739" t="s">
        <v>206</v>
      </c>
      <c r="Q18" s="740">
        <v>1400</v>
      </c>
      <c r="R18" s="741">
        <v>360</v>
      </c>
      <c r="S18" s="742">
        <v>117600</v>
      </c>
      <c r="T18" s="743" t="s">
        <v>324</v>
      </c>
      <c r="U18" s="744" t="s">
        <v>632</v>
      </c>
      <c r="V18" s="740">
        <v>467</v>
      </c>
      <c r="W18" s="741">
        <v>120</v>
      </c>
      <c r="X18" s="741">
        <f t="shared" si="0"/>
        <v>207</v>
      </c>
      <c r="Y18" s="745">
        <f t="shared" si="1"/>
        <v>-260</v>
      </c>
      <c r="Z18" s="746">
        <v>12</v>
      </c>
      <c r="AA18" s="741">
        <v>5604</v>
      </c>
      <c r="AB18" s="741">
        <v>33624</v>
      </c>
      <c r="AC18" s="741">
        <v>420</v>
      </c>
      <c r="AD18" s="745">
        <v>2521</v>
      </c>
      <c r="AE18" s="747">
        <v>6</v>
      </c>
      <c r="AF18" s="741">
        <v>0</v>
      </c>
      <c r="AG18" s="741">
        <v>0</v>
      </c>
      <c r="AH18" s="741">
        <v>0</v>
      </c>
      <c r="AI18" s="741">
        <v>0</v>
      </c>
      <c r="AJ18" s="741">
        <v>2522</v>
      </c>
      <c r="AK18" s="748">
        <v>0</v>
      </c>
      <c r="AL18" s="749">
        <v>0</v>
      </c>
      <c r="AM18" s="740">
        <v>584</v>
      </c>
      <c r="AN18" s="741">
        <v>150</v>
      </c>
      <c r="AO18" s="741">
        <f t="shared" si="2"/>
        <v>259</v>
      </c>
      <c r="AP18" s="745">
        <f t="shared" si="3"/>
        <v>-325</v>
      </c>
      <c r="AQ18" s="746">
        <v>12</v>
      </c>
      <c r="AR18" s="741">
        <v>7008</v>
      </c>
      <c r="AS18" s="741">
        <v>42048</v>
      </c>
      <c r="AT18" s="741">
        <v>525</v>
      </c>
      <c r="AU18" s="745">
        <v>3153</v>
      </c>
      <c r="AV18" s="747">
        <v>36</v>
      </c>
      <c r="AW18" s="741">
        <v>2600000</v>
      </c>
      <c r="AX18" s="741">
        <v>0</v>
      </c>
      <c r="AY18" s="741">
        <v>4</v>
      </c>
      <c r="AZ18" s="741">
        <v>0</v>
      </c>
      <c r="BA18" s="741">
        <v>10000</v>
      </c>
      <c r="BB18" s="748">
        <v>16.658009893455098</v>
      </c>
      <c r="BC18" s="749">
        <v>72222</v>
      </c>
      <c r="BD18" s="740">
        <v>700</v>
      </c>
      <c r="BE18" s="741">
        <v>180</v>
      </c>
      <c r="BF18" s="741">
        <f t="shared" si="4"/>
        <v>311</v>
      </c>
      <c r="BG18" s="745">
        <f t="shared" si="5"/>
        <v>-389</v>
      </c>
      <c r="BH18" s="746">
        <v>13</v>
      </c>
      <c r="BI18" s="741">
        <v>9100</v>
      </c>
      <c r="BJ18" s="741">
        <v>54600</v>
      </c>
      <c r="BK18" s="741">
        <v>682</v>
      </c>
      <c r="BL18" s="745">
        <v>4095</v>
      </c>
      <c r="BM18" s="747">
        <v>72</v>
      </c>
      <c r="BN18" s="741">
        <v>3900000</v>
      </c>
      <c r="BO18" s="741">
        <v>0</v>
      </c>
      <c r="BP18" s="741">
        <v>6</v>
      </c>
      <c r="BQ18" s="741">
        <v>0</v>
      </c>
      <c r="BR18" s="741">
        <v>10000</v>
      </c>
      <c r="BS18" s="748">
        <v>20.16747252747253</v>
      </c>
      <c r="BT18" s="749">
        <v>54166</v>
      </c>
      <c r="BU18" s="740">
        <v>934</v>
      </c>
      <c r="BV18" s="741">
        <v>240</v>
      </c>
      <c r="BW18" s="741">
        <f t="shared" si="6"/>
        <v>415</v>
      </c>
      <c r="BX18" s="745">
        <f t="shared" si="7"/>
        <v>-519</v>
      </c>
      <c r="BY18" s="746">
        <v>13</v>
      </c>
      <c r="BZ18" s="741">
        <v>12142</v>
      </c>
      <c r="CA18" s="741">
        <v>72852</v>
      </c>
      <c r="CB18" s="741">
        <v>910</v>
      </c>
      <c r="CC18" s="745">
        <v>5463</v>
      </c>
      <c r="CD18" s="747">
        <v>144</v>
      </c>
      <c r="CE18" s="741">
        <v>5200000</v>
      </c>
      <c r="CF18" s="741">
        <v>0</v>
      </c>
      <c r="CG18" s="741">
        <v>0</v>
      </c>
      <c r="CH18" s="741">
        <v>4</v>
      </c>
      <c r="CI18" s="741">
        <v>10000</v>
      </c>
      <c r="CJ18" s="748">
        <v>22.341184867951466</v>
      </c>
      <c r="CK18" s="749">
        <v>36111</v>
      </c>
      <c r="CL18" s="740">
        <v>1400</v>
      </c>
      <c r="CM18" s="741">
        <v>360</v>
      </c>
      <c r="CN18" s="741">
        <f t="shared" si="8"/>
        <v>623</v>
      </c>
      <c r="CO18" s="745">
        <f t="shared" si="9"/>
        <v>-777</v>
      </c>
      <c r="CP18" s="746">
        <v>14</v>
      </c>
      <c r="CQ18" s="741">
        <v>19600</v>
      </c>
      <c r="CR18" s="741">
        <v>117600</v>
      </c>
      <c r="CS18" s="741">
        <v>1470</v>
      </c>
      <c r="CT18" s="745">
        <v>8820</v>
      </c>
      <c r="CU18" s="747">
        <v>288</v>
      </c>
      <c r="CV18" s="741">
        <v>6500000</v>
      </c>
      <c r="CW18" s="741">
        <v>0</v>
      </c>
      <c r="CX18" s="741">
        <v>0</v>
      </c>
      <c r="CY18" s="741">
        <v>6</v>
      </c>
      <c r="CZ18" s="741">
        <v>10000</v>
      </c>
      <c r="DA18" s="748">
        <v>21.251904761904761</v>
      </c>
      <c r="DB18" s="749">
        <v>22569</v>
      </c>
      <c r="DC18" s="750">
        <v>546</v>
      </c>
      <c r="DD18" s="741">
        <v>18200000</v>
      </c>
      <c r="DE18" s="751">
        <v>0</v>
      </c>
      <c r="DF18" s="751">
        <v>10</v>
      </c>
      <c r="DG18" s="751">
        <v>10</v>
      </c>
      <c r="DH18" s="741">
        <v>42522</v>
      </c>
      <c r="DI18" s="748">
        <v>38.69047619047619</v>
      </c>
      <c r="DJ18" s="749">
        <v>33333.333333333336</v>
      </c>
      <c r="DK18" s="752">
        <v>149</v>
      </c>
      <c r="DL18" s="753" t="s">
        <v>43</v>
      </c>
      <c r="DM18" s="754">
        <v>10000</v>
      </c>
      <c r="DN18" s="755">
        <v>128000</v>
      </c>
      <c r="DO18" s="756">
        <v>256000</v>
      </c>
      <c r="DP18" s="756">
        <v>512000</v>
      </c>
      <c r="DQ18" s="756"/>
      <c r="DR18" s="756"/>
      <c r="DS18" s="756"/>
      <c r="DT18" s="756"/>
      <c r="DU18" s="756"/>
      <c r="DV18" s="756"/>
      <c r="DW18" s="756"/>
      <c r="DX18" s="757"/>
      <c r="DY18" s="758" t="s">
        <v>43</v>
      </c>
      <c r="DZ18" s="759"/>
      <c r="EA18" s="738"/>
      <c r="EB18" s="738"/>
      <c r="EC18" s="760"/>
      <c r="ED18" s="761"/>
      <c r="EE18" s="741"/>
      <c r="EF18" s="741"/>
      <c r="EG18" s="741"/>
      <c r="EH18" s="745"/>
      <c r="EI18" s="762"/>
      <c r="EJ18" s="763"/>
    </row>
    <row r="19" spans="2:140">
      <c r="B19" s="203" t="s">
        <v>197</v>
      </c>
      <c r="C19" s="727" t="s">
        <v>54</v>
      </c>
      <c r="D19" s="728"/>
      <c r="E19" s="729" t="s">
        <v>43</v>
      </c>
      <c r="F19" s="730"/>
      <c r="G19" s="731"/>
      <c r="H19" s="732">
        <v>5</v>
      </c>
      <c r="I19" s="733" t="s">
        <v>282</v>
      </c>
      <c r="J19" s="734">
        <v>6</v>
      </c>
      <c r="K19" s="735">
        <v>7.4999999999999997E-2</v>
      </c>
      <c r="L19" s="736">
        <v>3.7037037037037037</v>
      </c>
      <c r="M19" s="737">
        <v>100</v>
      </c>
      <c r="N19" s="730">
        <v>94</v>
      </c>
      <c r="O19" s="764">
        <v>42330</v>
      </c>
      <c r="P19" s="739" t="s">
        <v>206</v>
      </c>
      <c r="Q19" s="740">
        <v>1000</v>
      </c>
      <c r="R19" s="741">
        <v>270</v>
      </c>
      <c r="S19" s="742">
        <v>36000</v>
      </c>
      <c r="T19" s="743" t="s">
        <v>325</v>
      </c>
      <c r="U19" s="744" t="s">
        <v>633</v>
      </c>
      <c r="V19" s="740">
        <v>334</v>
      </c>
      <c r="W19" s="741">
        <v>90</v>
      </c>
      <c r="X19" s="741">
        <f t="shared" si="0"/>
        <v>155</v>
      </c>
      <c r="Y19" s="745">
        <f t="shared" si="1"/>
        <v>-179</v>
      </c>
      <c r="Z19" s="746">
        <v>6</v>
      </c>
      <c r="AA19" s="741">
        <v>2004</v>
      </c>
      <c r="AB19" s="741">
        <v>12024</v>
      </c>
      <c r="AC19" s="741">
        <v>150</v>
      </c>
      <c r="AD19" s="745">
        <v>901</v>
      </c>
      <c r="AE19" s="747">
        <v>4</v>
      </c>
      <c r="AF19" s="741">
        <v>0</v>
      </c>
      <c r="AG19" s="741">
        <v>0</v>
      </c>
      <c r="AH19" s="741">
        <v>0</v>
      </c>
      <c r="AI19" s="741">
        <v>0</v>
      </c>
      <c r="AJ19" s="741">
        <v>602</v>
      </c>
      <c r="AK19" s="748">
        <v>0</v>
      </c>
      <c r="AL19" s="749">
        <v>0</v>
      </c>
      <c r="AM19" s="740">
        <v>417</v>
      </c>
      <c r="AN19" s="741">
        <v>113</v>
      </c>
      <c r="AO19" s="741">
        <f t="shared" si="2"/>
        <v>195</v>
      </c>
      <c r="AP19" s="745">
        <f t="shared" si="3"/>
        <v>-222</v>
      </c>
      <c r="AQ19" s="746">
        <v>6</v>
      </c>
      <c r="AR19" s="741">
        <v>2502</v>
      </c>
      <c r="AS19" s="741">
        <v>15012</v>
      </c>
      <c r="AT19" s="741">
        <v>187</v>
      </c>
      <c r="AU19" s="745">
        <v>1125</v>
      </c>
      <c r="AV19" s="747">
        <v>24</v>
      </c>
      <c r="AW19" s="741">
        <v>1600000</v>
      </c>
      <c r="AX19" s="741">
        <v>0</v>
      </c>
      <c r="AY19" s="741">
        <v>3</v>
      </c>
      <c r="AZ19" s="741">
        <v>0</v>
      </c>
      <c r="BA19" s="741">
        <v>4504</v>
      </c>
      <c r="BB19" s="748">
        <v>27.446309618971487</v>
      </c>
      <c r="BC19" s="749">
        <v>66666</v>
      </c>
      <c r="BD19" s="740">
        <v>500</v>
      </c>
      <c r="BE19" s="741">
        <v>135</v>
      </c>
      <c r="BF19" s="741">
        <f t="shared" si="4"/>
        <v>233</v>
      </c>
      <c r="BG19" s="745">
        <f t="shared" si="5"/>
        <v>-267</v>
      </c>
      <c r="BH19" s="746">
        <v>6</v>
      </c>
      <c r="BI19" s="741">
        <v>3000</v>
      </c>
      <c r="BJ19" s="741">
        <v>18000</v>
      </c>
      <c r="BK19" s="741">
        <v>225</v>
      </c>
      <c r="BL19" s="745">
        <v>1350</v>
      </c>
      <c r="BM19" s="747">
        <v>48</v>
      </c>
      <c r="BN19" s="741">
        <v>2400000</v>
      </c>
      <c r="BO19" s="741">
        <v>0</v>
      </c>
      <c r="BP19" s="741">
        <v>5</v>
      </c>
      <c r="BQ19" s="741">
        <v>0</v>
      </c>
      <c r="BR19" s="741">
        <v>10000</v>
      </c>
      <c r="BS19" s="748">
        <v>35.001333333333335</v>
      </c>
      <c r="BT19" s="749">
        <v>50000</v>
      </c>
      <c r="BU19" s="740">
        <v>667</v>
      </c>
      <c r="BV19" s="741">
        <v>180</v>
      </c>
      <c r="BW19" s="741">
        <f t="shared" si="6"/>
        <v>311</v>
      </c>
      <c r="BX19" s="745">
        <f t="shared" si="7"/>
        <v>-356</v>
      </c>
      <c r="BY19" s="746">
        <v>6</v>
      </c>
      <c r="BZ19" s="741">
        <v>4002</v>
      </c>
      <c r="CA19" s="741">
        <v>24012</v>
      </c>
      <c r="CB19" s="741">
        <v>300</v>
      </c>
      <c r="CC19" s="745">
        <v>1800</v>
      </c>
      <c r="CD19" s="747">
        <v>96</v>
      </c>
      <c r="CE19" s="741">
        <v>3200000</v>
      </c>
      <c r="CF19" s="741">
        <v>0</v>
      </c>
      <c r="CG19" s="741">
        <v>0</v>
      </c>
      <c r="CH19" s="741">
        <v>3</v>
      </c>
      <c r="CI19" s="741">
        <v>10000</v>
      </c>
      <c r="CJ19" s="748">
        <v>36.3151757454606</v>
      </c>
      <c r="CK19" s="749">
        <v>33333</v>
      </c>
      <c r="CL19" s="740">
        <v>1000</v>
      </c>
      <c r="CM19" s="741">
        <v>270</v>
      </c>
      <c r="CN19" s="741">
        <f t="shared" si="8"/>
        <v>467</v>
      </c>
      <c r="CO19" s="745">
        <f t="shared" si="9"/>
        <v>-533</v>
      </c>
      <c r="CP19" s="746">
        <v>6</v>
      </c>
      <c r="CQ19" s="741">
        <v>6000</v>
      </c>
      <c r="CR19" s="741">
        <v>36000</v>
      </c>
      <c r="CS19" s="741">
        <v>450</v>
      </c>
      <c r="CT19" s="745">
        <v>2700</v>
      </c>
      <c r="CU19" s="747">
        <v>192</v>
      </c>
      <c r="CV19" s="741">
        <v>4000000</v>
      </c>
      <c r="CW19" s="741">
        <v>0</v>
      </c>
      <c r="CX19" s="741">
        <v>0</v>
      </c>
      <c r="CY19" s="741">
        <v>5</v>
      </c>
      <c r="CZ19" s="741">
        <v>10000</v>
      </c>
      <c r="DA19" s="748">
        <v>33.113777777777777</v>
      </c>
      <c r="DB19" s="749">
        <v>20833</v>
      </c>
      <c r="DC19" s="750">
        <v>364</v>
      </c>
      <c r="DD19" s="741">
        <v>11200000</v>
      </c>
      <c r="DE19" s="751">
        <v>0</v>
      </c>
      <c r="DF19" s="751">
        <v>8</v>
      </c>
      <c r="DG19" s="751">
        <v>8</v>
      </c>
      <c r="DH19" s="741">
        <v>35106</v>
      </c>
      <c r="DI19" s="748">
        <v>77.777777777777786</v>
      </c>
      <c r="DJ19" s="749">
        <v>30769.23076923077</v>
      </c>
      <c r="DK19" s="752">
        <v>100</v>
      </c>
      <c r="DL19" s="753" t="s">
        <v>43</v>
      </c>
      <c r="DM19" s="754">
        <v>10000</v>
      </c>
      <c r="DN19" s="755">
        <v>77777</v>
      </c>
      <c r="DO19" s="756">
        <v>155554</v>
      </c>
      <c r="DP19" s="756">
        <v>311108</v>
      </c>
      <c r="DQ19" s="756">
        <v>622216</v>
      </c>
      <c r="DR19" s="756"/>
      <c r="DS19" s="756"/>
      <c r="DT19" s="756"/>
      <c r="DU19" s="756"/>
      <c r="DV19" s="756"/>
      <c r="DW19" s="756"/>
      <c r="DX19" s="757"/>
      <c r="DY19" s="758" t="s">
        <v>43</v>
      </c>
      <c r="DZ19" s="759"/>
      <c r="EA19" s="738"/>
      <c r="EB19" s="738"/>
      <c r="EC19" s="760"/>
      <c r="ED19" s="761"/>
      <c r="EE19" s="741"/>
      <c r="EF19" s="741"/>
      <c r="EG19" s="741"/>
      <c r="EH19" s="745"/>
      <c r="EI19" s="762"/>
      <c r="EJ19" s="763"/>
    </row>
    <row r="20" spans="2:140">
      <c r="B20" s="203" t="s">
        <v>296</v>
      </c>
      <c r="C20" s="727" t="s">
        <v>54</v>
      </c>
      <c r="D20" s="728"/>
      <c r="E20" s="729" t="s">
        <v>43</v>
      </c>
      <c r="F20" s="730"/>
      <c r="G20" s="731"/>
      <c r="H20" s="732">
        <v>5</v>
      </c>
      <c r="I20" s="733" t="s">
        <v>282</v>
      </c>
      <c r="J20" s="734">
        <v>6</v>
      </c>
      <c r="K20" s="735">
        <v>7.4999999999999997E-2</v>
      </c>
      <c r="L20" s="736">
        <v>4.2857142857142856</v>
      </c>
      <c r="M20" s="737">
        <v>100</v>
      </c>
      <c r="N20" s="730">
        <v>101</v>
      </c>
      <c r="O20" s="764">
        <v>42401</v>
      </c>
      <c r="P20" s="739" t="s">
        <v>206</v>
      </c>
      <c r="Q20" s="740">
        <v>1200</v>
      </c>
      <c r="R20" s="741">
        <v>280</v>
      </c>
      <c r="S20" s="742">
        <v>43200</v>
      </c>
      <c r="T20" s="743" t="s">
        <v>326</v>
      </c>
      <c r="U20" s="744" t="s">
        <v>634</v>
      </c>
      <c r="V20" s="740">
        <v>400</v>
      </c>
      <c r="W20" s="741">
        <v>94</v>
      </c>
      <c r="X20" s="741">
        <f t="shared" si="0"/>
        <v>162</v>
      </c>
      <c r="Y20" s="745">
        <f t="shared" si="1"/>
        <v>-238</v>
      </c>
      <c r="Z20" s="746">
        <v>6</v>
      </c>
      <c r="AA20" s="741">
        <v>2400</v>
      </c>
      <c r="AB20" s="741">
        <v>14400</v>
      </c>
      <c r="AC20" s="741">
        <v>180</v>
      </c>
      <c r="AD20" s="745">
        <v>1080</v>
      </c>
      <c r="AE20" s="747">
        <v>4</v>
      </c>
      <c r="AF20" s="741">
        <v>0</v>
      </c>
      <c r="AG20" s="741">
        <v>0</v>
      </c>
      <c r="AH20" s="741">
        <v>0</v>
      </c>
      <c r="AI20" s="741">
        <v>0</v>
      </c>
      <c r="AJ20" s="741">
        <v>720</v>
      </c>
      <c r="AK20" s="748">
        <v>0</v>
      </c>
      <c r="AL20" s="749">
        <v>0</v>
      </c>
      <c r="AM20" s="740">
        <v>500</v>
      </c>
      <c r="AN20" s="741">
        <v>117</v>
      </c>
      <c r="AO20" s="741">
        <f t="shared" si="2"/>
        <v>202</v>
      </c>
      <c r="AP20" s="745">
        <f t="shared" si="3"/>
        <v>-298</v>
      </c>
      <c r="AQ20" s="746">
        <v>6</v>
      </c>
      <c r="AR20" s="741">
        <v>3000</v>
      </c>
      <c r="AS20" s="741">
        <v>18000</v>
      </c>
      <c r="AT20" s="741">
        <v>225</v>
      </c>
      <c r="AU20" s="745">
        <v>1350</v>
      </c>
      <c r="AV20" s="747">
        <v>8</v>
      </c>
      <c r="AW20" s="741">
        <v>1800000</v>
      </c>
      <c r="AX20" s="741">
        <v>0</v>
      </c>
      <c r="AY20" s="741">
        <v>3</v>
      </c>
      <c r="AZ20" s="741">
        <v>0</v>
      </c>
      <c r="BA20" s="741">
        <v>1800</v>
      </c>
      <c r="BB20" s="748">
        <v>25.266666666666666</v>
      </c>
      <c r="BC20" s="749">
        <v>225000</v>
      </c>
      <c r="BD20" s="740">
        <v>600</v>
      </c>
      <c r="BE20" s="741">
        <v>140</v>
      </c>
      <c r="BF20" s="741">
        <f t="shared" si="4"/>
        <v>242</v>
      </c>
      <c r="BG20" s="745">
        <f t="shared" si="5"/>
        <v>-358</v>
      </c>
      <c r="BH20" s="746">
        <v>6</v>
      </c>
      <c r="BI20" s="741">
        <v>3600</v>
      </c>
      <c r="BJ20" s="741">
        <v>21600</v>
      </c>
      <c r="BK20" s="741">
        <v>270</v>
      </c>
      <c r="BL20" s="745">
        <v>1620</v>
      </c>
      <c r="BM20" s="747">
        <v>16</v>
      </c>
      <c r="BN20" s="741">
        <v>2700000</v>
      </c>
      <c r="BO20" s="741">
        <v>0</v>
      </c>
      <c r="BP20" s="741">
        <v>5</v>
      </c>
      <c r="BQ20" s="741">
        <v>0</v>
      </c>
      <c r="BR20" s="741">
        <v>4320</v>
      </c>
      <c r="BS20" s="748">
        <v>31.805555555555557</v>
      </c>
      <c r="BT20" s="749">
        <v>168750</v>
      </c>
      <c r="BU20" s="740">
        <v>800</v>
      </c>
      <c r="BV20" s="741">
        <v>187</v>
      </c>
      <c r="BW20" s="741">
        <f t="shared" si="6"/>
        <v>323</v>
      </c>
      <c r="BX20" s="745">
        <f t="shared" si="7"/>
        <v>-477</v>
      </c>
      <c r="BY20" s="746">
        <v>6</v>
      </c>
      <c r="BZ20" s="741">
        <v>4800</v>
      </c>
      <c r="CA20" s="741">
        <v>28800</v>
      </c>
      <c r="CB20" s="741">
        <v>360</v>
      </c>
      <c r="CC20" s="745">
        <v>2160</v>
      </c>
      <c r="CD20" s="747">
        <v>32</v>
      </c>
      <c r="CE20" s="741">
        <v>3600000</v>
      </c>
      <c r="CF20" s="741">
        <v>0</v>
      </c>
      <c r="CG20" s="741">
        <v>0</v>
      </c>
      <c r="CH20" s="741">
        <v>3</v>
      </c>
      <c r="CI20" s="741">
        <v>10000</v>
      </c>
      <c r="CJ20" s="748">
        <v>32.25</v>
      </c>
      <c r="CK20" s="749">
        <v>112500</v>
      </c>
      <c r="CL20" s="740">
        <v>1200</v>
      </c>
      <c r="CM20" s="741">
        <v>280</v>
      </c>
      <c r="CN20" s="741">
        <f t="shared" si="8"/>
        <v>485</v>
      </c>
      <c r="CO20" s="745">
        <f t="shared" si="9"/>
        <v>-715</v>
      </c>
      <c r="CP20" s="746">
        <v>6</v>
      </c>
      <c r="CQ20" s="741">
        <v>7200</v>
      </c>
      <c r="CR20" s="741">
        <v>43200</v>
      </c>
      <c r="CS20" s="741">
        <v>540</v>
      </c>
      <c r="CT20" s="745">
        <v>3240</v>
      </c>
      <c r="CU20" s="747">
        <v>64</v>
      </c>
      <c r="CV20" s="741">
        <v>4500000</v>
      </c>
      <c r="CW20" s="741">
        <v>0</v>
      </c>
      <c r="CX20" s="741">
        <v>0</v>
      </c>
      <c r="CY20" s="741">
        <v>5</v>
      </c>
      <c r="CZ20" s="741">
        <v>10000</v>
      </c>
      <c r="DA20" s="748">
        <v>27.819444444444443</v>
      </c>
      <c r="DB20" s="749">
        <v>70312</v>
      </c>
      <c r="DC20" s="750">
        <v>124</v>
      </c>
      <c r="DD20" s="741">
        <v>12600000</v>
      </c>
      <c r="DE20" s="751">
        <v>0</v>
      </c>
      <c r="DF20" s="751">
        <v>8</v>
      </c>
      <c r="DG20" s="751">
        <v>8</v>
      </c>
      <c r="DH20" s="741">
        <v>26840</v>
      </c>
      <c r="DI20" s="748">
        <v>72.916666666666671</v>
      </c>
      <c r="DJ20" s="749">
        <v>101612.90322580645</v>
      </c>
      <c r="DK20" s="752"/>
      <c r="DL20" s="753"/>
      <c r="DM20" s="754">
        <v>10000</v>
      </c>
      <c r="DN20" s="755">
        <v>98000</v>
      </c>
      <c r="DO20" s="756">
        <v>196000</v>
      </c>
      <c r="DP20" s="756">
        <v>392000</v>
      </c>
      <c r="DQ20" s="756">
        <v>784000</v>
      </c>
      <c r="DR20" s="756"/>
      <c r="DS20" s="756"/>
      <c r="DT20" s="756"/>
      <c r="DU20" s="756"/>
      <c r="DV20" s="756"/>
      <c r="DW20" s="756"/>
      <c r="DX20" s="757"/>
      <c r="DY20" s="758" t="s">
        <v>43</v>
      </c>
      <c r="DZ20" s="759"/>
      <c r="EA20" s="738"/>
      <c r="EB20" s="738"/>
      <c r="EC20" s="760"/>
      <c r="ED20" s="761"/>
      <c r="EE20" s="741"/>
      <c r="EF20" s="741"/>
      <c r="EG20" s="741"/>
      <c r="EH20" s="745"/>
      <c r="EI20" s="762"/>
      <c r="EJ20" s="763"/>
    </row>
    <row r="21" spans="2:140">
      <c r="B21" s="203" t="s">
        <v>720</v>
      </c>
      <c r="C21" s="727" t="s">
        <v>54</v>
      </c>
      <c r="D21" s="728"/>
      <c r="E21" s="729" t="s">
        <v>43</v>
      </c>
      <c r="F21" s="730"/>
      <c r="G21" s="731"/>
      <c r="H21" s="732">
        <v>6</v>
      </c>
      <c r="I21" s="733" t="s">
        <v>282</v>
      </c>
      <c r="J21" s="734">
        <v>6</v>
      </c>
      <c r="K21" s="735">
        <v>7.4999999999999997E-2</v>
      </c>
      <c r="L21" s="736">
        <v>4.2666666666666666</v>
      </c>
      <c r="M21" s="737">
        <v>100</v>
      </c>
      <c r="N21" s="730">
        <v>102</v>
      </c>
      <c r="O21" s="764">
        <v>42413</v>
      </c>
      <c r="P21" s="739" t="s">
        <v>206</v>
      </c>
      <c r="Q21" s="740">
        <v>1280</v>
      </c>
      <c r="R21" s="741">
        <v>300</v>
      </c>
      <c r="S21" s="742">
        <v>53760</v>
      </c>
      <c r="T21" s="743" t="s">
        <v>722</v>
      </c>
      <c r="U21" s="744" t="s">
        <v>724</v>
      </c>
      <c r="V21" s="740">
        <v>427</v>
      </c>
      <c r="W21" s="741">
        <v>100</v>
      </c>
      <c r="X21" s="741">
        <f t="shared" si="0"/>
        <v>173</v>
      </c>
      <c r="Y21" s="745">
        <f t="shared" si="1"/>
        <v>-254</v>
      </c>
      <c r="Z21" s="746">
        <v>7</v>
      </c>
      <c r="AA21" s="741">
        <v>2989</v>
      </c>
      <c r="AB21" s="741">
        <v>17934</v>
      </c>
      <c r="AC21" s="741">
        <v>224</v>
      </c>
      <c r="AD21" s="745">
        <v>1345</v>
      </c>
      <c r="AE21" s="747">
        <v>6</v>
      </c>
      <c r="AF21" s="741">
        <v>0</v>
      </c>
      <c r="AG21" s="741">
        <v>0</v>
      </c>
      <c r="AH21" s="741">
        <v>0</v>
      </c>
      <c r="AI21" s="741">
        <v>0</v>
      </c>
      <c r="AJ21" s="741">
        <v>1346</v>
      </c>
      <c r="AK21" s="748">
        <v>0</v>
      </c>
      <c r="AL21" s="749">
        <v>0</v>
      </c>
      <c r="AM21" s="740">
        <v>534</v>
      </c>
      <c r="AN21" s="741">
        <v>125</v>
      </c>
      <c r="AO21" s="741">
        <f t="shared" si="2"/>
        <v>216</v>
      </c>
      <c r="AP21" s="745">
        <f t="shared" si="3"/>
        <v>-318</v>
      </c>
      <c r="AQ21" s="746">
        <v>7</v>
      </c>
      <c r="AR21" s="741">
        <v>3738</v>
      </c>
      <c r="AS21" s="741">
        <v>22428</v>
      </c>
      <c r="AT21" s="741">
        <v>280</v>
      </c>
      <c r="AU21" s="745">
        <v>1682</v>
      </c>
      <c r="AV21" s="747">
        <v>12</v>
      </c>
      <c r="AW21" s="741">
        <v>2000000</v>
      </c>
      <c r="AX21" s="741">
        <v>0</v>
      </c>
      <c r="AY21" s="741">
        <v>5</v>
      </c>
      <c r="AZ21" s="741">
        <v>0</v>
      </c>
      <c r="BA21" s="741">
        <v>3365</v>
      </c>
      <c r="BB21" s="748">
        <v>22.693374353486714</v>
      </c>
      <c r="BC21" s="749">
        <v>166666</v>
      </c>
      <c r="BD21" s="740">
        <v>640</v>
      </c>
      <c r="BE21" s="741">
        <v>150</v>
      </c>
      <c r="BF21" s="741">
        <f t="shared" si="4"/>
        <v>259</v>
      </c>
      <c r="BG21" s="745">
        <f t="shared" si="5"/>
        <v>-381</v>
      </c>
      <c r="BH21" s="746">
        <v>7</v>
      </c>
      <c r="BI21" s="741">
        <v>4480</v>
      </c>
      <c r="BJ21" s="741">
        <v>26880</v>
      </c>
      <c r="BK21" s="741">
        <v>336</v>
      </c>
      <c r="BL21" s="745">
        <v>2016</v>
      </c>
      <c r="BM21" s="747">
        <v>24</v>
      </c>
      <c r="BN21" s="741">
        <v>3000000</v>
      </c>
      <c r="BO21" s="741">
        <v>0</v>
      </c>
      <c r="BP21" s="741">
        <v>10</v>
      </c>
      <c r="BQ21" s="741">
        <v>0</v>
      </c>
      <c r="BR21" s="741">
        <v>8064</v>
      </c>
      <c r="BS21" s="748">
        <v>28.736160714285713</v>
      </c>
      <c r="BT21" s="749">
        <v>125000</v>
      </c>
      <c r="BU21" s="740">
        <v>854</v>
      </c>
      <c r="BV21" s="741">
        <v>200</v>
      </c>
      <c r="BW21" s="741">
        <f t="shared" si="6"/>
        <v>346</v>
      </c>
      <c r="BX21" s="745">
        <f t="shared" si="7"/>
        <v>-508</v>
      </c>
      <c r="BY21" s="746">
        <v>7</v>
      </c>
      <c r="BZ21" s="741">
        <v>5978</v>
      </c>
      <c r="CA21" s="741">
        <v>35868</v>
      </c>
      <c r="CB21" s="741">
        <v>448</v>
      </c>
      <c r="CC21" s="745">
        <v>2690</v>
      </c>
      <c r="CD21" s="747">
        <v>48</v>
      </c>
      <c r="CE21" s="741">
        <v>4000000</v>
      </c>
      <c r="CF21" s="741">
        <v>0</v>
      </c>
      <c r="CG21" s="741">
        <v>0</v>
      </c>
      <c r="CH21" s="741">
        <v>5</v>
      </c>
      <c r="CI21" s="741">
        <v>10000</v>
      </c>
      <c r="CJ21" s="748">
        <v>29.378833500613357</v>
      </c>
      <c r="CK21" s="749">
        <v>83333</v>
      </c>
      <c r="CL21" s="740">
        <v>1280</v>
      </c>
      <c r="CM21" s="741">
        <v>300</v>
      </c>
      <c r="CN21" s="741">
        <f t="shared" si="8"/>
        <v>519</v>
      </c>
      <c r="CO21" s="745">
        <f t="shared" si="9"/>
        <v>-761</v>
      </c>
      <c r="CP21" s="746">
        <v>7</v>
      </c>
      <c r="CQ21" s="741">
        <v>8960</v>
      </c>
      <c r="CR21" s="741">
        <v>53760</v>
      </c>
      <c r="CS21" s="741">
        <v>672</v>
      </c>
      <c r="CT21" s="745">
        <v>4032</v>
      </c>
      <c r="CU21" s="747">
        <v>96</v>
      </c>
      <c r="CV21" s="741">
        <v>5000000</v>
      </c>
      <c r="CW21" s="741">
        <v>0</v>
      </c>
      <c r="CX21" s="741">
        <v>0</v>
      </c>
      <c r="CY21" s="741">
        <v>10</v>
      </c>
      <c r="CZ21" s="955">
        <v>10000</v>
      </c>
      <c r="DA21" s="748">
        <v>25.920238095238094</v>
      </c>
      <c r="DB21" s="749">
        <v>52083</v>
      </c>
      <c r="DC21" s="750">
        <v>186</v>
      </c>
      <c r="DD21" s="741">
        <v>14000000</v>
      </c>
      <c r="DE21" s="751">
        <v>0</v>
      </c>
      <c r="DF21" s="751">
        <v>15</v>
      </c>
      <c r="DG21" s="751">
        <v>15</v>
      </c>
      <c r="DH21" s="955">
        <v>32775</v>
      </c>
      <c r="DI21" s="748">
        <v>65.104166666666671</v>
      </c>
      <c r="DJ21" s="749">
        <v>75268.817204301071</v>
      </c>
      <c r="DK21" s="752"/>
      <c r="DL21" s="753"/>
      <c r="DM21" s="754">
        <v>10000</v>
      </c>
      <c r="DN21" s="755">
        <v>200000</v>
      </c>
      <c r="DO21" s="756">
        <v>400000</v>
      </c>
      <c r="DP21" s="756">
        <v>800000</v>
      </c>
      <c r="DQ21" s="756"/>
      <c r="DR21" s="756"/>
      <c r="DS21" s="756"/>
      <c r="DT21" s="756"/>
      <c r="DU21" s="756"/>
      <c r="DV21" s="756"/>
      <c r="DW21" s="756"/>
      <c r="DX21" s="757"/>
      <c r="DY21" s="758" t="s">
        <v>43</v>
      </c>
      <c r="DZ21" s="759"/>
      <c r="EA21" s="738"/>
      <c r="EB21" s="738"/>
      <c r="EC21" s="760"/>
      <c r="ED21" s="761"/>
      <c r="EE21" s="741"/>
      <c r="EF21" s="741"/>
      <c r="EG21" s="741"/>
      <c r="EH21" s="745"/>
      <c r="EI21" s="762"/>
      <c r="EJ21" s="763"/>
    </row>
    <row r="22" spans="2:140">
      <c r="B22" s="203" t="s">
        <v>137</v>
      </c>
      <c r="C22" s="727" t="s">
        <v>54</v>
      </c>
      <c r="D22" s="728"/>
      <c r="E22" s="729" t="s">
        <v>43</v>
      </c>
      <c r="F22" s="730" t="s">
        <v>43</v>
      </c>
      <c r="G22" s="731"/>
      <c r="H22" s="732">
        <v>6</v>
      </c>
      <c r="I22" s="733" t="s">
        <v>270</v>
      </c>
      <c r="J22" s="734">
        <v>5</v>
      </c>
      <c r="K22" s="735">
        <v>7.4999999999999997E-2</v>
      </c>
      <c r="L22" s="736">
        <v>3.6809815950920246</v>
      </c>
      <c r="M22" s="737">
        <v>30</v>
      </c>
      <c r="N22" s="730">
        <v>6002</v>
      </c>
      <c r="O22" s="764">
        <v>42238</v>
      </c>
      <c r="P22" s="739" t="s">
        <v>98</v>
      </c>
      <c r="Q22" s="740">
        <v>600</v>
      </c>
      <c r="R22" s="741">
        <v>163</v>
      </c>
      <c r="S22" s="742">
        <v>18000</v>
      </c>
      <c r="T22" s="743" t="s">
        <v>327</v>
      </c>
      <c r="U22" s="744" t="s">
        <v>635</v>
      </c>
      <c r="V22" s="740">
        <v>600</v>
      </c>
      <c r="W22" s="741">
        <v>163</v>
      </c>
      <c r="X22" s="741">
        <f t="shared" si="0"/>
        <v>282</v>
      </c>
      <c r="Y22" s="745">
        <f t="shared" si="1"/>
        <v>-318</v>
      </c>
      <c r="Z22" s="746">
        <v>6</v>
      </c>
      <c r="AA22" s="741">
        <v>3600</v>
      </c>
      <c r="AB22" s="741">
        <v>18000</v>
      </c>
      <c r="AC22" s="741">
        <v>270</v>
      </c>
      <c r="AD22" s="745">
        <v>1350</v>
      </c>
      <c r="AE22" s="747">
        <v>6</v>
      </c>
      <c r="AF22" s="741">
        <v>0</v>
      </c>
      <c r="AG22" s="741">
        <v>0</v>
      </c>
      <c r="AH22" s="741">
        <v>0</v>
      </c>
      <c r="AI22" s="741">
        <v>0</v>
      </c>
      <c r="AJ22" s="741">
        <v>10000</v>
      </c>
      <c r="AK22" s="748">
        <v>0</v>
      </c>
      <c r="AL22" s="749">
        <v>0</v>
      </c>
      <c r="AM22" s="740">
        <v>900</v>
      </c>
      <c r="AN22" s="741">
        <v>244</v>
      </c>
      <c r="AO22" s="741">
        <f t="shared" si="2"/>
        <v>422</v>
      </c>
      <c r="AP22" s="745">
        <f t="shared" si="3"/>
        <v>-478</v>
      </c>
      <c r="AQ22" s="746">
        <v>6</v>
      </c>
      <c r="AR22" s="741">
        <v>5400</v>
      </c>
      <c r="AS22" s="741">
        <v>27000</v>
      </c>
      <c r="AT22" s="741">
        <v>405</v>
      </c>
      <c r="AU22" s="745">
        <v>2025</v>
      </c>
      <c r="AV22" s="747">
        <v>18</v>
      </c>
      <c r="AW22" s="741">
        <v>2000000</v>
      </c>
      <c r="AX22" s="741">
        <v>0</v>
      </c>
      <c r="AY22" s="741">
        <v>1</v>
      </c>
      <c r="AZ22" s="741">
        <v>0</v>
      </c>
      <c r="BA22" s="741">
        <v>10000</v>
      </c>
      <c r="BB22" s="748">
        <v>15.9320987654321</v>
      </c>
      <c r="BC22" s="749">
        <v>111111</v>
      </c>
      <c r="BD22" s="740">
        <v>1048</v>
      </c>
      <c r="BE22" s="741">
        <v>284</v>
      </c>
      <c r="BF22" s="741">
        <f t="shared" si="4"/>
        <v>492</v>
      </c>
      <c r="BG22" s="745">
        <f t="shared" si="5"/>
        <v>-556</v>
      </c>
      <c r="BH22" s="746">
        <v>7</v>
      </c>
      <c r="BI22" s="741">
        <v>7336</v>
      </c>
      <c r="BJ22" s="741">
        <v>36680</v>
      </c>
      <c r="BK22" s="741">
        <v>550</v>
      </c>
      <c r="BL22" s="745">
        <v>2751</v>
      </c>
      <c r="BM22" s="747">
        <v>48</v>
      </c>
      <c r="BN22" s="741">
        <v>3000000</v>
      </c>
      <c r="BO22" s="741">
        <v>0</v>
      </c>
      <c r="BP22" s="741">
        <v>3</v>
      </c>
      <c r="BQ22" s="741">
        <v>0</v>
      </c>
      <c r="BR22" s="741">
        <v>10000</v>
      </c>
      <c r="BS22" s="748">
        <v>18.511450381679388</v>
      </c>
      <c r="BT22" s="749">
        <v>62500</v>
      </c>
      <c r="BU22" s="740">
        <v>1140</v>
      </c>
      <c r="BV22" s="741">
        <v>309</v>
      </c>
      <c r="BW22" s="741">
        <f t="shared" si="6"/>
        <v>535</v>
      </c>
      <c r="BX22" s="745">
        <f t="shared" si="7"/>
        <v>-605</v>
      </c>
      <c r="BY22" s="746">
        <v>7</v>
      </c>
      <c r="BZ22" s="741">
        <v>7980</v>
      </c>
      <c r="CA22" s="741">
        <v>39900</v>
      </c>
      <c r="CB22" s="741">
        <v>598</v>
      </c>
      <c r="CC22" s="745">
        <v>2992</v>
      </c>
      <c r="CD22" s="747">
        <v>96</v>
      </c>
      <c r="CE22" s="741">
        <v>4000000</v>
      </c>
      <c r="CF22" s="741">
        <v>0</v>
      </c>
      <c r="CG22" s="741">
        <v>5</v>
      </c>
      <c r="CH22" s="741">
        <v>0</v>
      </c>
      <c r="CI22" s="741">
        <v>10000</v>
      </c>
      <c r="CJ22" s="748">
        <v>24.562740183792815</v>
      </c>
      <c r="CK22" s="749">
        <v>41666</v>
      </c>
      <c r="CL22" s="740">
        <v>1200</v>
      </c>
      <c r="CM22" s="741">
        <v>326</v>
      </c>
      <c r="CN22" s="741">
        <f t="shared" si="8"/>
        <v>564</v>
      </c>
      <c r="CO22" s="745">
        <f t="shared" si="9"/>
        <v>-636</v>
      </c>
      <c r="CP22" s="746">
        <v>7</v>
      </c>
      <c r="CQ22" s="741">
        <v>8400</v>
      </c>
      <c r="CR22" s="741">
        <v>42000</v>
      </c>
      <c r="CS22" s="741">
        <v>630</v>
      </c>
      <c r="CT22" s="745">
        <v>3150</v>
      </c>
      <c r="CU22" s="747">
        <v>168</v>
      </c>
      <c r="CV22" s="741">
        <v>5000000</v>
      </c>
      <c r="CW22" s="741">
        <v>0</v>
      </c>
      <c r="CX22" s="741">
        <v>10</v>
      </c>
      <c r="CY22" s="741">
        <v>0</v>
      </c>
      <c r="CZ22" s="741">
        <v>10000</v>
      </c>
      <c r="DA22" s="748">
        <v>31.451587301587299</v>
      </c>
      <c r="DB22" s="749">
        <v>29761</v>
      </c>
      <c r="DC22" s="750">
        <v>336</v>
      </c>
      <c r="DD22" s="741">
        <v>14000000</v>
      </c>
      <c r="DE22" s="751">
        <v>0</v>
      </c>
      <c r="DF22" s="751">
        <v>19</v>
      </c>
      <c r="DG22" s="751">
        <v>0</v>
      </c>
      <c r="DH22" s="741">
        <v>50000</v>
      </c>
      <c r="DI22" s="748">
        <v>69.444444444444443</v>
      </c>
      <c r="DJ22" s="749">
        <v>41666.666666666664</v>
      </c>
      <c r="DK22" s="752">
        <v>91</v>
      </c>
      <c r="DL22" s="753" t="s">
        <v>43</v>
      </c>
      <c r="DM22" s="754">
        <v>10000</v>
      </c>
      <c r="DN22" s="755">
        <v>130000</v>
      </c>
      <c r="DO22" s="756">
        <v>260000</v>
      </c>
      <c r="DP22" s="756">
        <v>520000</v>
      </c>
      <c r="DQ22" s="756"/>
      <c r="DR22" s="756"/>
      <c r="DS22" s="756"/>
      <c r="DT22" s="756"/>
      <c r="DU22" s="756"/>
      <c r="DV22" s="756"/>
      <c r="DW22" s="756"/>
      <c r="DX22" s="757"/>
      <c r="DY22" s="758" t="s">
        <v>43</v>
      </c>
      <c r="DZ22" s="759"/>
      <c r="EA22" s="738"/>
      <c r="EB22" s="738"/>
      <c r="EC22" s="760"/>
      <c r="ED22" s="761"/>
      <c r="EE22" s="741"/>
      <c r="EF22" s="741"/>
      <c r="EG22" s="741"/>
      <c r="EH22" s="745"/>
      <c r="EI22" s="762"/>
      <c r="EJ22" s="763"/>
    </row>
    <row r="23" spans="2:140">
      <c r="B23" s="203" t="s">
        <v>159</v>
      </c>
      <c r="C23" s="727" t="s">
        <v>54</v>
      </c>
      <c r="D23" s="728"/>
      <c r="E23" s="729" t="s">
        <v>43</v>
      </c>
      <c r="F23" s="730"/>
      <c r="G23" s="731"/>
      <c r="H23" s="732">
        <v>6</v>
      </c>
      <c r="I23" s="733" t="s">
        <v>270</v>
      </c>
      <c r="J23" s="734">
        <v>5</v>
      </c>
      <c r="K23" s="735">
        <v>7.4999999999999997E-2</v>
      </c>
      <c r="L23" s="736">
        <v>3.6904761904761907</v>
      </c>
      <c r="M23" s="737">
        <v>30</v>
      </c>
      <c r="N23" s="730">
        <v>6009</v>
      </c>
      <c r="O23" s="764">
        <v>42269</v>
      </c>
      <c r="P23" s="739" t="s">
        <v>98</v>
      </c>
      <c r="Q23" s="740">
        <v>620</v>
      </c>
      <c r="R23" s="741">
        <v>168</v>
      </c>
      <c r="S23" s="742">
        <v>21700</v>
      </c>
      <c r="T23" s="743" t="s">
        <v>328</v>
      </c>
      <c r="U23" s="744" t="s">
        <v>636</v>
      </c>
      <c r="V23" s="740">
        <v>620</v>
      </c>
      <c r="W23" s="741">
        <v>168</v>
      </c>
      <c r="X23" s="741">
        <f t="shared" si="0"/>
        <v>291</v>
      </c>
      <c r="Y23" s="745">
        <f t="shared" si="1"/>
        <v>-329</v>
      </c>
      <c r="Z23" s="746">
        <v>7</v>
      </c>
      <c r="AA23" s="741">
        <v>4340</v>
      </c>
      <c r="AB23" s="741">
        <v>21700</v>
      </c>
      <c r="AC23" s="741">
        <v>325</v>
      </c>
      <c r="AD23" s="745">
        <v>1627</v>
      </c>
      <c r="AE23" s="747">
        <v>4</v>
      </c>
      <c r="AF23" s="741">
        <v>0</v>
      </c>
      <c r="AG23" s="741">
        <v>0</v>
      </c>
      <c r="AH23" s="741">
        <v>0</v>
      </c>
      <c r="AI23" s="741">
        <v>0</v>
      </c>
      <c r="AJ23" s="741">
        <v>10000</v>
      </c>
      <c r="AK23" s="748">
        <v>0</v>
      </c>
      <c r="AL23" s="749">
        <v>0</v>
      </c>
      <c r="AM23" s="740">
        <v>930</v>
      </c>
      <c r="AN23" s="741">
        <v>252</v>
      </c>
      <c r="AO23" s="741">
        <f t="shared" si="2"/>
        <v>436</v>
      </c>
      <c r="AP23" s="745">
        <f t="shared" si="3"/>
        <v>-494</v>
      </c>
      <c r="AQ23" s="746">
        <v>7</v>
      </c>
      <c r="AR23" s="741">
        <v>6510</v>
      </c>
      <c r="AS23" s="741">
        <v>32550</v>
      </c>
      <c r="AT23" s="741">
        <v>488</v>
      </c>
      <c r="AU23" s="745">
        <v>2441</v>
      </c>
      <c r="AV23" s="747">
        <v>24</v>
      </c>
      <c r="AW23" s="741">
        <v>2240000</v>
      </c>
      <c r="AX23" s="741">
        <v>0</v>
      </c>
      <c r="AY23" s="741">
        <v>2</v>
      </c>
      <c r="AZ23" s="741">
        <v>0</v>
      </c>
      <c r="BA23" s="741">
        <v>10000</v>
      </c>
      <c r="BB23" s="748">
        <v>15.003584229390681</v>
      </c>
      <c r="BC23" s="749">
        <v>93333</v>
      </c>
      <c r="BD23" s="740">
        <v>1081</v>
      </c>
      <c r="BE23" s="741">
        <v>293</v>
      </c>
      <c r="BF23" s="741">
        <f t="shared" si="4"/>
        <v>507</v>
      </c>
      <c r="BG23" s="745">
        <f t="shared" si="5"/>
        <v>-574</v>
      </c>
      <c r="BH23" s="746">
        <v>7</v>
      </c>
      <c r="BI23" s="741">
        <v>7567</v>
      </c>
      <c r="BJ23" s="741">
        <v>37835</v>
      </c>
      <c r="BK23" s="741">
        <v>567</v>
      </c>
      <c r="BL23" s="745">
        <v>2837</v>
      </c>
      <c r="BM23" s="747">
        <v>54</v>
      </c>
      <c r="BN23" s="741">
        <v>3360000</v>
      </c>
      <c r="BO23" s="741">
        <v>0</v>
      </c>
      <c r="BP23" s="741">
        <v>4</v>
      </c>
      <c r="BQ23" s="741">
        <v>0</v>
      </c>
      <c r="BR23" s="955">
        <v>10000</v>
      </c>
      <c r="BS23" s="748">
        <v>20.43709528214616</v>
      </c>
      <c r="BT23" s="749">
        <v>62222</v>
      </c>
      <c r="BU23" s="962">
        <v>1178</v>
      </c>
      <c r="BV23" s="955">
        <v>319</v>
      </c>
      <c r="BW23" s="955">
        <f t="shared" si="6"/>
        <v>552</v>
      </c>
      <c r="BX23" s="963">
        <f t="shared" si="7"/>
        <v>-626</v>
      </c>
      <c r="BY23" s="746">
        <v>7</v>
      </c>
      <c r="BZ23" s="955">
        <v>8246</v>
      </c>
      <c r="CA23" s="955">
        <v>41230</v>
      </c>
      <c r="CB23" s="955">
        <v>618</v>
      </c>
      <c r="CC23" s="963">
        <v>3092</v>
      </c>
      <c r="CD23" s="956">
        <v>102</v>
      </c>
      <c r="CE23" s="955">
        <v>4480000</v>
      </c>
      <c r="CF23" s="955">
        <v>0</v>
      </c>
      <c r="CG23" s="955">
        <v>6</v>
      </c>
      <c r="CH23" s="955">
        <v>0</v>
      </c>
      <c r="CI23" s="955">
        <v>10000</v>
      </c>
      <c r="CJ23" s="957">
        <v>26.537280701754387</v>
      </c>
      <c r="CK23" s="958">
        <v>43921</v>
      </c>
      <c r="CL23" s="740">
        <v>1240</v>
      </c>
      <c r="CM23" s="741">
        <v>336</v>
      </c>
      <c r="CN23" s="741">
        <f t="shared" si="8"/>
        <v>582</v>
      </c>
      <c r="CO23" s="745">
        <f t="shared" si="9"/>
        <v>-658</v>
      </c>
      <c r="CP23" s="746">
        <v>7</v>
      </c>
      <c r="CQ23" s="741">
        <v>8680</v>
      </c>
      <c r="CR23" s="741">
        <v>43400</v>
      </c>
      <c r="CS23" s="741">
        <v>651</v>
      </c>
      <c r="CT23" s="745">
        <v>3255</v>
      </c>
      <c r="CU23" s="956">
        <v>192</v>
      </c>
      <c r="CV23" s="955">
        <v>5600000</v>
      </c>
      <c r="CW23" s="955">
        <v>0</v>
      </c>
      <c r="CX23" s="955">
        <v>12</v>
      </c>
      <c r="CY23" s="955">
        <v>0</v>
      </c>
      <c r="CZ23" s="955">
        <v>10000</v>
      </c>
      <c r="DA23" s="957">
        <v>34.481720430107522</v>
      </c>
      <c r="DB23" s="958">
        <v>29166</v>
      </c>
      <c r="DC23" s="959">
        <v>376</v>
      </c>
      <c r="DD23" s="955">
        <v>15680000</v>
      </c>
      <c r="DE23" s="960">
        <v>0</v>
      </c>
      <c r="DF23" s="960">
        <v>24</v>
      </c>
      <c r="DG23" s="960">
        <v>0</v>
      </c>
      <c r="DH23" s="955">
        <v>50000</v>
      </c>
      <c r="DI23" s="957">
        <v>75.268817204301072</v>
      </c>
      <c r="DJ23" s="958">
        <v>41702.127659574471</v>
      </c>
      <c r="DK23" s="961">
        <v>103</v>
      </c>
      <c r="DL23" s="753" t="s">
        <v>43</v>
      </c>
      <c r="DM23" s="754">
        <v>10000</v>
      </c>
      <c r="DN23" s="755">
        <v>160000</v>
      </c>
      <c r="DO23" s="756">
        <v>320000</v>
      </c>
      <c r="DP23" s="756">
        <v>640000</v>
      </c>
      <c r="DQ23" s="756"/>
      <c r="DR23" s="756"/>
      <c r="DS23" s="756"/>
      <c r="DT23" s="756"/>
      <c r="DU23" s="756"/>
      <c r="DV23" s="756"/>
      <c r="DW23" s="756"/>
      <c r="DX23" s="757"/>
      <c r="DY23" s="758" t="s">
        <v>43</v>
      </c>
      <c r="DZ23" s="759"/>
      <c r="EA23" s="738"/>
      <c r="EB23" s="738"/>
      <c r="EC23" s="760"/>
      <c r="ED23" s="761"/>
      <c r="EE23" s="741"/>
      <c r="EF23" s="741"/>
      <c r="EG23" s="741"/>
      <c r="EH23" s="745"/>
      <c r="EI23" s="762"/>
      <c r="EJ23" s="763"/>
    </row>
    <row r="24" spans="2:140">
      <c r="B24" s="203" t="s">
        <v>173</v>
      </c>
      <c r="C24" s="727" t="s">
        <v>54</v>
      </c>
      <c r="D24" s="728"/>
      <c r="E24" s="729" t="s">
        <v>43</v>
      </c>
      <c r="F24" s="730"/>
      <c r="G24" s="731"/>
      <c r="H24" s="732">
        <v>6</v>
      </c>
      <c r="I24" s="733" t="s">
        <v>270</v>
      </c>
      <c r="J24" s="734">
        <v>6</v>
      </c>
      <c r="K24" s="735">
        <v>7.4999999999999997E-2</v>
      </c>
      <c r="L24" s="736">
        <v>3.7058823529411766</v>
      </c>
      <c r="M24" s="737">
        <v>30</v>
      </c>
      <c r="N24" s="730">
        <v>6012</v>
      </c>
      <c r="O24" s="764">
        <v>42287</v>
      </c>
      <c r="P24" s="739" t="s">
        <v>98</v>
      </c>
      <c r="Q24" s="740">
        <v>630</v>
      </c>
      <c r="R24" s="741">
        <v>170</v>
      </c>
      <c r="S24" s="742">
        <v>26460</v>
      </c>
      <c r="T24" s="743" t="s">
        <v>329</v>
      </c>
      <c r="U24" s="744" t="s">
        <v>637</v>
      </c>
      <c r="V24" s="740">
        <v>630</v>
      </c>
      <c r="W24" s="741">
        <v>170</v>
      </c>
      <c r="X24" s="741">
        <f t="shared" si="0"/>
        <v>294</v>
      </c>
      <c r="Y24" s="745">
        <f t="shared" si="1"/>
        <v>-336</v>
      </c>
      <c r="Z24" s="746">
        <v>7</v>
      </c>
      <c r="AA24" s="741">
        <v>4410</v>
      </c>
      <c r="AB24" s="741">
        <v>26460</v>
      </c>
      <c r="AC24" s="741">
        <v>330</v>
      </c>
      <c r="AD24" s="745">
        <v>1984</v>
      </c>
      <c r="AE24" s="747">
        <v>2</v>
      </c>
      <c r="AF24" s="741">
        <v>0</v>
      </c>
      <c r="AG24" s="741">
        <v>0</v>
      </c>
      <c r="AH24" s="741">
        <v>0</v>
      </c>
      <c r="AI24" s="741">
        <v>0</v>
      </c>
      <c r="AJ24" s="741">
        <v>10000</v>
      </c>
      <c r="AK24" s="748">
        <v>0</v>
      </c>
      <c r="AL24" s="749">
        <v>0</v>
      </c>
      <c r="AM24" s="740">
        <v>945</v>
      </c>
      <c r="AN24" s="741">
        <v>255</v>
      </c>
      <c r="AO24" s="741">
        <f t="shared" si="2"/>
        <v>441</v>
      </c>
      <c r="AP24" s="745">
        <f t="shared" si="3"/>
        <v>-504</v>
      </c>
      <c r="AQ24" s="746">
        <v>7</v>
      </c>
      <c r="AR24" s="741">
        <v>6615</v>
      </c>
      <c r="AS24" s="741">
        <v>39690</v>
      </c>
      <c r="AT24" s="741">
        <v>496</v>
      </c>
      <c r="AU24" s="745">
        <v>2976</v>
      </c>
      <c r="AV24" s="747">
        <v>24</v>
      </c>
      <c r="AW24" s="741">
        <v>2280000</v>
      </c>
      <c r="AX24" s="741">
        <v>0</v>
      </c>
      <c r="AY24" s="741">
        <v>2</v>
      </c>
      <c r="AZ24" s="741">
        <v>0</v>
      </c>
      <c r="BA24" s="955">
        <v>10000</v>
      </c>
      <c r="BB24" s="748">
        <v>15.027966742252458</v>
      </c>
      <c r="BC24" s="749">
        <v>95000</v>
      </c>
      <c r="BD24" s="962">
        <v>1102</v>
      </c>
      <c r="BE24" s="955">
        <v>297</v>
      </c>
      <c r="BF24" s="955">
        <f t="shared" si="4"/>
        <v>514</v>
      </c>
      <c r="BG24" s="963">
        <f t="shared" si="5"/>
        <v>-588</v>
      </c>
      <c r="BH24" s="746">
        <v>7</v>
      </c>
      <c r="BI24" s="955">
        <v>7714</v>
      </c>
      <c r="BJ24" s="955">
        <v>46284</v>
      </c>
      <c r="BK24" s="955">
        <v>578</v>
      </c>
      <c r="BL24" s="963">
        <v>3471</v>
      </c>
      <c r="BM24" s="956">
        <v>56</v>
      </c>
      <c r="BN24" s="955">
        <v>3420000</v>
      </c>
      <c r="BO24" s="955">
        <v>0</v>
      </c>
      <c r="BP24" s="955">
        <v>4</v>
      </c>
      <c r="BQ24" s="955">
        <v>0</v>
      </c>
      <c r="BR24" s="955">
        <v>10000</v>
      </c>
      <c r="BS24" s="957">
        <v>20.47381384495722</v>
      </c>
      <c r="BT24" s="958">
        <v>61071</v>
      </c>
      <c r="BU24" s="740">
        <v>1197</v>
      </c>
      <c r="BV24" s="741">
        <v>323</v>
      </c>
      <c r="BW24" s="741">
        <f t="shared" si="6"/>
        <v>559</v>
      </c>
      <c r="BX24" s="745">
        <f t="shared" si="7"/>
        <v>-638</v>
      </c>
      <c r="BY24" s="746">
        <v>7</v>
      </c>
      <c r="BZ24" s="741">
        <v>8379</v>
      </c>
      <c r="CA24" s="741">
        <v>50274</v>
      </c>
      <c r="CB24" s="741">
        <v>628</v>
      </c>
      <c r="CC24" s="745">
        <v>3770</v>
      </c>
      <c r="CD24" s="956">
        <v>102</v>
      </c>
      <c r="CE24" s="955">
        <v>4560000</v>
      </c>
      <c r="CF24" s="955">
        <v>0</v>
      </c>
      <c r="CG24" s="955">
        <v>6</v>
      </c>
      <c r="CH24" s="955">
        <v>0</v>
      </c>
      <c r="CI24" s="741">
        <v>10000</v>
      </c>
      <c r="CJ24" s="957">
        <v>26.588435374149658</v>
      </c>
      <c r="CK24" s="958">
        <v>44705</v>
      </c>
      <c r="CL24" s="740">
        <v>1260</v>
      </c>
      <c r="CM24" s="741">
        <v>340</v>
      </c>
      <c r="CN24" s="741">
        <f t="shared" si="8"/>
        <v>589</v>
      </c>
      <c r="CO24" s="745">
        <f t="shared" si="9"/>
        <v>-671</v>
      </c>
      <c r="CP24" s="746">
        <v>7</v>
      </c>
      <c r="CQ24" s="741">
        <v>8820</v>
      </c>
      <c r="CR24" s="741">
        <v>52920</v>
      </c>
      <c r="CS24" s="741">
        <v>661</v>
      </c>
      <c r="CT24" s="745">
        <v>3969</v>
      </c>
      <c r="CU24" s="747">
        <v>192</v>
      </c>
      <c r="CV24" s="741">
        <v>5700000</v>
      </c>
      <c r="CW24" s="741">
        <v>0</v>
      </c>
      <c r="CX24" s="741">
        <v>12</v>
      </c>
      <c r="CY24" s="741">
        <v>0</v>
      </c>
      <c r="CZ24" s="955">
        <v>10000</v>
      </c>
      <c r="DA24" s="748">
        <v>34.52743764172336</v>
      </c>
      <c r="DB24" s="749">
        <v>29687</v>
      </c>
      <c r="DC24" s="959">
        <v>376</v>
      </c>
      <c r="DD24" s="955">
        <v>15960000</v>
      </c>
      <c r="DE24" s="960">
        <v>0</v>
      </c>
      <c r="DF24" s="960">
        <v>24</v>
      </c>
      <c r="DG24" s="960">
        <v>0</v>
      </c>
      <c r="DH24" s="955">
        <v>50000</v>
      </c>
      <c r="DI24" s="957">
        <v>75.396825396825406</v>
      </c>
      <c r="DJ24" s="958">
        <v>42446.808510638301</v>
      </c>
      <c r="DK24" s="961">
        <v>103</v>
      </c>
      <c r="DL24" s="753" t="s">
        <v>43</v>
      </c>
      <c r="DM24" s="754">
        <v>10000</v>
      </c>
      <c r="DN24" s="755">
        <v>200000</v>
      </c>
      <c r="DO24" s="756">
        <v>400000</v>
      </c>
      <c r="DP24" s="756">
        <v>800000</v>
      </c>
      <c r="DQ24" s="756"/>
      <c r="DR24" s="756"/>
      <c r="DS24" s="756"/>
      <c r="DT24" s="756"/>
      <c r="DU24" s="756"/>
      <c r="DV24" s="756"/>
      <c r="DW24" s="756"/>
      <c r="DX24" s="757"/>
      <c r="DY24" s="758" t="s">
        <v>43</v>
      </c>
      <c r="DZ24" s="759"/>
      <c r="EA24" s="738"/>
      <c r="EB24" s="738"/>
      <c r="EC24" s="760"/>
      <c r="ED24" s="761"/>
      <c r="EE24" s="741"/>
      <c r="EF24" s="741"/>
      <c r="EG24" s="741"/>
      <c r="EH24" s="745"/>
      <c r="EI24" s="762"/>
      <c r="EJ24" s="763"/>
    </row>
    <row r="25" spans="2:140">
      <c r="B25" s="203" t="s">
        <v>194</v>
      </c>
      <c r="C25" s="727" t="s">
        <v>54</v>
      </c>
      <c r="D25" s="728"/>
      <c r="E25" s="729" t="s">
        <v>43</v>
      </c>
      <c r="F25" s="730"/>
      <c r="G25" s="731"/>
      <c r="H25" s="732">
        <v>6</v>
      </c>
      <c r="I25" s="733" t="s">
        <v>270</v>
      </c>
      <c r="J25" s="734">
        <v>6</v>
      </c>
      <c r="K25" s="735">
        <v>7.4999999999999997E-2</v>
      </c>
      <c r="L25" s="736">
        <v>3.657142857142857</v>
      </c>
      <c r="M25" s="737">
        <v>30</v>
      </c>
      <c r="N25" s="730">
        <v>6017</v>
      </c>
      <c r="O25" s="764">
        <v>42322</v>
      </c>
      <c r="P25" s="739" t="s">
        <v>206</v>
      </c>
      <c r="Q25" s="740">
        <v>1280</v>
      </c>
      <c r="R25" s="741">
        <v>350</v>
      </c>
      <c r="S25" s="742">
        <v>61440</v>
      </c>
      <c r="T25" s="743" t="s">
        <v>330</v>
      </c>
      <c r="U25" s="744" t="s">
        <v>638</v>
      </c>
      <c r="V25" s="740">
        <v>427</v>
      </c>
      <c r="W25" s="741">
        <v>117</v>
      </c>
      <c r="X25" s="741">
        <f t="shared" si="0"/>
        <v>202</v>
      </c>
      <c r="Y25" s="745">
        <f t="shared" si="1"/>
        <v>-225</v>
      </c>
      <c r="Z25" s="746">
        <v>7</v>
      </c>
      <c r="AA25" s="741">
        <v>2989</v>
      </c>
      <c r="AB25" s="741">
        <v>17934</v>
      </c>
      <c r="AC25" s="741">
        <v>224</v>
      </c>
      <c r="AD25" s="745">
        <v>1345</v>
      </c>
      <c r="AE25" s="747">
        <v>2.5</v>
      </c>
      <c r="AF25" s="741">
        <v>0</v>
      </c>
      <c r="AG25" s="741">
        <v>0</v>
      </c>
      <c r="AH25" s="741">
        <v>0</v>
      </c>
      <c r="AI25" s="741">
        <v>0</v>
      </c>
      <c r="AJ25" s="741">
        <v>10000</v>
      </c>
      <c r="AK25" s="748">
        <v>0</v>
      </c>
      <c r="AL25" s="749">
        <v>0</v>
      </c>
      <c r="AM25" s="740">
        <v>534</v>
      </c>
      <c r="AN25" s="741">
        <v>146</v>
      </c>
      <c r="AO25" s="741">
        <f t="shared" si="2"/>
        <v>252</v>
      </c>
      <c r="AP25" s="745">
        <f t="shared" si="3"/>
        <v>-282</v>
      </c>
      <c r="AQ25" s="746">
        <v>7</v>
      </c>
      <c r="AR25" s="741">
        <v>3738</v>
      </c>
      <c r="AS25" s="741">
        <v>22428</v>
      </c>
      <c r="AT25" s="741">
        <v>280</v>
      </c>
      <c r="AU25" s="745">
        <v>1682</v>
      </c>
      <c r="AV25" s="747">
        <v>32</v>
      </c>
      <c r="AW25" s="741">
        <v>2320000</v>
      </c>
      <c r="AX25" s="741">
        <v>0</v>
      </c>
      <c r="AY25" s="741">
        <v>2</v>
      </c>
      <c r="AZ25" s="741">
        <v>0</v>
      </c>
      <c r="BA25" s="741">
        <v>10000</v>
      </c>
      <c r="BB25" s="748">
        <v>26.926698769395401</v>
      </c>
      <c r="BC25" s="749">
        <v>72500</v>
      </c>
      <c r="BD25" s="740">
        <v>640</v>
      </c>
      <c r="BE25" s="741">
        <v>175</v>
      </c>
      <c r="BF25" s="741">
        <f t="shared" si="4"/>
        <v>303</v>
      </c>
      <c r="BG25" s="745">
        <f t="shared" si="5"/>
        <v>-337</v>
      </c>
      <c r="BH25" s="746">
        <v>7</v>
      </c>
      <c r="BI25" s="741">
        <v>4480</v>
      </c>
      <c r="BJ25" s="741">
        <v>26880</v>
      </c>
      <c r="BK25" s="741">
        <v>336</v>
      </c>
      <c r="BL25" s="745">
        <v>2016</v>
      </c>
      <c r="BM25" s="747">
        <v>72</v>
      </c>
      <c r="BN25" s="741">
        <v>3480000</v>
      </c>
      <c r="BO25" s="741">
        <v>0</v>
      </c>
      <c r="BP25" s="741">
        <v>4</v>
      </c>
      <c r="BQ25" s="741">
        <v>0</v>
      </c>
      <c r="BR25" s="741">
        <v>10000</v>
      </c>
      <c r="BS25" s="748">
        <v>34.869196428571428</v>
      </c>
      <c r="BT25" s="749">
        <v>48333</v>
      </c>
      <c r="BU25" s="740">
        <v>854</v>
      </c>
      <c r="BV25" s="741">
        <v>234</v>
      </c>
      <c r="BW25" s="741">
        <f t="shared" si="6"/>
        <v>405</v>
      </c>
      <c r="BX25" s="745">
        <f t="shared" si="7"/>
        <v>-449</v>
      </c>
      <c r="BY25" s="746">
        <v>7</v>
      </c>
      <c r="BZ25" s="741">
        <v>5978</v>
      </c>
      <c r="CA25" s="741">
        <v>35868</v>
      </c>
      <c r="CB25" s="741">
        <v>448</v>
      </c>
      <c r="CC25" s="745">
        <v>2690</v>
      </c>
      <c r="CD25" s="747">
        <v>120</v>
      </c>
      <c r="CE25" s="741">
        <v>4640000</v>
      </c>
      <c r="CF25" s="741">
        <v>0</v>
      </c>
      <c r="CG25" s="741">
        <v>6</v>
      </c>
      <c r="CH25" s="741">
        <v>0</v>
      </c>
      <c r="CI25" s="741">
        <v>10000</v>
      </c>
      <c r="CJ25" s="748">
        <v>36.087877774060445</v>
      </c>
      <c r="CK25" s="749">
        <v>38666</v>
      </c>
      <c r="CL25" s="740">
        <v>1280</v>
      </c>
      <c r="CM25" s="741">
        <v>350</v>
      </c>
      <c r="CN25" s="741">
        <f t="shared" si="8"/>
        <v>606</v>
      </c>
      <c r="CO25" s="745">
        <f t="shared" si="9"/>
        <v>-674</v>
      </c>
      <c r="CP25" s="746">
        <v>8</v>
      </c>
      <c r="CQ25" s="741">
        <v>10240</v>
      </c>
      <c r="CR25" s="741">
        <v>61440</v>
      </c>
      <c r="CS25" s="741">
        <v>768</v>
      </c>
      <c r="CT25" s="745">
        <v>4608</v>
      </c>
      <c r="CU25" s="747">
        <v>216</v>
      </c>
      <c r="CV25" s="741">
        <v>5800000</v>
      </c>
      <c r="CW25" s="741">
        <v>0</v>
      </c>
      <c r="CX25" s="741">
        <v>12</v>
      </c>
      <c r="CY25" s="741">
        <v>0</v>
      </c>
      <c r="CZ25" s="955">
        <v>10000</v>
      </c>
      <c r="DA25" s="748">
        <v>28.854361979166669</v>
      </c>
      <c r="DB25" s="749">
        <v>26851</v>
      </c>
      <c r="DC25" s="750">
        <v>442.5</v>
      </c>
      <c r="DD25" s="741">
        <v>16240000</v>
      </c>
      <c r="DE25" s="751">
        <v>0</v>
      </c>
      <c r="DF25" s="751">
        <v>24</v>
      </c>
      <c r="DG25" s="751">
        <v>0</v>
      </c>
      <c r="DH25" s="955">
        <v>50000</v>
      </c>
      <c r="DI25" s="748">
        <v>66.080729166666671</v>
      </c>
      <c r="DJ25" s="749">
        <v>36700.56497175141</v>
      </c>
      <c r="DK25" s="752"/>
      <c r="DL25" s="753"/>
      <c r="DM25" s="754">
        <v>10000</v>
      </c>
      <c r="DN25" s="755">
        <v>300000</v>
      </c>
      <c r="DO25" s="756">
        <v>600000</v>
      </c>
      <c r="DP25" s="756"/>
      <c r="DQ25" s="756"/>
      <c r="DR25" s="756"/>
      <c r="DS25" s="756"/>
      <c r="DT25" s="756"/>
      <c r="DU25" s="756"/>
      <c r="DV25" s="756"/>
      <c r="DW25" s="756"/>
      <c r="DX25" s="757"/>
      <c r="DY25" s="758" t="s">
        <v>43</v>
      </c>
      <c r="DZ25" s="759"/>
      <c r="EA25" s="738"/>
      <c r="EB25" s="738"/>
      <c r="EC25" s="760"/>
      <c r="ED25" s="761"/>
      <c r="EE25" s="741"/>
      <c r="EF25" s="741"/>
      <c r="EG25" s="741"/>
      <c r="EH25" s="745"/>
      <c r="EI25" s="762"/>
      <c r="EJ25" s="763"/>
    </row>
    <row r="26" spans="2:140">
      <c r="B26" s="203" t="s">
        <v>247</v>
      </c>
      <c r="C26" s="727" t="s">
        <v>54</v>
      </c>
      <c r="D26" s="728"/>
      <c r="E26" s="729" t="s">
        <v>43</v>
      </c>
      <c r="F26" s="730"/>
      <c r="G26" s="731"/>
      <c r="H26" s="732">
        <v>6</v>
      </c>
      <c r="I26" s="733" t="s">
        <v>270</v>
      </c>
      <c r="J26" s="734">
        <v>6</v>
      </c>
      <c r="K26" s="964">
        <v>7.4999999999999997E-2</v>
      </c>
      <c r="L26" s="736">
        <v>3.6527777777777777</v>
      </c>
      <c r="M26" s="737">
        <v>30</v>
      </c>
      <c r="N26" s="730">
        <v>6032</v>
      </c>
      <c r="O26" s="764">
        <v>42371</v>
      </c>
      <c r="P26" s="739" t="s">
        <v>206</v>
      </c>
      <c r="Q26" s="740">
        <v>1315</v>
      </c>
      <c r="R26" s="741">
        <v>360</v>
      </c>
      <c r="S26" s="742">
        <v>63120</v>
      </c>
      <c r="T26" s="743" t="s">
        <v>331</v>
      </c>
      <c r="U26" s="744" t="s">
        <v>520</v>
      </c>
      <c r="V26" s="740">
        <v>439</v>
      </c>
      <c r="W26" s="741">
        <v>120</v>
      </c>
      <c r="X26" s="741">
        <f t="shared" si="0"/>
        <v>207</v>
      </c>
      <c r="Y26" s="745">
        <f t="shared" si="1"/>
        <v>-232</v>
      </c>
      <c r="Z26" s="746">
        <v>8</v>
      </c>
      <c r="AA26" s="741">
        <v>3512</v>
      </c>
      <c r="AB26" s="741">
        <v>21072</v>
      </c>
      <c r="AC26" s="955">
        <v>263</v>
      </c>
      <c r="AD26" s="963">
        <v>1580</v>
      </c>
      <c r="AE26" s="747">
        <v>3</v>
      </c>
      <c r="AF26" s="741">
        <v>0</v>
      </c>
      <c r="AG26" s="741">
        <v>0</v>
      </c>
      <c r="AH26" s="741">
        <v>0</v>
      </c>
      <c r="AI26" s="741">
        <v>0</v>
      </c>
      <c r="AJ26" s="955">
        <v>10000</v>
      </c>
      <c r="AK26" s="748">
        <v>0</v>
      </c>
      <c r="AL26" s="749">
        <v>0</v>
      </c>
      <c r="AM26" s="740">
        <v>548</v>
      </c>
      <c r="AN26" s="741">
        <v>150</v>
      </c>
      <c r="AO26" s="741">
        <f t="shared" si="2"/>
        <v>259</v>
      </c>
      <c r="AP26" s="745">
        <f t="shared" si="3"/>
        <v>-289</v>
      </c>
      <c r="AQ26" s="746">
        <v>8</v>
      </c>
      <c r="AR26" s="741">
        <v>4384</v>
      </c>
      <c r="AS26" s="741">
        <v>26304</v>
      </c>
      <c r="AT26" s="955">
        <v>328</v>
      </c>
      <c r="AU26" s="963">
        <v>1972</v>
      </c>
      <c r="AV26" s="747">
        <v>36</v>
      </c>
      <c r="AW26" s="741">
        <v>2480000</v>
      </c>
      <c r="AX26" s="741">
        <v>0</v>
      </c>
      <c r="AY26" s="741">
        <v>4</v>
      </c>
      <c r="AZ26" s="741">
        <v>0</v>
      </c>
      <c r="BA26" s="955">
        <v>10000</v>
      </c>
      <c r="BB26" s="748">
        <v>24.77220194647202</v>
      </c>
      <c r="BC26" s="749">
        <v>68888</v>
      </c>
      <c r="BD26" s="962">
        <v>658</v>
      </c>
      <c r="BE26" s="955">
        <v>180</v>
      </c>
      <c r="BF26" s="955">
        <f t="shared" si="4"/>
        <v>311</v>
      </c>
      <c r="BG26" s="963">
        <f t="shared" si="5"/>
        <v>-347</v>
      </c>
      <c r="BH26" s="746">
        <v>8</v>
      </c>
      <c r="BI26" s="955">
        <v>5264</v>
      </c>
      <c r="BJ26" s="955">
        <v>31584</v>
      </c>
      <c r="BK26" s="955">
        <v>394</v>
      </c>
      <c r="BL26" s="963">
        <v>2368</v>
      </c>
      <c r="BM26" s="956">
        <v>96</v>
      </c>
      <c r="BN26" s="955">
        <v>3720000</v>
      </c>
      <c r="BO26" s="955">
        <v>0</v>
      </c>
      <c r="BP26" s="955">
        <v>6</v>
      </c>
      <c r="BQ26" s="955">
        <v>0</v>
      </c>
      <c r="BR26" s="955">
        <v>10000</v>
      </c>
      <c r="BS26" s="957">
        <v>32.776595744680854</v>
      </c>
      <c r="BT26" s="958">
        <v>38750</v>
      </c>
      <c r="BU26" s="962">
        <v>877</v>
      </c>
      <c r="BV26" s="955">
        <v>240</v>
      </c>
      <c r="BW26" s="955">
        <f t="shared" si="6"/>
        <v>415</v>
      </c>
      <c r="BX26" s="963">
        <f t="shared" si="7"/>
        <v>-462</v>
      </c>
      <c r="BY26" s="746">
        <v>8</v>
      </c>
      <c r="BZ26" s="955">
        <v>7016</v>
      </c>
      <c r="CA26" s="955">
        <v>42096</v>
      </c>
      <c r="CB26" s="955">
        <v>526</v>
      </c>
      <c r="CC26" s="963">
        <v>3157</v>
      </c>
      <c r="CD26" s="956">
        <v>144</v>
      </c>
      <c r="CE26" s="955">
        <v>4960000</v>
      </c>
      <c r="CF26" s="955">
        <v>0</v>
      </c>
      <c r="CG26" s="955">
        <v>9</v>
      </c>
      <c r="CH26" s="955">
        <v>0</v>
      </c>
      <c r="CI26" s="955">
        <v>10000</v>
      </c>
      <c r="CJ26" s="957">
        <v>33.958190801976436</v>
      </c>
      <c r="CK26" s="958">
        <v>34444</v>
      </c>
      <c r="CL26" s="740">
        <v>1315</v>
      </c>
      <c r="CM26" s="741">
        <v>360</v>
      </c>
      <c r="CN26" s="741">
        <f t="shared" si="8"/>
        <v>623</v>
      </c>
      <c r="CO26" s="745">
        <f t="shared" si="9"/>
        <v>-692</v>
      </c>
      <c r="CP26" s="746">
        <v>8</v>
      </c>
      <c r="CQ26" s="741">
        <v>10520</v>
      </c>
      <c r="CR26" s="741">
        <v>63120</v>
      </c>
      <c r="CS26" s="955">
        <v>789</v>
      </c>
      <c r="CT26" s="963">
        <v>4734</v>
      </c>
      <c r="CU26" s="956">
        <v>216</v>
      </c>
      <c r="CV26" s="955">
        <v>6200000</v>
      </c>
      <c r="CW26" s="955">
        <v>0</v>
      </c>
      <c r="CX26" s="955">
        <v>11</v>
      </c>
      <c r="CY26" s="955">
        <v>0</v>
      </c>
      <c r="CZ26" s="955">
        <v>10000</v>
      </c>
      <c r="DA26" s="957">
        <v>30.558681875792143</v>
      </c>
      <c r="DB26" s="958">
        <v>28703</v>
      </c>
      <c r="DC26" s="959">
        <v>495</v>
      </c>
      <c r="DD26" s="955">
        <v>17360000</v>
      </c>
      <c r="DE26" s="960">
        <v>0</v>
      </c>
      <c r="DF26" s="960">
        <v>30</v>
      </c>
      <c r="DG26" s="960">
        <v>0</v>
      </c>
      <c r="DH26" s="955">
        <v>50000</v>
      </c>
      <c r="DI26" s="957">
        <v>68.757921419518382</v>
      </c>
      <c r="DJ26" s="958">
        <v>35070.707070707074</v>
      </c>
      <c r="DK26" s="752"/>
      <c r="DL26" s="753"/>
      <c r="DM26" s="754">
        <v>10000</v>
      </c>
      <c r="DN26" s="755">
        <v>350000</v>
      </c>
      <c r="DO26" s="756">
        <v>700000</v>
      </c>
      <c r="DP26" s="756"/>
      <c r="DQ26" s="756"/>
      <c r="DR26" s="756"/>
      <c r="DS26" s="756"/>
      <c r="DT26" s="756"/>
      <c r="DU26" s="756"/>
      <c r="DV26" s="756"/>
      <c r="DW26" s="756"/>
      <c r="DX26" s="757"/>
      <c r="DY26" s="758" t="s">
        <v>43</v>
      </c>
      <c r="DZ26" s="759"/>
      <c r="EA26" s="738"/>
      <c r="EB26" s="738"/>
      <c r="EC26" s="760"/>
      <c r="ED26" s="761"/>
      <c r="EE26" s="741"/>
      <c r="EF26" s="741"/>
      <c r="EG26" s="741"/>
      <c r="EH26" s="745"/>
      <c r="EI26" s="762"/>
      <c r="EJ26" s="763"/>
    </row>
    <row r="27" spans="2:140">
      <c r="B27" s="203" t="s">
        <v>255</v>
      </c>
      <c r="C27" s="727" t="s">
        <v>54</v>
      </c>
      <c r="D27" s="728"/>
      <c r="E27" s="729" t="s">
        <v>43</v>
      </c>
      <c r="F27" s="730"/>
      <c r="G27" s="731"/>
      <c r="H27" s="732">
        <v>7</v>
      </c>
      <c r="I27" s="733" t="s">
        <v>271</v>
      </c>
      <c r="J27" s="734">
        <v>12</v>
      </c>
      <c r="K27" s="735">
        <v>7.4999999999999997E-2</v>
      </c>
      <c r="L27" s="736">
        <v>3.3333333333333335</v>
      </c>
      <c r="M27" s="737">
        <v>100</v>
      </c>
      <c r="N27" s="730">
        <v>531</v>
      </c>
      <c r="O27" s="764">
        <v>42383</v>
      </c>
      <c r="P27" s="739" t="s">
        <v>206</v>
      </c>
      <c r="Q27" s="740">
        <v>1000</v>
      </c>
      <c r="R27" s="741">
        <v>300</v>
      </c>
      <c r="S27" s="742">
        <v>144000</v>
      </c>
      <c r="T27" s="743" t="s">
        <v>332</v>
      </c>
      <c r="U27" s="744" t="s">
        <v>526</v>
      </c>
      <c r="V27" s="740">
        <v>334</v>
      </c>
      <c r="W27" s="741">
        <v>100</v>
      </c>
      <c r="X27" s="741">
        <f t="shared" si="0"/>
        <v>173</v>
      </c>
      <c r="Y27" s="745">
        <f t="shared" si="1"/>
        <v>-161</v>
      </c>
      <c r="Z27" s="746">
        <v>12</v>
      </c>
      <c r="AA27" s="741">
        <v>4008</v>
      </c>
      <c r="AB27" s="741">
        <v>48096</v>
      </c>
      <c r="AC27" s="741">
        <v>300</v>
      </c>
      <c r="AD27" s="745">
        <v>3607</v>
      </c>
      <c r="AE27" s="747">
        <v>1.5</v>
      </c>
      <c r="AF27" s="741">
        <v>0</v>
      </c>
      <c r="AG27" s="741">
        <v>0</v>
      </c>
      <c r="AH27" s="741">
        <v>0</v>
      </c>
      <c r="AI27" s="741">
        <v>0</v>
      </c>
      <c r="AJ27" s="741">
        <v>451</v>
      </c>
      <c r="AK27" s="748">
        <v>0</v>
      </c>
      <c r="AL27" s="749">
        <v>0</v>
      </c>
      <c r="AM27" s="740">
        <v>417</v>
      </c>
      <c r="AN27" s="741">
        <v>125</v>
      </c>
      <c r="AO27" s="741">
        <f t="shared" si="2"/>
        <v>216</v>
      </c>
      <c r="AP27" s="745">
        <f t="shared" si="3"/>
        <v>-201</v>
      </c>
      <c r="AQ27" s="746">
        <v>12</v>
      </c>
      <c r="AR27" s="741">
        <v>5004</v>
      </c>
      <c r="AS27" s="741">
        <v>60048</v>
      </c>
      <c r="AT27" s="741">
        <v>375</v>
      </c>
      <c r="AU27" s="745">
        <v>4503</v>
      </c>
      <c r="AV27" s="747">
        <v>9</v>
      </c>
      <c r="AW27" s="741">
        <v>3600000</v>
      </c>
      <c r="AX27" s="741">
        <v>0</v>
      </c>
      <c r="AY27" s="741">
        <v>5</v>
      </c>
      <c r="AZ27" s="741">
        <v>0</v>
      </c>
      <c r="BA27" s="741">
        <v>3378</v>
      </c>
      <c r="BB27" s="748">
        <v>30.276378896882495</v>
      </c>
      <c r="BC27" s="749">
        <v>400000</v>
      </c>
      <c r="BD27" s="740">
        <v>500</v>
      </c>
      <c r="BE27" s="741">
        <v>150</v>
      </c>
      <c r="BF27" s="741">
        <f t="shared" si="4"/>
        <v>259</v>
      </c>
      <c r="BG27" s="745">
        <f t="shared" si="5"/>
        <v>-241</v>
      </c>
      <c r="BH27" s="746">
        <v>12</v>
      </c>
      <c r="BI27" s="741">
        <v>6000</v>
      </c>
      <c r="BJ27" s="741">
        <v>72000</v>
      </c>
      <c r="BK27" s="741">
        <v>450</v>
      </c>
      <c r="BL27" s="745">
        <v>5400</v>
      </c>
      <c r="BM27" s="747">
        <v>18</v>
      </c>
      <c r="BN27" s="741">
        <v>5400000</v>
      </c>
      <c r="BO27" s="741">
        <v>0</v>
      </c>
      <c r="BP27" s="741">
        <v>10</v>
      </c>
      <c r="BQ27" s="741">
        <v>0</v>
      </c>
      <c r="BR27" s="741">
        <v>8100</v>
      </c>
      <c r="BS27" s="748">
        <v>38.125499999999995</v>
      </c>
      <c r="BT27" s="749">
        <v>300000</v>
      </c>
      <c r="BU27" s="740">
        <v>667</v>
      </c>
      <c r="BV27" s="741">
        <v>200</v>
      </c>
      <c r="BW27" s="741">
        <f t="shared" si="6"/>
        <v>346</v>
      </c>
      <c r="BX27" s="745">
        <f t="shared" si="7"/>
        <v>-321</v>
      </c>
      <c r="BY27" s="746">
        <v>12</v>
      </c>
      <c r="BZ27" s="741">
        <v>8004</v>
      </c>
      <c r="CA27" s="741">
        <v>96048</v>
      </c>
      <c r="CB27" s="741">
        <v>600</v>
      </c>
      <c r="CC27" s="745">
        <v>7203</v>
      </c>
      <c r="CD27" s="747">
        <v>36</v>
      </c>
      <c r="CE27" s="741">
        <v>7200000</v>
      </c>
      <c r="CF27" s="741">
        <v>0</v>
      </c>
      <c r="CG27" s="741">
        <v>0</v>
      </c>
      <c r="CH27" s="741">
        <v>5</v>
      </c>
      <c r="CI27" s="741">
        <v>10000</v>
      </c>
      <c r="CJ27" s="748">
        <v>38.605697151424287</v>
      </c>
      <c r="CK27" s="749">
        <v>200000</v>
      </c>
      <c r="CL27" s="740">
        <v>1000</v>
      </c>
      <c r="CM27" s="741">
        <v>300</v>
      </c>
      <c r="CN27" s="741">
        <f t="shared" si="8"/>
        <v>519</v>
      </c>
      <c r="CO27" s="745">
        <f t="shared" si="9"/>
        <v>-481</v>
      </c>
      <c r="CP27" s="746">
        <v>12</v>
      </c>
      <c r="CQ27" s="741">
        <v>12000</v>
      </c>
      <c r="CR27" s="741">
        <v>144000</v>
      </c>
      <c r="CS27" s="741">
        <v>900</v>
      </c>
      <c r="CT27" s="745">
        <v>10800</v>
      </c>
      <c r="CU27" s="747">
        <v>72</v>
      </c>
      <c r="CV27" s="741">
        <v>9000000</v>
      </c>
      <c r="CW27" s="741">
        <v>0</v>
      </c>
      <c r="CX27" s="741">
        <v>0</v>
      </c>
      <c r="CY27" s="741">
        <v>10</v>
      </c>
      <c r="CZ27" s="955">
        <v>10000</v>
      </c>
      <c r="DA27" s="748">
        <v>33.250999999999998</v>
      </c>
      <c r="DB27" s="749">
        <v>125000</v>
      </c>
      <c r="DC27" s="750">
        <v>136.5</v>
      </c>
      <c r="DD27" s="741">
        <v>25200000</v>
      </c>
      <c r="DE27" s="751">
        <v>0</v>
      </c>
      <c r="DF27" s="751">
        <v>15</v>
      </c>
      <c r="DG27" s="751">
        <v>15</v>
      </c>
      <c r="DH27" s="955">
        <v>31929</v>
      </c>
      <c r="DI27" s="748">
        <v>87.5</v>
      </c>
      <c r="DJ27" s="749">
        <v>184615.38461538462</v>
      </c>
      <c r="DK27" s="752"/>
      <c r="DL27" s="753"/>
      <c r="DM27" s="754"/>
      <c r="DN27" s="755"/>
      <c r="DO27" s="756"/>
      <c r="DP27" s="756"/>
      <c r="DQ27" s="756"/>
      <c r="DR27" s="756"/>
      <c r="DS27" s="756"/>
      <c r="DT27" s="756"/>
      <c r="DU27" s="756"/>
      <c r="DV27" s="756"/>
      <c r="DW27" s="756"/>
      <c r="DX27" s="757"/>
      <c r="DY27" s="758" t="s">
        <v>43</v>
      </c>
      <c r="DZ27" s="759"/>
      <c r="EA27" s="738"/>
      <c r="EB27" s="738"/>
      <c r="EC27" s="760"/>
      <c r="ED27" s="761"/>
      <c r="EE27" s="741"/>
      <c r="EF27" s="741"/>
      <c r="EG27" s="741"/>
      <c r="EH27" s="745"/>
      <c r="EI27" s="762"/>
      <c r="EJ27" s="763"/>
    </row>
    <row r="28" spans="2:140">
      <c r="B28" s="1126" t="s">
        <v>60</v>
      </c>
      <c r="C28" s="765" t="s">
        <v>48</v>
      </c>
      <c r="D28" s="766"/>
      <c r="E28" s="767" t="s">
        <v>43</v>
      </c>
      <c r="F28" s="768"/>
      <c r="G28" s="769"/>
      <c r="H28" s="770">
        <v>1</v>
      </c>
      <c r="I28" s="771" t="s">
        <v>268</v>
      </c>
      <c r="J28" s="772">
        <v>4</v>
      </c>
      <c r="K28" s="773">
        <v>2.5000000000000001E-2</v>
      </c>
      <c r="L28" s="774">
        <v>3.5087719298245612</v>
      </c>
      <c r="M28" s="775">
        <v>30</v>
      </c>
      <c r="N28" s="768">
        <v>5</v>
      </c>
      <c r="O28" s="776" t="s">
        <v>47</v>
      </c>
      <c r="P28" s="777" t="s">
        <v>98</v>
      </c>
      <c r="Q28" s="778">
        <v>200</v>
      </c>
      <c r="R28" s="779">
        <v>57</v>
      </c>
      <c r="S28" s="780">
        <v>2400</v>
      </c>
      <c r="T28" s="781" t="s">
        <v>377</v>
      </c>
      <c r="U28" s="782" t="s">
        <v>47</v>
      </c>
      <c r="V28" s="778">
        <v>200</v>
      </c>
      <c r="W28" s="779">
        <v>57</v>
      </c>
      <c r="X28" s="779">
        <f t="shared" si="0"/>
        <v>98</v>
      </c>
      <c r="Y28" s="783">
        <f t="shared" si="1"/>
        <v>-102</v>
      </c>
      <c r="Z28" s="784">
        <v>3</v>
      </c>
      <c r="AA28" s="779">
        <v>600</v>
      </c>
      <c r="AB28" s="779">
        <v>2400</v>
      </c>
      <c r="AC28" s="779">
        <v>15</v>
      </c>
      <c r="AD28" s="783">
        <v>60</v>
      </c>
      <c r="AE28" s="785">
        <v>8.3333333333333339E-4</v>
      </c>
      <c r="AF28" s="779">
        <v>500</v>
      </c>
      <c r="AG28" s="779">
        <v>0</v>
      </c>
      <c r="AH28" s="779">
        <v>0</v>
      </c>
      <c r="AI28" s="779">
        <v>0</v>
      </c>
      <c r="AJ28" s="779">
        <v>5</v>
      </c>
      <c r="AK28" s="786">
        <v>3.4722222222222224E-2</v>
      </c>
      <c r="AL28" s="787">
        <v>600000</v>
      </c>
      <c r="AM28" s="778">
        <v>300</v>
      </c>
      <c r="AN28" s="779">
        <v>85</v>
      </c>
      <c r="AO28" s="779">
        <f t="shared" si="2"/>
        <v>147</v>
      </c>
      <c r="AP28" s="783">
        <f t="shared" si="3"/>
        <v>-153</v>
      </c>
      <c r="AQ28" s="784">
        <v>3</v>
      </c>
      <c r="AR28" s="779">
        <v>900</v>
      </c>
      <c r="AS28" s="779">
        <v>3600</v>
      </c>
      <c r="AT28" s="779">
        <v>22</v>
      </c>
      <c r="AU28" s="783">
        <v>90</v>
      </c>
      <c r="AV28" s="785">
        <v>8.3333333333333329E-2</v>
      </c>
      <c r="AW28" s="779">
        <v>3000</v>
      </c>
      <c r="AX28" s="779">
        <v>0</v>
      </c>
      <c r="AY28" s="779">
        <v>0</v>
      </c>
      <c r="AZ28" s="779">
        <v>0</v>
      </c>
      <c r="BA28" s="779">
        <v>1</v>
      </c>
      <c r="BB28" s="786">
        <v>0.14120370370370369</v>
      </c>
      <c r="BC28" s="787">
        <v>36000</v>
      </c>
      <c r="BD28" s="778">
        <v>350</v>
      </c>
      <c r="BE28" s="779">
        <v>99</v>
      </c>
      <c r="BF28" s="779">
        <f t="shared" si="4"/>
        <v>171</v>
      </c>
      <c r="BG28" s="783">
        <f t="shared" si="5"/>
        <v>-179</v>
      </c>
      <c r="BH28" s="784">
        <v>3</v>
      </c>
      <c r="BI28" s="779">
        <v>1050</v>
      </c>
      <c r="BJ28" s="779">
        <v>4200</v>
      </c>
      <c r="BK28" s="779">
        <v>26</v>
      </c>
      <c r="BL28" s="783">
        <v>105</v>
      </c>
      <c r="BM28" s="785">
        <v>0.5</v>
      </c>
      <c r="BN28" s="779">
        <v>6000</v>
      </c>
      <c r="BO28" s="779">
        <v>1</v>
      </c>
      <c r="BP28" s="779">
        <v>0</v>
      </c>
      <c r="BQ28" s="779">
        <v>0</v>
      </c>
      <c r="BR28" s="779">
        <v>13</v>
      </c>
      <c r="BS28" s="786">
        <v>0.25595238095238099</v>
      </c>
      <c r="BT28" s="787">
        <v>12000</v>
      </c>
      <c r="BU28" s="778">
        <v>380</v>
      </c>
      <c r="BV28" s="779">
        <v>108</v>
      </c>
      <c r="BW28" s="779">
        <f t="shared" si="6"/>
        <v>187</v>
      </c>
      <c r="BX28" s="783">
        <f t="shared" si="7"/>
        <v>-193</v>
      </c>
      <c r="BY28" s="784">
        <v>3</v>
      </c>
      <c r="BZ28" s="779">
        <v>1140</v>
      </c>
      <c r="CA28" s="779">
        <v>4560</v>
      </c>
      <c r="CB28" s="779">
        <v>28</v>
      </c>
      <c r="CC28" s="783">
        <v>114</v>
      </c>
      <c r="CD28" s="785">
        <v>1</v>
      </c>
      <c r="CE28" s="779">
        <v>9000</v>
      </c>
      <c r="CF28" s="779">
        <v>0</v>
      </c>
      <c r="CG28" s="779">
        <v>0</v>
      </c>
      <c r="CH28" s="779">
        <v>0</v>
      </c>
      <c r="CI28" s="779">
        <v>28</v>
      </c>
      <c r="CJ28" s="786">
        <v>0.36732456140350878</v>
      </c>
      <c r="CK28" s="787">
        <v>9000</v>
      </c>
      <c r="CL28" s="778">
        <v>400</v>
      </c>
      <c r="CM28" s="779">
        <v>114</v>
      </c>
      <c r="CN28" s="779">
        <f t="shared" si="8"/>
        <v>197</v>
      </c>
      <c r="CO28" s="783">
        <f t="shared" si="9"/>
        <v>-203</v>
      </c>
      <c r="CP28" s="784">
        <v>3</v>
      </c>
      <c r="CQ28" s="779">
        <v>1200</v>
      </c>
      <c r="CR28" s="779">
        <v>4800</v>
      </c>
      <c r="CS28" s="779">
        <v>30</v>
      </c>
      <c r="CT28" s="783">
        <v>120</v>
      </c>
      <c r="CU28" s="785">
        <v>2</v>
      </c>
      <c r="CV28" s="779">
        <v>15000</v>
      </c>
      <c r="CW28" s="779">
        <v>0</v>
      </c>
      <c r="CX28" s="779">
        <v>1</v>
      </c>
      <c r="CY28" s="779">
        <v>0</v>
      </c>
      <c r="CZ28" s="779">
        <v>40</v>
      </c>
      <c r="DA28" s="786">
        <v>0.6</v>
      </c>
      <c r="DB28" s="787">
        <v>7500</v>
      </c>
      <c r="DC28" s="788">
        <v>3.5841666666666665</v>
      </c>
      <c r="DD28" s="779">
        <v>33500</v>
      </c>
      <c r="DE28" s="789">
        <v>1</v>
      </c>
      <c r="DF28" s="789">
        <v>1</v>
      </c>
      <c r="DG28" s="789">
        <v>0</v>
      </c>
      <c r="DH28" s="779">
        <v>87</v>
      </c>
      <c r="DI28" s="786">
        <v>1.1631944444444444</v>
      </c>
      <c r="DJ28" s="787">
        <v>9346.6635666124166</v>
      </c>
      <c r="DK28" s="790">
        <v>1</v>
      </c>
      <c r="DL28" s="791" t="s">
        <v>43</v>
      </c>
      <c r="DM28" s="792"/>
      <c r="DN28" s="793"/>
      <c r="DO28" s="794"/>
      <c r="DP28" s="794"/>
      <c r="DQ28" s="794"/>
      <c r="DR28" s="794"/>
      <c r="DS28" s="794"/>
      <c r="DT28" s="794"/>
      <c r="DU28" s="794"/>
      <c r="DV28" s="794"/>
      <c r="DW28" s="794"/>
      <c r="DX28" s="795"/>
      <c r="DY28" s="796" t="s">
        <v>43</v>
      </c>
      <c r="DZ28" s="797">
        <v>1</v>
      </c>
      <c r="EA28" s="776">
        <v>3</v>
      </c>
      <c r="EB28" s="776">
        <v>7</v>
      </c>
      <c r="EC28" s="798">
        <v>21</v>
      </c>
      <c r="ED28" s="799"/>
      <c r="EE28" s="779"/>
      <c r="EF28" s="779"/>
      <c r="EG28" s="779"/>
      <c r="EH28" s="783"/>
      <c r="EI28" s="800"/>
      <c r="EJ28" s="801"/>
    </row>
    <row r="29" spans="2:140">
      <c r="B29" s="1126" t="s">
        <v>61</v>
      </c>
      <c r="C29" s="765" t="s">
        <v>48</v>
      </c>
      <c r="D29" s="766"/>
      <c r="E29" s="767" t="s">
        <v>43</v>
      </c>
      <c r="F29" s="768"/>
      <c r="G29" s="769"/>
      <c r="H29" s="770">
        <v>1</v>
      </c>
      <c r="I29" s="771" t="s">
        <v>268</v>
      </c>
      <c r="J29" s="772">
        <v>5</v>
      </c>
      <c r="K29" s="773">
        <v>2.5000000000000001E-2</v>
      </c>
      <c r="L29" s="774">
        <v>3.5820895522388061</v>
      </c>
      <c r="M29" s="775">
        <v>30</v>
      </c>
      <c r="N29" s="768">
        <v>18</v>
      </c>
      <c r="O29" s="776" t="s">
        <v>47</v>
      </c>
      <c r="P29" s="777" t="s">
        <v>98</v>
      </c>
      <c r="Q29" s="778">
        <v>240</v>
      </c>
      <c r="R29" s="779">
        <v>67</v>
      </c>
      <c r="S29" s="780">
        <v>3600</v>
      </c>
      <c r="T29" s="781" t="s">
        <v>346</v>
      </c>
      <c r="U29" s="782" t="s">
        <v>47</v>
      </c>
      <c r="V29" s="778">
        <v>240</v>
      </c>
      <c r="W29" s="779">
        <v>67</v>
      </c>
      <c r="X29" s="779">
        <f t="shared" si="0"/>
        <v>116</v>
      </c>
      <c r="Y29" s="783">
        <f t="shared" si="1"/>
        <v>-124</v>
      </c>
      <c r="Z29" s="784">
        <v>3</v>
      </c>
      <c r="AA29" s="779">
        <v>720</v>
      </c>
      <c r="AB29" s="779">
        <v>3600</v>
      </c>
      <c r="AC29" s="779">
        <v>18</v>
      </c>
      <c r="AD29" s="783">
        <v>90</v>
      </c>
      <c r="AE29" s="785">
        <v>3</v>
      </c>
      <c r="AF29" s="779">
        <v>6000</v>
      </c>
      <c r="AG29" s="779">
        <v>0</v>
      </c>
      <c r="AH29" s="779">
        <v>0</v>
      </c>
      <c r="AI29" s="779">
        <v>0</v>
      </c>
      <c r="AJ29" s="779">
        <v>54</v>
      </c>
      <c r="AK29" s="786">
        <v>0.34722222222222227</v>
      </c>
      <c r="AL29" s="787">
        <v>2000</v>
      </c>
      <c r="AM29" s="778">
        <v>360</v>
      </c>
      <c r="AN29" s="779">
        <v>100</v>
      </c>
      <c r="AO29" s="779">
        <f t="shared" si="2"/>
        <v>173</v>
      </c>
      <c r="AP29" s="783">
        <f t="shared" si="3"/>
        <v>-187</v>
      </c>
      <c r="AQ29" s="784">
        <v>3</v>
      </c>
      <c r="AR29" s="779">
        <v>1080</v>
      </c>
      <c r="AS29" s="779">
        <v>5400</v>
      </c>
      <c r="AT29" s="779">
        <v>27</v>
      </c>
      <c r="AU29" s="783">
        <v>135</v>
      </c>
      <c r="AV29" s="785">
        <v>0.75</v>
      </c>
      <c r="AW29" s="779">
        <v>5000</v>
      </c>
      <c r="AX29" s="779">
        <v>0</v>
      </c>
      <c r="AY29" s="779">
        <v>0</v>
      </c>
      <c r="AZ29" s="779">
        <v>0</v>
      </c>
      <c r="BA29" s="779">
        <v>20</v>
      </c>
      <c r="BB29" s="786">
        <v>0.21373456790123457</v>
      </c>
      <c r="BC29" s="787">
        <v>6666</v>
      </c>
      <c r="BD29" s="778">
        <v>420</v>
      </c>
      <c r="BE29" s="779">
        <v>117</v>
      </c>
      <c r="BF29" s="779">
        <f t="shared" si="4"/>
        <v>202</v>
      </c>
      <c r="BG29" s="783">
        <f t="shared" si="5"/>
        <v>-218</v>
      </c>
      <c r="BH29" s="784">
        <v>3</v>
      </c>
      <c r="BI29" s="779">
        <v>1260</v>
      </c>
      <c r="BJ29" s="779">
        <v>6300</v>
      </c>
      <c r="BK29" s="779">
        <v>31</v>
      </c>
      <c r="BL29" s="783">
        <v>157</v>
      </c>
      <c r="BM29" s="785">
        <v>2</v>
      </c>
      <c r="BN29" s="779">
        <v>10000</v>
      </c>
      <c r="BO29" s="779">
        <v>1</v>
      </c>
      <c r="BP29" s="779">
        <v>0</v>
      </c>
      <c r="BQ29" s="779">
        <v>0</v>
      </c>
      <c r="BR29" s="779">
        <v>47</v>
      </c>
      <c r="BS29" s="786">
        <v>0.40211640211640209</v>
      </c>
      <c r="BT29" s="787">
        <v>5000</v>
      </c>
      <c r="BU29" s="778">
        <v>456</v>
      </c>
      <c r="BV29" s="779">
        <v>127</v>
      </c>
      <c r="BW29" s="779">
        <f t="shared" si="6"/>
        <v>220</v>
      </c>
      <c r="BX29" s="783">
        <f t="shared" si="7"/>
        <v>-236</v>
      </c>
      <c r="BY29" s="784">
        <v>3</v>
      </c>
      <c r="BZ29" s="779">
        <v>1368</v>
      </c>
      <c r="CA29" s="779">
        <v>6840</v>
      </c>
      <c r="CB29" s="779">
        <v>34</v>
      </c>
      <c r="CC29" s="783">
        <v>171</v>
      </c>
      <c r="CD29" s="785">
        <v>3</v>
      </c>
      <c r="CE29" s="779">
        <v>15000</v>
      </c>
      <c r="CF29" s="779">
        <v>0</v>
      </c>
      <c r="CG29" s="779">
        <v>0</v>
      </c>
      <c r="CH29" s="779">
        <v>0</v>
      </c>
      <c r="CI29" s="779">
        <v>76</v>
      </c>
      <c r="CJ29" s="786">
        <v>0.57200292397660812</v>
      </c>
      <c r="CK29" s="787">
        <v>5000</v>
      </c>
      <c r="CL29" s="778">
        <v>480</v>
      </c>
      <c r="CM29" s="779">
        <v>134</v>
      </c>
      <c r="CN29" s="779">
        <f t="shared" si="8"/>
        <v>232</v>
      </c>
      <c r="CO29" s="783">
        <f t="shared" si="9"/>
        <v>-248</v>
      </c>
      <c r="CP29" s="784">
        <v>3</v>
      </c>
      <c r="CQ29" s="779">
        <v>1440</v>
      </c>
      <c r="CR29" s="779">
        <v>7200</v>
      </c>
      <c r="CS29" s="779">
        <v>36</v>
      </c>
      <c r="CT29" s="783">
        <v>180</v>
      </c>
      <c r="CU29" s="785">
        <v>3</v>
      </c>
      <c r="CV29" s="779">
        <v>20000</v>
      </c>
      <c r="CW29" s="779">
        <v>0</v>
      </c>
      <c r="CX29" s="779">
        <v>1</v>
      </c>
      <c r="CY29" s="779">
        <v>0</v>
      </c>
      <c r="CZ29" s="779">
        <v>108</v>
      </c>
      <c r="DA29" s="786">
        <v>0.69745370370370363</v>
      </c>
      <c r="DB29" s="787">
        <v>6666</v>
      </c>
      <c r="DC29" s="788">
        <v>11.75</v>
      </c>
      <c r="DD29" s="779">
        <v>56000</v>
      </c>
      <c r="DE29" s="789">
        <v>1</v>
      </c>
      <c r="DF29" s="789">
        <v>1</v>
      </c>
      <c r="DG29" s="789">
        <v>0</v>
      </c>
      <c r="DH29" s="779">
        <v>305</v>
      </c>
      <c r="DI29" s="786">
        <v>1.6203703703703702</v>
      </c>
      <c r="DJ29" s="787">
        <v>4765.9574468085102</v>
      </c>
      <c r="DK29" s="790">
        <v>3</v>
      </c>
      <c r="DL29" s="791" t="s">
        <v>43</v>
      </c>
      <c r="DM29" s="792"/>
      <c r="DN29" s="793"/>
      <c r="DO29" s="794"/>
      <c r="DP29" s="794"/>
      <c r="DQ29" s="794"/>
      <c r="DR29" s="794"/>
      <c r="DS29" s="794"/>
      <c r="DT29" s="794"/>
      <c r="DU29" s="794"/>
      <c r="DV29" s="794"/>
      <c r="DW29" s="794"/>
      <c r="DX29" s="795"/>
      <c r="DY29" s="796" t="s">
        <v>43</v>
      </c>
      <c r="DZ29" s="797">
        <v>7</v>
      </c>
      <c r="EA29" s="776">
        <v>7</v>
      </c>
      <c r="EB29" s="776">
        <v>17</v>
      </c>
      <c r="EC29" s="798">
        <v>27</v>
      </c>
      <c r="ED29" s="799"/>
      <c r="EE29" s="779"/>
      <c r="EF29" s="779"/>
      <c r="EG29" s="779"/>
      <c r="EH29" s="783"/>
      <c r="EI29" s="800"/>
      <c r="EJ29" s="801"/>
    </row>
    <row r="30" spans="2:140">
      <c r="B30" s="1126" t="s">
        <v>53</v>
      </c>
      <c r="C30" s="765" t="s">
        <v>48</v>
      </c>
      <c r="D30" s="766"/>
      <c r="E30" s="767" t="s">
        <v>43</v>
      </c>
      <c r="F30" s="768"/>
      <c r="G30" s="769"/>
      <c r="H30" s="770">
        <v>2</v>
      </c>
      <c r="I30" s="771" t="s">
        <v>268</v>
      </c>
      <c r="J30" s="772">
        <v>6</v>
      </c>
      <c r="K30" s="773">
        <v>2.5000000000000001E-2</v>
      </c>
      <c r="L30" s="774">
        <v>3.6363636363636362</v>
      </c>
      <c r="M30" s="775">
        <v>30</v>
      </c>
      <c r="N30" s="768">
        <v>26</v>
      </c>
      <c r="O30" s="776" t="s">
        <v>47</v>
      </c>
      <c r="P30" s="777" t="s">
        <v>98</v>
      </c>
      <c r="Q30" s="778">
        <v>280</v>
      </c>
      <c r="R30" s="779">
        <v>77</v>
      </c>
      <c r="S30" s="780">
        <v>5040</v>
      </c>
      <c r="T30" s="781" t="s">
        <v>347</v>
      </c>
      <c r="U30" s="782" t="s">
        <v>47</v>
      </c>
      <c r="V30" s="778">
        <v>280</v>
      </c>
      <c r="W30" s="779">
        <v>77</v>
      </c>
      <c r="X30" s="779">
        <f t="shared" si="0"/>
        <v>133</v>
      </c>
      <c r="Y30" s="783">
        <f t="shared" si="1"/>
        <v>-147</v>
      </c>
      <c r="Z30" s="784">
        <v>3</v>
      </c>
      <c r="AA30" s="779">
        <v>840</v>
      </c>
      <c r="AB30" s="779">
        <v>5040</v>
      </c>
      <c r="AC30" s="779">
        <v>21</v>
      </c>
      <c r="AD30" s="783">
        <v>126</v>
      </c>
      <c r="AE30" s="785">
        <v>10</v>
      </c>
      <c r="AF30" s="779">
        <v>40000</v>
      </c>
      <c r="AG30" s="779">
        <v>0</v>
      </c>
      <c r="AH30" s="779">
        <v>0</v>
      </c>
      <c r="AI30" s="779">
        <v>0</v>
      </c>
      <c r="AJ30" s="779">
        <v>210</v>
      </c>
      <c r="AK30" s="786">
        <v>1.9841269841269842</v>
      </c>
      <c r="AL30" s="787">
        <v>4000</v>
      </c>
      <c r="AM30" s="778">
        <v>420</v>
      </c>
      <c r="AN30" s="779">
        <v>115</v>
      </c>
      <c r="AO30" s="779">
        <f t="shared" si="2"/>
        <v>199</v>
      </c>
      <c r="AP30" s="783">
        <f t="shared" si="3"/>
        <v>-221</v>
      </c>
      <c r="AQ30" s="784">
        <v>3</v>
      </c>
      <c r="AR30" s="779">
        <v>1260</v>
      </c>
      <c r="AS30" s="779">
        <v>7560</v>
      </c>
      <c r="AT30" s="779">
        <v>31</v>
      </c>
      <c r="AU30" s="783">
        <v>189</v>
      </c>
      <c r="AV30" s="785">
        <v>3</v>
      </c>
      <c r="AW30" s="779">
        <v>40000</v>
      </c>
      <c r="AX30" s="779">
        <v>0</v>
      </c>
      <c r="AY30" s="779">
        <v>0</v>
      </c>
      <c r="AZ30" s="779">
        <v>0</v>
      </c>
      <c r="BA30" s="779">
        <v>78</v>
      </c>
      <c r="BB30" s="786">
        <v>1.406084656084656</v>
      </c>
      <c r="BC30" s="787">
        <v>13333</v>
      </c>
      <c r="BD30" s="778">
        <v>490</v>
      </c>
      <c r="BE30" s="779">
        <v>134</v>
      </c>
      <c r="BF30" s="779">
        <f t="shared" si="4"/>
        <v>232</v>
      </c>
      <c r="BG30" s="783">
        <f t="shared" si="5"/>
        <v>-258</v>
      </c>
      <c r="BH30" s="784">
        <v>3</v>
      </c>
      <c r="BI30" s="779">
        <v>1470</v>
      </c>
      <c r="BJ30" s="779">
        <v>8820</v>
      </c>
      <c r="BK30" s="779">
        <v>36</v>
      </c>
      <c r="BL30" s="783">
        <v>220</v>
      </c>
      <c r="BM30" s="785">
        <v>5</v>
      </c>
      <c r="BN30" s="779">
        <v>60000</v>
      </c>
      <c r="BO30" s="779">
        <v>1</v>
      </c>
      <c r="BP30" s="779">
        <v>0</v>
      </c>
      <c r="BQ30" s="779">
        <v>0</v>
      </c>
      <c r="BR30" s="779">
        <v>183</v>
      </c>
      <c r="BS30" s="786">
        <v>1.879251700680272</v>
      </c>
      <c r="BT30" s="787">
        <v>12000</v>
      </c>
      <c r="BU30" s="778">
        <v>532</v>
      </c>
      <c r="BV30" s="779">
        <v>146</v>
      </c>
      <c r="BW30" s="779">
        <f t="shared" si="6"/>
        <v>252</v>
      </c>
      <c r="BX30" s="783">
        <f t="shared" si="7"/>
        <v>-280</v>
      </c>
      <c r="BY30" s="784">
        <v>3</v>
      </c>
      <c r="BZ30" s="779">
        <v>1596</v>
      </c>
      <c r="CA30" s="779">
        <v>9576</v>
      </c>
      <c r="CB30" s="779">
        <v>39</v>
      </c>
      <c r="CC30" s="783">
        <v>239</v>
      </c>
      <c r="CD30" s="785">
        <v>8</v>
      </c>
      <c r="CE30" s="779">
        <v>80000</v>
      </c>
      <c r="CF30" s="779">
        <v>0</v>
      </c>
      <c r="CG30" s="779">
        <v>0</v>
      </c>
      <c r="CH30" s="779">
        <v>0</v>
      </c>
      <c r="CI30" s="779">
        <v>299</v>
      </c>
      <c r="CJ30" s="786">
        <v>2.3955722639933166</v>
      </c>
      <c r="CK30" s="787">
        <v>10000</v>
      </c>
      <c r="CL30" s="778">
        <v>560</v>
      </c>
      <c r="CM30" s="779">
        <v>154</v>
      </c>
      <c r="CN30" s="779">
        <f t="shared" si="8"/>
        <v>266</v>
      </c>
      <c r="CO30" s="783">
        <f t="shared" si="9"/>
        <v>-294</v>
      </c>
      <c r="CP30" s="784">
        <v>3</v>
      </c>
      <c r="CQ30" s="779">
        <v>1680</v>
      </c>
      <c r="CR30" s="779">
        <v>10080</v>
      </c>
      <c r="CS30" s="779">
        <v>42</v>
      </c>
      <c r="CT30" s="783">
        <v>252</v>
      </c>
      <c r="CU30" s="785">
        <v>10</v>
      </c>
      <c r="CV30" s="779">
        <v>100000</v>
      </c>
      <c r="CW30" s="779">
        <v>0</v>
      </c>
      <c r="CX30" s="779">
        <v>1</v>
      </c>
      <c r="CY30" s="779">
        <v>0</v>
      </c>
      <c r="CZ30" s="779">
        <v>420</v>
      </c>
      <c r="DA30" s="786">
        <v>2.8759920634920633</v>
      </c>
      <c r="DB30" s="787">
        <v>10000</v>
      </c>
      <c r="DC30" s="788">
        <v>36</v>
      </c>
      <c r="DD30" s="779">
        <v>320000</v>
      </c>
      <c r="DE30" s="789">
        <v>1</v>
      </c>
      <c r="DF30" s="789">
        <v>1</v>
      </c>
      <c r="DG30" s="789">
        <v>0</v>
      </c>
      <c r="DH30" s="779">
        <v>1190</v>
      </c>
      <c r="DI30" s="786">
        <v>7.9365079365079367</v>
      </c>
      <c r="DJ30" s="787">
        <v>8888.8888888888887</v>
      </c>
      <c r="DK30" s="790">
        <v>10</v>
      </c>
      <c r="DL30" s="791" t="s">
        <v>43</v>
      </c>
      <c r="DM30" s="792"/>
      <c r="DN30" s="793"/>
      <c r="DO30" s="794"/>
      <c r="DP30" s="794"/>
      <c r="DQ30" s="794"/>
      <c r="DR30" s="794"/>
      <c r="DS30" s="794"/>
      <c r="DT30" s="794"/>
      <c r="DU30" s="794"/>
      <c r="DV30" s="794"/>
      <c r="DW30" s="794"/>
      <c r="DX30" s="795"/>
      <c r="DY30" s="796" t="s">
        <v>43</v>
      </c>
      <c r="DZ30" s="797">
        <v>12</v>
      </c>
      <c r="EA30" s="776">
        <v>12</v>
      </c>
      <c r="EB30" s="776">
        <v>22</v>
      </c>
      <c r="EC30" s="798">
        <v>32</v>
      </c>
      <c r="ED30" s="799"/>
      <c r="EE30" s="779"/>
      <c r="EF30" s="779"/>
      <c r="EG30" s="779"/>
      <c r="EH30" s="783"/>
      <c r="EI30" s="800"/>
      <c r="EJ30" s="801"/>
    </row>
    <row r="31" spans="2:140">
      <c r="B31" s="1126" t="s">
        <v>82</v>
      </c>
      <c r="C31" s="765" t="s">
        <v>48</v>
      </c>
      <c r="D31" s="766"/>
      <c r="E31" s="767" t="s">
        <v>43</v>
      </c>
      <c r="F31" s="768"/>
      <c r="G31" s="769"/>
      <c r="H31" s="770">
        <v>3</v>
      </c>
      <c r="I31" s="771" t="s">
        <v>268</v>
      </c>
      <c r="J31" s="772">
        <v>7</v>
      </c>
      <c r="K31" s="773">
        <v>2.5000000000000001E-2</v>
      </c>
      <c r="L31" s="774">
        <v>3.7647058823529411</v>
      </c>
      <c r="M31" s="775">
        <v>30</v>
      </c>
      <c r="N31" s="768">
        <v>36</v>
      </c>
      <c r="O31" s="776" t="s">
        <v>47</v>
      </c>
      <c r="P31" s="777" t="s">
        <v>98</v>
      </c>
      <c r="Q31" s="778">
        <v>320</v>
      </c>
      <c r="R31" s="779">
        <v>85</v>
      </c>
      <c r="S31" s="780">
        <v>8960</v>
      </c>
      <c r="T31" s="781" t="s">
        <v>348</v>
      </c>
      <c r="U31" s="782" t="s">
        <v>47</v>
      </c>
      <c r="V31" s="778">
        <v>320</v>
      </c>
      <c r="W31" s="779">
        <v>85</v>
      </c>
      <c r="X31" s="779">
        <f t="shared" si="0"/>
        <v>147</v>
      </c>
      <c r="Y31" s="783">
        <f t="shared" si="1"/>
        <v>-173</v>
      </c>
      <c r="Z31" s="784">
        <v>4</v>
      </c>
      <c r="AA31" s="779">
        <v>1280</v>
      </c>
      <c r="AB31" s="779">
        <v>8960</v>
      </c>
      <c r="AC31" s="779">
        <v>32</v>
      </c>
      <c r="AD31" s="783">
        <v>224</v>
      </c>
      <c r="AE31" s="785">
        <v>48</v>
      </c>
      <c r="AF31" s="779">
        <v>250000</v>
      </c>
      <c r="AG31" s="779">
        <v>0</v>
      </c>
      <c r="AH31" s="779">
        <v>0</v>
      </c>
      <c r="AI31" s="779">
        <v>0</v>
      </c>
      <c r="AJ31" s="779">
        <v>1536</v>
      </c>
      <c r="AK31" s="786">
        <v>8.1380208333333339</v>
      </c>
      <c r="AL31" s="787">
        <v>5208</v>
      </c>
      <c r="AM31" s="778">
        <v>480</v>
      </c>
      <c r="AN31" s="779">
        <v>127</v>
      </c>
      <c r="AO31" s="779">
        <f t="shared" si="2"/>
        <v>220</v>
      </c>
      <c r="AP31" s="783">
        <f t="shared" si="3"/>
        <v>-260</v>
      </c>
      <c r="AQ31" s="784">
        <v>4</v>
      </c>
      <c r="AR31" s="779">
        <v>1920</v>
      </c>
      <c r="AS31" s="779">
        <v>13440</v>
      </c>
      <c r="AT31" s="779">
        <v>48</v>
      </c>
      <c r="AU31" s="783">
        <v>336</v>
      </c>
      <c r="AV31" s="785">
        <v>12</v>
      </c>
      <c r="AW31" s="779">
        <v>250000</v>
      </c>
      <c r="AX31" s="779">
        <v>0</v>
      </c>
      <c r="AY31" s="779">
        <v>0</v>
      </c>
      <c r="AZ31" s="779">
        <v>0</v>
      </c>
      <c r="BA31" s="779">
        <v>576</v>
      </c>
      <c r="BB31" s="786">
        <v>5.7586805555555562</v>
      </c>
      <c r="BC31" s="787">
        <v>20833</v>
      </c>
      <c r="BD31" s="778">
        <v>560</v>
      </c>
      <c r="BE31" s="779">
        <v>148</v>
      </c>
      <c r="BF31" s="779">
        <f t="shared" si="4"/>
        <v>256</v>
      </c>
      <c r="BG31" s="783">
        <f t="shared" si="5"/>
        <v>-304</v>
      </c>
      <c r="BH31" s="784">
        <v>4</v>
      </c>
      <c r="BI31" s="779">
        <v>2240</v>
      </c>
      <c r="BJ31" s="779">
        <v>15680</v>
      </c>
      <c r="BK31" s="779">
        <v>56</v>
      </c>
      <c r="BL31" s="783">
        <v>392</v>
      </c>
      <c r="BM31" s="785">
        <v>24</v>
      </c>
      <c r="BN31" s="779">
        <v>375000</v>
      </c>
      <c r="BO31" s="779">
        <v>1</v>
      </c>
      <c r="BP31" s="779">
        <v>0</v>
      </c>
      <c r="BQ31" s="779">
        <v>0</v>
      </c>
      <c r="BR31" s="779">
        <v>1344</v>
      </c>
      <c r="BS31" s="786">
        <v>7.8325892857142856</v>
      </c>
      <c r="BT31" s="787">
        <v>15625</v>
      </c>
      <c r="BU31" s="778">
        <v>608</v>
      </c>
      <c r="BV31" s="779">
        <v>161</v>
      </c>
      <c r="BW31" s="779">
        <f t="shared" si="6"/>
        <v>278</v>
      </c>
      <c r="BX31" s="783">
        <f t="shared" si="7"/>
        <v>-330</v>
      </c>
      <c r="BY31" s="784">
        <v>4</v>
      </c>
      <c r="BZ31" s="779">
        <v>2432</v>
      </c>
      <c r="CA31" s="779">
        <v>17024</v>
      </c>
      <c r="CB31" s="779">
        <v>60</v>
      </c>
      <c r="CC31" s="783">
        <v>425</v>
      </c>
      <c r="CD31" s="785">
        <v>36</v>
      </c>
      <c r="CE31" s="779">
        <v>500000</v>
      </c>
      <c r="CF31" s="779">
        <v>0</v>
      </c>
      <c r="CG31" s="779">
        <v>0</v>
      </c>
      <c r="CH31" s="779">
        <v>0</v>
      </c>
      <c r="CI31" s="779">
        <v>2188</v>
      </c>
      <c r="CJ31" s="786">
        <v>9.9479166666666661</v>
      </c>
      <c r="CK31" s="787">
        <v>13888</v>
      </c>
      <c r="CL31" s="778">
        <v>640</v>
      </c>
      <c r="CM31" s="779">
        <v>170</v>
      </c>
      <c r="CN31" s="779">
        <f t="shared" si="8"/>
        <v>294</v>
      </c>
      <c r="CO31" s="783">
        <f t="shared" si="9"/>
        <v>-346</v>
      </c>
      <c r="CP31" s="784">
        <v>4</v>
      </c>
      <c r="CQ31" s="779">
        <v>2560</v>
      </c>
      <c r="CR31" s="779">
        <v>17920</v>
      </c>
      <c r="CS31" s="779">
        <v>64</v>
      </c>
      <c r="CT31" s="783">
        <v>448</v>
      </c>
      <c r="CU31" s="785">
        <v>48</v>
      </c>
      <c r="CV31" s="779">
        <v>625000</v>
      </c>
      <c r="CW31" s="779">
        <v>0</v>
      </c>
      <c r="CX31" s="779">
        <v>1</v>
      </c>
      <c r="CY31" s="779">
        <v>0</v>
      </c>
      <c r="CZ31" s="779">
        <v>3072</v>
      </c>
      <c r="DA31" s="786">
        <v>12.072526041666668</v>
      </c>
      <c r="DB31" s="787">
        <v>13020</v>
      </c>
      <c r="DC31" s="788">
        <v>168</v>
      </c>
      <c r="DD31" s="779">
        <v>2000000</v>
      </c>
      <c r="DE31" s="789">
        <v>1</v>
      </c>
      <c r="DF31" s="789">
        <v>1</v>
      </c>
      <c r="DG31" s="789">
        <v>0</v>
      </c>
      <c r="DH31" s="779">
        <v>8716</v>
      </c>
      <c r="DI31" s="786">
        <v>32.552083333333336</v>
      </c>
      <c r="DJ31" s="787">
        <v>11904.761904761905</v>
      </c>
      <c r="DK31" s="790">
        <v>46</v>
      </c>
      <c r="DL31" s="791" t="s">
        <v>43</v>
      </c>
      <c r="DM31" s="792"/>
      <c r="DN31" s="793"/>
      <c r="DO31" s="794"/>
      <c r="DP31" s="794"/>
      <c r="DQ31" s="794"/>
      <c r="DR31" s="794"/>
      <c r="DS31" s="794"/>
      <c r="DT31" s="794"/>
      <c r="DU31" s="794"/>
      <c r="DV31" s="794"/>
      <c r="DW31" s="794"/>
      <c r="DX31" s="795"/>
      <c r="DY31" s="796" t="s">
        <v>43</v>
      </c>
      <c r="DZ31" s="797">
        <v>20</v>
      </c>
      <c r="EA31" s="776">
        <v>20</v>
      </c>
      <c r="EB31" s="776">
        <v>30</v>
      </c>
      <c r="EC31" s="798">
        <v>40</v>
      </c>
      <c r="ED31" s="799"/>
      <c r="EE31" s="779"/>
      <c r="EF31" s="779"/>
      <c r="EG31" s="779"/>
      <c r="EH31" s="783"/>
      <c r="EI31" s="800"/>
      <c r="EJ31" s="801"/>
    </row>
    <row r="32" spans="2:140">
      <c r="B32" s="1126" t="s">
        <v>80</v>
      </c>
      <c r="C32" s="765" t="s">
        <v>48</v>
      </c>
      <c r="D32" s="766" t="s">
        <v>43</v>
      </c>
      <c r="E32" s="767" t="s">
        <v>43</v>
      </c>
      <c r="F32" s="768"/>
      <c r="G32" s="769"/>
      <c r="H32" s="770">
        <v>4</v>
      </c>
      <c r="I32" s="771" t="s">
        <v>268</v>
      </c>
      <c r="J32" s="772">
        <v>8</v>
      </c>
      <c r="K32" s="773">
        <v>2.5000000000000001E-2</v>
      </c>
      <c r="L32" s="774">
        <v>4.3428571428571425</v>
      </c>
      <c r="M32" s="775">
        <v>30</v>
      </c>
      <c r="N32" s="768">
        <v>48</v>
      </c>
      <c r="O32" s="776" t="s">
        <v>47</v>
      </c>
      <c r="P32" s="777" t="s">
        <v>98</v>
      </c>
      <c r="Q32" s="778">
        <v>760</v>
      </c>
      <c r="R32" s="779">
        <v>175</v>
      </c>
      <c r="S32" s="780">
        <v>48640</v>
      </c>
      <c r="T32" s="781" t="s">
        <v>349</v>
      </c>
      <c r="U32" s="782" t="s">
        <v>47</v>
      </c>
      <c r="V32" s="778">
        <v>760</v>
      </c>
      <c r="W32" s="779">
        <v>175</v>
      </c>
      <c r="X32" s="779">
        <f t="shared" si="0"/>
        <v>303</v>
      </c>
      <c r="Y32" s="783">
        <f t="shared" si="1"/>
        <v>-457</v>
      </c>
      <c r="Z32" s="784">
        <v>8</v>
      </c>
      <c r="AA32" s="779">
        <v>6080</v>
      </c>
      <c r="AB32" s="779">
        <v>48640</v>
      </c>
      <c r="AC32" s="779">
        <v>152</v>
      </c>
      <c r="AD32" s="783">
        <v>1216</v>
      </c>
      <c r="AE32" s="785">
        <v>120</v>
      </c>
      <c r="AF32" s="779">
        <v>3000000</v>
      </c>
      <c r="AG32" s="779">
        <v>0</v>
      </c>
      <c r="AH32" s="779">
        <v>0</v>
      </c>
      <c r="AI32" s="779">
        <v>0</v>
      </c>
      <c r="AJ32" s="779">
        <v>10000</v>
      </c>
      <c r="AK32" s="786">
        <v>20.559210526315791</v>
      </c>
      <c r="AL32" s="787">
        <v>25000</v>
      </c>
      <c r="AM32" s="778">
        <v>1140</v>
      </c>
      <c r="AN32" s="779">
        <v>262</v>
      </c>
      <c r="AO32" s="779">
        <f t="shared" si="2"/>
        <v>453</v>
      </c>
      <c r="AP32" s="783">
        <f t="shared" si="3"/>
        <v>-687</v>
      </c>
      <c r="AQ32" s="784">
        <v>8</v>
      </c>
      <c r="AR32" s="779">
        <v>9120</v>
      </c>
      <c r="AS32" s="779">
        <v>72960</v>
      </c>
      <c r="AT32" s="779">
        <v>228</v>
      </c>
      <c r="AU32" s="783">
        <v>1824</v>
      </c>
      <c r="AV32" s="785">
        <v>30</v>
      </c>
      <c r="AW32" s="779">
        <v>3000000</v>
      </c>
      <c r="AX32" s="779">
        <v>0</v>
      </c>
      <c r="AY32" s="779">
        <v>0</v>
      </c>
      <c r="AZ32" s="779">
        <v>0</v>
      </c>
      <c r="BA32" s="779">
        <v>6840</v>
      </c>
      <c r="BB32" s="786">
        <v>14.539473684210527</v>
      </c>
      <c r="BC32" s="787">
        <v>100000</v>
      </c>
      <c r="BD32" s="778">
        <v>1330</v>
      </c>
      <c r="BE32" s="779">
        <v>306</v>
      </c>
      <c r="BF32" s="779">
        <f t="shared" si="4"/>
        <v>530</v>
      </c>
      <c r="BG32" s="783">
        <f t="shared" si="5"/>
        <v>-800</v>
      </c>
      <c r="BH32" s="784">
        <v>9</v>
      </c>
      <c r="BI32" s="779">
        <v>11970</v>
      </c>
      <c r="BJ32" s="779">
        <v>95760</v>
      </c>
      <c r="BK32" s="779">
        <v>299</v>
      </c>
      <c r="BL32" s="783">
        <v>2394</v>
      </c>
      <c r="BM32" s="785">
        <v>60</v>
      </c>
      <c r="BN32" s="779">
        <v>4500000</v>
      </c>
      <c r="BO32" s="779">
        <v>1</v>
      </c>
      <c r="BP32" s="779">
        <v>0</v>
      </c>
      <c r="BQ32" s="779">
        <v>0</v>
      </c>
      <c r="BR32" s="779">
        <v>10000</v>
      </c>
      <c r="BS32" s="786">
        <v>17.56892230576441</v>
      </c>
      <c r="BT32" s="787">
        <v>75000</v>
      </c>
      <c r="BU32" s="778">
        <v>1444</v>
      </c>
      <c r="BV32" s="779">
        <v>332</v>
      </c>
      <c r="BW32" s="779">
        <f t="shared" si="6"/>
        <v>575</v>
      </c>
      <c r="BX32" s="783">
        <f t="shared" si="7"/>
        <v>-869</v>
      </c>
      <c r="BY32" s="784">
        <v>9</v>
      </c>
      <c r="BZ32" s="779">
        <v>12996</v>
      </c>
      <c r="CA32" s="779">
        <v>103968</v>
      </c>
      <c r="CB32" s="779">
        <v>324</v>
      </c>
      <c r="CC32" s="783">
        <v>2599</v>
      </c>
      <c r="CD32" s="785">
        <v>90</v>
      </c>
      <c r="CE32" s="779">
        <v>6000000</v>
      </c>
      <c r="CF32" s="779">
        <v>0</v>
      </c>
      <c r="CG32" s="779">
        <v>0</v>
      </c>
      <c r="CH32" s="779">
        <v>0</v>
      </c>
      <c r="CI32" s="779">
        <v>10000</v>
      </c>
      <c r="CJ32" s="786">
        <v>22.690635580178519</v>
      </c>
      <c r="CK32" s="787">
        <v>66666</v>
      </c>
      <c r="CL32" s="778">
        <v>1520</v>
      </c>
      <c r="CM32" s="779">
        <v>350</v>
      </c>
      <c r="CN32" s="779">
        <f t="shared" si="8"/>
        <v>606</v>
      </c>
      <c r="CO32" s="783">
        <f t="shared" si="9"/>
        <v>-914</v>
      </c>
      <c r="CP32" s="784">
        <v>9</v>
      </c>
      <c r="CQ32" s="779">
        <v>13680</v>
      </c>
      <c r="CR32" s="779">
        <v>109440</v>
      </c>
      <c r="CS32" s="779">
        <v>342</v>
      </c>
      <c r="CT32" s="783">
        <v>2736</v>
      </c>
      <c r="CU32" s="785">
        <v>120</v>
      </c>
      <c r="CV32" s="779">
        <v>7500000</v>
      </c>
      <c r="CW32" s="779">
        <v>0</v>
      </c>
      <c r="CX32" s="779">
        <v>1</v>
      </c>
      <c r="CY32" s="779">
        <v>0</v>
      </c>
      <c r="CZ32" s="779">
        <v>10000</v>
      </c>
      <c r="DA32" s="786">
        <v>27.593567251461987</v>
      </c>
      <c r="DB32" s="787">
        <v>62500</v>
      </c>
      <c r="DC32" s="788">
        <v>420</v>
      </c>
      <c r="DD32" s="779">
        <v>24000000</v>
      </c>
      <c r="DE32" s="789">
        <v>1</v>
      </c>
      <c r="DF32" s="789">
        <v>1</v>
      </c>
      <c r="DG32" s="789">
        <v>0</v>
      </c>
      <c r="DH32" s="779">
        <v>46840</v>
      </c>
      <c r="DI32" s="786">
        <v>73.099415204678365</v>
      </c>
      <c r="DJ32" s="787">
        <v>57142.857142857145</v>
      </c>
      <c r="DK32" s="790">
        <v>115</v>
      </c>
      <c r="DL32" s="791" t="s">
        <v>43</v>
      </c>
      <c r="DM32" s="792"/>
      <c r="DN32" s="793"/>
      <c r="DO32" s="794"/>
      <c r="DP32" s="794"/>
      <c r="DQ32" s="794"/>
      <c r="DR32" s="794"/>
      <c r="DS32" s="794"/>
      <c r="DT32" s="794"/>
      <c r="DU32" s="794"/>
      <c r="DV32" s="794"/>
      <c r="DW32" s="794"/>
      <c r="DX32" s="795"/>
      <c r="DY32" s="796" t="s">
        <v>43</v>
      </c>
      <c r="DZ32" s="797">
        <v>35</v>
      </c>
      <c r="EA32" s="776">
        <v>45</v>
      </c>
      <c r="EB32" s="776">
        <v>55</v>
      </c>
      <c r="EC32" s="798">
        <v>65</v>
      </c>
      <c r="ED32" s="799"/>
      <c r="EE32" s="779"/>
      <c r="EF32" s="779"/>
      <c r="EG32" s="779"/>
      <c r="EH32" s="783"/>
      <c r="EI32" s="800"/>
      <c r="EJ32" s="801"/>
    </row>
    <row r="33" spans="2:140">
      <c r="B33" s="1126" t="s">
        <v>108</v>
      </c>
      <c r="C33" s="765" t="s">
        <v>48</v>
      </c>
      <c r="D33" s="766" t="s">
        <v>43</v>
      </c>
      <c r="E33" s="767" t="s">
        <v>43</v>
      </c>
      <c r="F33" s="768"/>
      <c r="G33" s="769"/>
      <c r="H33" s="770">
        <v>4</v>
      </c>
      <c r="I33" s="771" t="s">
        <v>268</v>
      </c>
      <c r="J33" s="772">
        <v>9</v>
      </c>
      <c r="K33" s="773">
        <v>2.5000000000000001E-2</v>
      </c>
      <c r="L33" s="774">
        <v>4.9438202247191008</v>
      </c>
      <c r="M33" s="775">
        <v>30</v>
      </c>
      <c r="N33" s="768">
        <v>64</v>
      </c>
      <c r="O33" s="776" t="s">
        <v>47</v>
      </c>
      <c r="P33" s="777" t="s">
        <v>98</v>
      </c>
      <c r="Q33" s="778">
        <v>880</v>
      </c>
      <c r="R33" s="779">
        <v>178</v>
      </c>
      <c r="S33" s="780">
        <v>71280</v>
      </c>
      <c r="T33" s="781" t="s">
        <v>350</v>
      </c>
      <c r="U33" s="782" t="s">
        <v>47</v>
      </c>
      <c r="V33" s="778">
        <v>880</v>
      </c>
      <c r="W33" s="779">
        <v>178</v>
      </c>
      <c r="X33" s="779">
        <f t="shared" si="0"/>
        <v>308</v>
      </c>
      <c r="Y33" s="783">
        <f t="shared" si="1"/>
        <v>-572</v>
      </c>
      <c r="Z33" s="784">
        <v>9</v>
      </c>
      <c r="AA33" s="779">
        <v>7920</v>
      </c>
      <c r="AB33" s="779">
        <v>71280</v>
      </c>
      <c r="AC33" s="779">
        <v>198</v>
      </c>
      <c r="AD33" s="783">
        <v>1782</v>
      </c>
      <c r="AE33" s="785">
        <v>288</v>
      </c>
      <c r="AF33" s="779">
        <v>15000000</v>
      </c>
      <c r="AG33" s="779">
        <v>0</v>
      </c>
      <c r="AH33" s="779">
        <v>0</v>
      </c>
      <c r="AI33" s="779">
        <v>0</v>
      </c>
      <c r="AJ33" s="779">
        <v>10000</v>
      </c>
      <c r="AK33" s="786">
        <v>78.914141414141412</v>
      </c>
      <c r="AL33" s="787">
        <v>52083</v>
      </c>
      <c r="AM33" s="778">
        <v>1320</v>
      </c>
      <c r="AN33" s="779">
        <v>267</v>
      </c>
      <c r="AO33" s="779">
        <f t="shared" si="2"/>
        <v>462</v>
      </c>
      <c r="AP33" s="783">
        <f t="shared" si="3"/>
        <v>-858</v>
      </c>
      <c r="AQ33" s="784">
        <v>9</v>
      </c>
      <c r="AR33" s="779">
        <v>11880</v>
      </c>
      <c r="AS33" s="779">
        <v>106920</v>
      </c>
      <c r="AT33" s="779">
        <v>297</v>
      </c>
      <c r="AU33" s="783">
        <v>2673</v>
      </c>
      <c r="AV33" s="785">
        <v>72</v>
      </c>
      <c r="AW33" s="779">
        <v>15000000</v>
      </c>
      <c r="AX33" s="779">
        <v>0</v>
      </c>
      <c r="AY33" s="779">
        <v>0</v>
      </c>
      <c r="AZ33" s="779">
        <v>0</v>
      </c>
      <c r="BA33" s="779">
        <v>10000</v>
      </c>
      <c r="BB33" s="786">
        <v>54.609427609427605</v>
      </c>
      <c r="BC33" s="787">
        <v>208333</v>
      </c>
      <c r="BD33" s="778">
        <v>1540</v>
      </c>
      <c r="BE33" s="779">
        <v>311</v>
      </c>
      <c r="BF33" s="779">
        <f t="shared" si="4"/>
        <v>538</v>
      </c>
      <c r="BG33" s="783">
        <f t="shared" si="5"/>
        <v>-1002</v>
      </c>
      <c r="BH33" s="784">
        <v>10</v>
      </c>
      <c r="BI33" s="779">
        <v>15400</v>
      </c>
      <c r="BJ33" s="779">
        <v>138600</v>
      </c>
      <c r="BK33" s="779">
        <v>385</v>
      </c>
      <c r="BL33" s="783">
        <v>3465</v>
      </c>
      <c r="BM33" s="785">
        <v>144</v>
      </c>
      <c r="BN33" s="779">
        <v>22500000</v>
      </c>
      <c r="BO33" s="779">
        <v>1</v>
      </c>
      <c r="BP33" s="779">
        <v>0</v>
      </c>
      <c r="BQ33" s="779">
        <v>0</v>
      </c>
      <c r="BR33" s="779">
        <v>10000</v>
      </c>
      <c r="BS33" s="786">
        <v>65.505194805194805</v>
      </c>
      <c r="BT33" s="787">
        <v>156250</v>
      </c>
      <c r="BU33" s="778">
        <v>1672</v>
      </c>
      <c r="BV33" s="779">
        <v>338</v>
      </c>
      <c r="BW33" s="779">
        <f t="shared" si="6"/>
        <v>585</v>
      </c>
      <c r="BX33" s="783">
        <f t="shared" si="7"/>
        <v>-1087</v>
      </c>
      <c r="BY33" s="784">
        <v>10</v>
      </c>
      <c r="BZ33" s="779">
        <v>16720</v>
      </c>
      <c r="CA33" s="779">
        <v>150480</v>
      </c>
      <c r="CB33" s="779">
        <v>418</v>
      </c>
      <c r="CC33" s="783">
        <v>3762</v>
      </c>
      <c r="CD33" s="785">
        <v>216</v>
      </c>
      <c r="CE33" s="779">
        <v>30000000</v>
      </c>
      <c r="CF33" s="779">
        <v>0</v>
      </c>
      <c r="CG33" s="779">
        <v>0</v>
      </c>
      <c r="CH33" s="779">
        <v>0</v>
      </c>
      <c r="CI33" s="779">
        <v>10000</v>
      </c>
      <c r="CJ33" s="786">
        <v>83.050239234449762</v>
      </c>
      <c r="CK33" s="787">
        <v>138888</v>
      </c>
      <c r="CL33" s="778">
        <v>1760</v>
      </c>
      <c r="CM33" s="779">
        <v>356</v>
      </c>
      <c r="CN33" s="779">
        <f t="shared" si="8"/>
        <v>616</v>
      </c>
      <c r="CO33" s="783">
        <f t="shared" si="9"/>
        <v>-1144</v>
      </c>
      <c r="CP33" s="784">
        <v>10</v>
      </c>
      <c r="CQ33" s="779">
        <v>17600</v>
      </c>
      <c r="CR33" s="779">
        <v>158400</v>
      </c>
      <c r="CS33" s="779">
        <v>440</v>
      </c>
      <c r="CT33" s="783">
        <v>3960</v>
      </c>
      <c r="CU33" s="785">
        <v>288</v>
      </c>
      <c r="CV33" s="779">
        <v>37500000</v>
      </c>
      <c r="CW33" s="779">
        <v>0</v>
      </c>
      <c r="CX33" s="779">
        <v>1</v>
      </c>
      <c r="CY33" s="779">
        <v>0</v>
      </c>
      <c r="CZ33" s="779">
        <v>10000</v>
      </c>
      <c r="DA33" s="786">
        <v>100.1784090909091</v>
      </c>
      <c r="DB33" s="787">
        <v>130208</v>
      </c>
      <c r="DC33" s="788">
        <v>1008</v>
      </c>
      <c r="DD33" s="779">
        <v>120000000</v>
      </c>
      <c r="DE33" s="789">
        <v>1</v>
      </c>
      <c r="DF33" s="789">
        <v>1</v>
      </c>
      <c r="DG33" s="789">
        <v>0</v>
      </c>
      <c r="DH33" s="779">
        <v>50000</v>
      </c>
      <c r="DI33" s="786">
        <v>284.09090909090907</v>
      </c>
      <c r="DJ33" s="787">
        <v>119047.61904761905</v>
      </c>
      <c r="DK33" s="790">
        <v>275</v>
      </c>
      <c r="DL33" s="791" t="s">
        <v>43</v>
      </c>
      <c r="DM33" s="792"/>
      <c r="DN33" s="793"/>
      <c r="DO33" s="794"/>
      <c r="DP33" s="794"/>
      <c r="DQ33" s="794"/>
      <c r="DR33" s="794"/>
      <c r="DS33" s="794"/>
      <c r="DT33" s="794"/>
      <c r="DU33" s="794"/>
      <c r="DV33" s="794"/>
      <c r="DW33" s="794"/>
      <c r="DX33" s="795"/>
      <c r="DY33" s="796" t="s">
        <v>43</v>
      </c>
      <c r="DZ33" s="797">
        <v>78</v>
      </c>
      <c r="EA33" s="776"/>
      <c r="EB33" s="776"/>
      <c r="EC33" s="798"/>
      <c r="ED33" s="799"/>
      <c r="EE33" s="779"/>
      <c r="EF33" s="779"/>
      <c r="EG33" s="779"/>
      <c r="EH33" s="783"/>
      <c r="EI33" s="800"/>
      <c r="EJ33" s="801"/>
    </row>
    <row r="34" spans="2:140">
      <c r="B34" s="1126" t="s">
        <v>72</v>
      </c>
      <c r="C34" s="765" t="s">
        <v>48</v>
      </c>
      <c r="D34" s="766"/>
      <c r="E34" s="767"/>
      <c r="F34" s="768" t="s">
        <v>43</v>
      </c>
      <c r="G34" s="769" t="s">
        <v>43</v>
      </c>
      <c r="H34" s="770">
        <v>3</v>
      </c>
      <c r="I34" s="771" t="s">
        <v>283</v>
      </c>
      <c r="J34" s="772">
        <v>5</v>
      </c>
      <c r="K34" s="773">
        <v>2.5000000000000001E-2</v>
      </c>
      <c r="L34" s="774">
        <v>3.6164383561643834</v>
      </c>
      <c r="M34" s="775">
        <v>30</v>
      </c>
      <c r="N34" s="768">
        <v>17</v>
      </c>
      <c r="O34" s="776" t="s">
        <v>47</v>
      </c>
      <c r="P34" s="777" t="s">
        <v>98</v>
      </c>
      <c r="Q34" s="778">
        <v>264</v>
      </c>
      <c r="R34" s="779">
        <v>73</v>
      </c>
      <c r="S34" s="780">
        <v>3960</v>
      </c>
      <c r="T34" s="781" t="s">
        <v>351</v>
      </c>
      <c r="U34" s="782" t="s">
        <v>47</v>
      </c>
      <c r="V34" s="778">
        <v>264</v>
      </c>
      <c r="W34" s="779">
        <v>73</v>
      </c>
      <c r="X34" s="779">
        <f t="shared" si="0"/>
        <v>126</v>
      </c>
      <c r="Y34" s="783">
        <f t="shared" si="1"/>
        <v>-138</v>
      </c>
      <c r="Z34" s="784">
        <v>3</v>
      </c>
      <c r="AA34" s="779">
        <v>792</v>
      </c>
      <c r="AB34" s="779">
        <v>3960</v>
      </c>
      <c r="AC34" s="779">
        <v>19</v>
      </c>
      <c r="AD34" s="783">
        <v>99</v>
      </c>
      <c r="AE34" s="785">
        <v>2</v>
      </c>
      <c r="AF34" s="779">
        <v>0</v>
      </c>
      <c r="AG34" s="779">
        <v>0</v>
      </c>
      <c r="AH34" s="779">
        <v>0</v>
      </c>
      <c r="AI34" s="779">
        <v>0</v>
      </c>
      <c r="AJ34" s="779">
        <v>39</v>
      </c>
      <c r="AK34" s="786">
        <v>0</v>
      </c>
      <c r="AL34" s="787">
        <v>0</v>
      </c>
      <c r="AM34" s="778">
        <v>396</v>
      </c>
      <c r="AN34" s="779">
        <v>109</v>
      </c>
      <c r="AO34" s="779">
        <f t="shared" si="2"/>
        <v>188</v>
      </c>
      <c r="AP34" s="783">
        <f t="shared" si="3"/>
        <v>-208</v>
      </c>
      <c r="AQ34" s="784">
        <v>3</v>
      </c>
      <c r="AR34" s="779">
        <v>1188</v>
      </c>
      <c r="AS34" s="779">
        <v>5940</v>
      </c>
      <c r="AT34" s="779">
        <v>29</v>
      </c>
      <c r="AU34" s="783">
        <v>148</v>
      </c>
      <c r="AV34" s="785">
        <v>0.5</v>
      </c>
      <c r="AW34" s="779">
        <v>25000</v>
      </c>
      <c r="AX34" s="779">
        <v>0</v>
      </c>
      <c r="AY34" s="779">
        <v>0</v>
      </c>
      <c r="AZ34" s="779">
        <v>0</v>
      </c>
      <c r="BA34" s="779">
        <v>14</v>
      </c>
      <c r="BB34" s="786">
        <v>0.89071268237934909</v>
      </c>
      <c r="BC34" s="787">
        <v>50000</v>
      </c>
      <c r="BD34" s="778">
        <v>462</v>
      </c>
      <c r="BE34" s="779">
        <v>127</v>
      </c>
      <c r="BF34" s="779">
        <f t="shared" si="4"/>
        <v>220</v>
      </c>
      <c r="BG34" s="783">
        <f t="shared" si="5"/>
        <v>-242</v>
      </c>
      <c r="BH34" s="784">
        <v>3</v>
      </c>
      <c r="BI34" s="779">
        <v>1386</v>
      </c>
      <c r="BJ34" s="779">
        <v>6930</v>
      </c>
      <c r="BK34" s="779">
        <v>34</v>
      </c>
      <c r="BL34" s="783">
        <v>173</v>
      </c>
      <c r="BM34" s="785">
        <v>1</v>
      </c>
      <c r="BN34" s="779">
        <v>35000</v>
      </c>
      <c r="BO34" s="779">
        <v>0</v>
      </c>
      <c r="BP34" s="779">
        <v>1</v>
      </c>
      <c r="BQ34" s="779">
        <v>0</v>
      </c>
      <c r="BR34" s="779">
        <v>34</v>
      </c>
      <c r="BS34" s="786">
        <v>1.0879028379028379</v>
      </c>
      <c r="BT34" s="787">
        <v>35000</v>
      </c>
      <c r="BU34" s="778">
        <v>501</v>
      </c>
      <c r="BV34" s="779">
        <v>138</v>
      </c>
      <c r="BW34" s="779">
        <f t="shared" si="6"/>
        <v>239</v>
      </c>
      <c r="BX34" s="783">
        <f t="shared" si="7"/>
        <v>-262</v>
      </c>
      <c r="BY34" s="784">
        <v>3</v>
      </c>
      <c r="BZ34" s="779">
        <v>1503</v>
      </c>
      <c r="CA34" s="779">
        <v>7515</v>
      </c>
      <c r="CB34" s="779">
        <v>37</v>
      </c>
      <c r="CC34" s="783">
        <v>187</v>
      </c>
      <c r="CD34" s="785">
        <v>2</v>
      </c>
      <c r="CE34" s="779">
        <v>45000</v>
      </c>
      <c r="CF34" s="779">
        <v>0</v>
      </c>
      <c r="CG34" s="779">
        <v>0</v>
      </c>
      <c r="CH34" s="779">
        <v>0</v>
      </c>
      <c r="CI34" s="779">
        <v>56</v>
      </c>
      <c r="CJ34" s="786">
        <v>1.3243512974051896</v>
      </c>
      <c r="CK34" s="787">
        <v>22500</v>
      </c>
      <c r="CL34" s="778">
        <v>528</v>
      </c>
      <c r="CM34" s="779">
        <v>146</v>
      </c>
      <c r="CN34" s="779">
        <f t="shared" si="8"/>
        <v>252</v>
      </c>
      <c r="CO34" s="783">
        <f t="shared" si="9"/>
        <v>-276</v>
      </c>
      <c r="CP34" s="784">
        <v>3</v>
      </c>
      <c r="CQ34" s="779">
        <v>1584</v>
      </c>
      <c r="CR34" s="779">
        <v>7920</v>
      </c>
      <c r="CS34" s="779">
        <v>39</v>
      </c>
      <c r="CT34" s="783">
        <v>198</v>
      </c>
      <c r="CU34" s="785">
        <v>2</v>
      </c>
      <c r="CV34" s="779">
        <v>55000</v>
      </c>
      <c r="CW34" s="779">
        <v>0</v>
      </c>
      <c r="CX34" s="779">
        <v>0</v>
      </c>
      <c r="CY34" s="779">
        <v>1</v>
      </c>
      <c r="CZ34" s="779">
        <v>79</v>
      </c>
      <c r="DA34" s="786">
        <v>1.525831228956229</v>
      </c>
      <c r="DB34" s="787">
        <v>27500</v>
      </c>
      <c r="DC34" s="788">
        <v>7.5</v>
      </c>
      <c r="DD34" s="779">
        <v>160000</v>
      </c>
      <c r="DE34" s="789">
        <v>0</v>
      </c>
      <c r="DF34" s="789">
        <v>1</v>
      </c>
      <c r="DG34" s="789">
        <v>1</v>
      </c>
      <c r="DH34" s="779">
        <v>222</v>
      </c>
      <c r="DI34" s="786">
        <v>4.2087542087542085</v>
      </c>
      <c r="DJ34" s="787">
        <v>21333.333333333332</v>
      </c>
      <c r="DK34" s="790">
        <v>2</v>
      </c>
      <c r="DL34" s="791" t="s">
        <v>43</v>
      </c>
      <c r="DM34" s="792">
        <v>260</v>
      </c>
      <c r="DN34" s="793">
        <v>800</v>
      </c>
      <c r="DO34" s="794">
        <v>2500</v>
      </c>
      <c r="DP34" s="794">
        <v>5000</v>
      </c>
      <c r="DQ34" s="794">
        <v>15000</v>
      </c>
      <c r="DR34" s="794">
        <v>30000</v>
      </c>
      <c r="DS34" s="794">
        <v>60000</v>
      </c>
      <c r="DT34" s="794">
        <v>120000</v>
      </c>
      <c r="DU34" s="794">
        <v>240000</v>
      </c>
      <c r="DV34" s="794">
        <v>480000</v>
      </c>
      <c r="DW34" s="794">
        <v>960000</v>
      </c>
      <c r="DX34" s="795"/>
      <c r="DY34" s="796" t="s">
        <v>43</v>
      </c>
      <c r="DZ34" s="797"/>
      <c r="EA34" s="776"/>
      <c r="EB34" s="776"/>
      <c r="EC34" s="798"/>
      <c r="ED34" s="799"/>
      <c r="EE34" s="779"/>
      <c r="EF34" s="779"/>
      <c r="EG34" s="779"/>
      <c r="EH34" s="783"/>
      <c r="EI34" s="800"/>
      <c r="EJ34" s="801"/>
    </row>
    <row r="35" spans="2:140">
      <c r="B35" s="1126" t="s">
        <v>56</v>
      </c>
      <c r="C35" s="765" t="s">
        <v>48</v>
      </c>
      <c r="D35" s="766"/>
      <c r="E35" s="767"/>
      <c r="F35" s="768"/>
      <c r="G35" s="769" t="s">
        <v>43</v>
      </c>
      <c r="H35" s="770">
        <v>4</v>
      </c>
      <c r="I35" s="771" t="s">
        <v>283</v>
      </c>
      <c r="J35" s="772">
        <v>7</v>
      </c>
      <c r="K35" s="773">
        <v>2.5000000000000001E-2</v>
      </c>
      <c r="L35" s="774">
        <v>3.78494623655914</v>
      </c>
      <c r="M35" s="775">
        <v>30</v>
      </c>
      <c r="N35" s="768">
        <v>38</v>
      </c>
      <c r="O35" s="776" t="s">
        <v>47</v>
      </c>
      <c r="P35" s="777" t="s">
        <v>98</v>
      </c>
      <c r="Q35" s="778">
        <v>352</v>
      </c>
      <c r="R35" s="779">
        <v>93</v>
      </c>
      <c r="S35" s="780">
        <v>9856</v>
      </c>
      <c r="T35" s="781" t="s">
        <v>352</v>
      </c>
      <c r="U35" s="782" t="s">
        <v>47</v>
      </c>
      <c r="V35" s="778">
        <v>352</v>
      </c>
      <c r="W35" s="779">
        <v>93</v>
      </c>
      <c r="X35" s="779">
        <f t="shared" si="0"/>
        <v>161</v>
      </c>
      <c r="Y35" s="783">
        <f t="shared" si="1"/>
        <v>-191</v>
      </c>
      <c r="Z35" s="784">
        <v>4</v>
      </c>
      <c r="AA35" s="779">
        <v>1408</v>
      </c>
      <c r="AB35" s="779">
        <v>9856</v>
      </c>
      <c r="AC35" s="779">
        <v>35</v>
      </c>
      <c r="AD35" s="783">
        <v>246</v>
      </c>
      <c r="AE35" s="785">
        <v>5</v>
      </c>
      <c r="AF35" s="779">
        <v>0</v>
      </c>
      <c r="AG35" s="779">
        <v>0</v>
      </c>
      <c r="AH35" s="779">
        <v>0</v>
      </c>
      <c r="AI35" s="779">
        <v>0</v>
      </c>
      <c r="AJ35" s="779">
        <v>176</v>
      </c>
      <c r="AK35" s="786">
        <v>0</v>
      </c>
      <c r="AL35" s="787">
        <v>0</v>
      </c>
      <c r="AM35" s="778">
        <v>528</v>
      </c>
      <c r="AN35" s="779">
        <v>139</v>
      </c>
      <c r="AO35" s="779">
        <f t="shared" si="2"/>
        <v>240</v>
      </c>
      <c r="AP35" s="783">
        <f t="shared" si="3"/>
        <v>-288</v>
      </c>
      <c r="AQ35" s="784">
        <v>4</v>
      </c>
      <c r="AR35" s="779">
        <v>2112</v>
      </c>
      <c r="AS35" s="779">
        <v>14784</v>
      </c>
      <c r="AT35" s="779">
        <v>52</v>
      </c>
      <c r="AU35" s="783">
        <v>369</v>
      </c>
      <c r="AV35" s="785">
        <v>2</v>
      </c>
      <c r="AW35" s="779">
        <v>350000</v>
      </c>
      <c r="AX35" s="779">
        <v>0</v>
      </c>
      <c r="AY35" s="779">
        <v>0</v>
      </c>
      <c r="AZ35" s="779">
        <v>0</v>
      </c>
      <c r="BA35" s="779">
        <v>66</v>
      </c>
      <c r="BB35" s="786">
        <v>6.9605429292929299</v>
      </c>
      <c r="BC35" s="787">
        <v>175000</v>
      </c>
      <c r="BD35" s="778">
        <v>616</v>
      </c>
      <c r="BE35" s="779">
        <v>162</v>
      </c>
      <c r="BF35" s="779">
        <f t="shared" si="4"/>
        <v>280</v>
      </c>
      <c r="BG35" s="783">
        <f t="shared" si="5"/>
        <v>-336</v>
      </c>
      <c r="BH35" s="784">
        <v>4</v>
      </c>
      <c r="BI35" s="779">
        <v>2464</v>
      </c>
      <c r="BJ35" s="779">
        <v>17248</v>
      </c>
      <c r="BK35" s="779">
        <v>61</v>
      </c>
      <c r="BL35" s="783">
        <v>431</v>
      </c>
      <c r="BM35" s="785">
        <v>3</v>
      </c>
      <c r="BN35" s="779">
        <v>525000</v>
      </c>
      <c r="BO35" s="779">
        <v>0</v>
      </c>
      <c r="BP35" s="779">
        <v>1</v>
      </c>
      <c r="BQ35" s="779">
        <v>0</v>
      </c>
      <c r="BR35" s="779">
        <v>154</v>
      </c>
      <c r="BS35" s="786">
        <v>8.9849837662337659</v>
      </c>
      <c r="BT35" s="787">
        <v>175000</v>
      </c>
      <c r="BU35" s="778">
        <v>668</v>
      </c>
      <c r="BV35" s="779">
        <v>176</v>
      </c>
      <c r="BW35" s="779">
        <f t="shared" si="6"/>
        <v>304</v>
      </c>
      <c r="BX35" s="783">
        <f t="shared" si="7"/>
        <v>-364</v>
      </c>
      <c r="BY35" s="784">
        <v>4</v>
      </c>
      <c r="BZ35" s="779">
        <v>2672</v>
      </c>
      <c r="CA35" s="779">
        <v>18704</v>
      </c>
      <c r="CB35" s="779">
        <v>66</v>
      </c>
      <c r="CC35" s="783">
        <v>467</v>
      </c>
      <c r="CD35" s="785">
        <v>4</v>
      </c>
      <c r="CE35" s="779">
        <v>700000</v>
      </c>
      <c r="CF35" s="779">
        <v>0</v>
      </c>
      <c r="CG35" s="779">
        <v>0</v>
      </c>
      <c r="CH35" s="779">
        <v>0</v>
      </c>
      <c r="CI35" s="779">
        <v>250</v>
      </c>
      <c r="CJ35" s="786">
        <v>11.069361277445109</v>
      </c>
      <c r="CK35" s="787">
        <v>175000</v>
      </c>
      <c r="CL35" s="778">
        <v>704</v>
      </c>
      <c r="CM35" s="779">
        <v>186</v>
      </c>
      <c r="CN35" s="779">
        <f t="shared" si="8"/>
        <v>322</v>
      </c>
      <c r="CO35" s="783">
        <f t="shared" si="9"/>
        <v>-382</v>
      </c>
      <c r="CP35" s="784">
        <v>4</v>
      </c>
      <c r="CQ35" s="779">
        <v>2816</v>
      </c>
      <c r="CR35" s="779">
        <v>19712</v>
      </c>
      <c r="CS35" s="779">
        <v>70</v>
      </c>
      <c r="CT35" s="783">
        <v>492</v>
      </c>
      <c r="CU35" s="785">
        <v>5</v>
      </c>
      <c r="CV35" s="779">
        <v>875000</v>
      </c>
      <c r="CW35" s="779">
        <v>0</v>
      </c>
      <c r="CX35" s="779">
        <v>0</v>
      </c>
      <c r="CY35" s="779">
        <v>1</v>
      </c>
      <c r="CZ35" s="779">
        <v>352</v>
      </c>
      <c r="DA35" s="786">
        <v>13.14453125</v>
      </c>
      <c r="DB35" s="787">
        <v>175000</v>
      </c>
      <c r="DC35" s="788">
        <v>19</v>
      </c>
      <c r="DD35" s="779">
        <v>2450000</v>
      </c>
      <c r="DE35" s="789">
        <v>0</v>
      </c>
      <c r="DF35" s="789">
        <v>1</v>
      </c>
      <c r="DG35" s="789">
        <v>1</v>
      </c>
      <c r="DH35" s="779">
        <v>998</v>
      </c>
      <c r="DI35" s="786">
        <v>36.251183712121211</v>
      </c>
      <c r="DJ35" s="787">
        <v>128947.36842105263</v>
      </c>
      <c r="DK35" s="790">
        <v>5</v>
      </c>
      <c r="DL35" s="791" t="s">
        <v>43</v>
      </c>
      <c r="DM35" s="792">
        <v>10000</v>
      </c>
      <c r="DN35" s="793">
        <v>30000</v>
      </c>
      <c r="DO35" s="794">
        <v>60000</v>
      </c>
      <c r="DP35" s="794">
        <v>120000</v>
      </c>
      <c r="DQ35" s="794">
        <v>240000</v>
      </c>
      <c r="DR35" s="794">
        <v>480000</v>
      </c>
      <c r="DS35" s="794">
        <v>960000</v>
      </c>
      <c r="DT35" s="794"/>
      <c r="DU35" s="794"/>
      <c r="DV35" s="794"/>
      <c r="DW35" s="794"/>
      <c r="DX35" s="795"/>
      <c r="DY35" s="796" t="s">
        <v>43</v>
      </c>
      <c r="DZ35" s="797"/>
      <c r="EA35" s="776"/>
      <c r="EB35" s="776"/>
      <c r="EC35" s="798"/>
      <c r="ED35" s="799"/>
      <c r="EE35" s="779"/>
      <c r="EF35" s="779"/>
      <c r="EG35" s="779"/>
      <c r="EH35" s="783"/>
      <c r="EI35" s="800"/>
      <c r="EJ35" s="801"/>
    </row>
    <row r="36" spans="2:140">
      <c r="B36" s="1126" t="s">
        <v>58</v>
      </c>
      <c r="C36" s="765" t="s">
        <v>48</v>
      </c>
      <c r="D36" s="766"/>
      <c r="E36" s="767" t="s">
        <v>43</v>
      </c>
      <c r="F36" s="768"/>
      <c r="G36" s="769"/>
      <c r="H36" s="770">
        <v>4</v>
      </c>
      <c r="I36" s="771" t="s">
        <v>283</v>
      </c>
      <c r="J36" s="772">
        <v>8</v>
      </c>
      <c r="K36" s="773">
        <v>2.5000000000000001E-2</v>
      </c>
      <c r="L36" s="774">
        <v>4.4444444444444446</v>
      </c>
      <c r="M36" s="775">
        <v>30</v>
      </c>
      <c r="N36" s="768">
        <v>47</v>
      </c>
      <c r="O36" s="776" t="s">
        <v>47</v>
      </c>
      <c r="P36" s="777" t="s">
        <v>98</v>
      </c>
      <c r="Q36" s="778">
        <v>400</v>
      </c>
      <c r="R36" s="779">
        <v>90</v>
      </c>
      <c r="S36" s="780">
        <v>12800</v>
      </c>
      <c r="T36" s="781" t="s">
        <v>353</v>
      </c>
      <c r="U36" s="782" t="s">
        <v>47</v>
      </c>
      <c r="V36" s="778">
        <v>400</v>
      </c>
      <c r="W36" s="779">
        <v>90</v>
      </c>
      <c r="X36" s="779">
        <f t="shared" si="0"/>
        <v>155</v>
      </c>
      <c r="Y36" s="783">
        <f t="shared" si="1"/>
        <v>-245</v>
      </c>
      <c r="Z36" s="784">
        <v>4</v>
      </c>
      <c r="AA36" s="779">
        <v>1600</v>
      </c>
      <c r="AB36" s="779">
        <v>12800</v>
      </c>
      <c r="AC36" s="779">
        <v>40</v>
      </c>
      <c r="AD36" s="783">
        <v>320</v>
      </c>
      <c r="AE36" s="785">
        <v>8</v>
      </c>
      <c r="AF36" s="779">
        <v>0</v>
      </c>
      <c r="AG36" s="779">
        <v>0</v>
      </c>
      <c r="AH36" s="779">
        <v>0</v>
      </c>
      <c r="AI36" s="779">
        <v>0</v>
      </c>
      <c r="AJ36" s="779">
        <v>320</v>
      </c>
      <c r="AK36" s="786">
        <v>0</v>
      </c>
      <c r="AL36" s="787">
        <v>0</v>
      </c>
      <c r="AM36" s="778">
        <v>600</v>
      </c>
      <c r="AN36" s="779">
        <v>135</v>
      </c>
      <c r="AO36" s="779">
        <f t="shared" si="2"/>
        <v>233</v>
      </c>
      <c r="AP36" s="783">
        <f t="shared" si="3"/>
        <v>-367</v>
      </c>
      <c r="AQ36" s="784">
        <v>4</v>
      </c>
      <c r="AR36" s="779">
        <v>2400</v>
      </c>
      <c r="AS36" s="779">
        <v>19200</v>
      </c>
      <c r="AT36" s="779">
        <v>60</v>
      </c>
      <c r="AU36" s="783">
        <v>480</v>
      </c>
      <c r="AV36" s="785">
        <v>2</v>
      </c>
      <c r="AW36" s="779">
        <v>800000</v>
      </c>
      <c r="AX36" s="779">
        <v>0</v>
      </c>
      <c r="AY36" s="779">
        <v>0</v>
      </c>
      <c r="AZ36" s="779">
        <v>0</v>
      </c>
      <c r="BA36" s="779">
        <v>120</v>
      </c>
      <c r="BB36" s="786">
        <v>13.944444444444445</v>
      </c>
      <c r="BC36" s="787">
        <v>400000</v>
      </c>
      <c r="BD36" s="778">
        <v>700</v>
      </c>
      <c r="BE36" s="779">
        <v>157</v>
      </c>
      <c r="BF36" s="779">
        <f t="shared" si="4"/>
        <v>272</v>
      </c>
      <c r="BG36" s="783">
        <f t="shared" si="5"/>
        <v>-428</v>
      </c>
      <c r="BH36" s="784">
        <v>4</v>
      </c>
      <c r="BI36" s="779">
        <v>2800</v>
      </c>
      <c r="BJ36" s="779">
        <v>22400</v>
      </c>
      <c r="BK36" s="779">
        <v>70</v>
      </c>
      <c r="BL36" s="783">
        <v>560</v>
      </c>
      <c r="BM36" s="785">
        <v>4</v>
      </c>
      <c r="BN36" s="779">
        <v>1200000</v>
      </c>
      <c r="BO36" s="779">
        <v>0</v>
      </c>
      <c r="BP36" s="779">
        <v>1</v>
      </c>
      <c r="BQ36" s="779">
        <v>0</v>
      </c>
      <c r="BR36" s="779">
        <v>280</v>
      </c>
      <c r="BS36" s="786">
        <v>18</v>
      </c>
      <c r="BT36" s="787">
        <v>300000</v>
      </c>
      <c r="BU36" s="778">
        <v>760</v>
      </c>
      <c r="BV36" s="779">
        <v>171</v>
      </c>
      <c r="BW36" s="779">
        <f t="shared" si="6"/>
        <v>296</v>
      </c>
      <c r="BX36" s="783">
        <f t="shared" si="7"/>
        <v>-464</v>
      </c>
      <c r="BY36" s="784">
        <v>4</v>
      </c>
      <c r="BZ36" s="779">
        <v>3040</v>
      </c>
      <c r="CA36" s="779">
        <v>24320</v>
      </c>
      <c r="CB36" s="779">
        <v>76</v>
      </c>
      <c r="CC36" s="783">
        <v>608</v>
      </c>
      <c r="CD36" s="785">
        <v>6</v>
      </c>
      <c r="CE36" s="779">
        <v>1600000</v>
      </c>
      <c r="CF36" s="779">
        <v>0</v>
      </c>
      <c r="CG36" s="779">
        <v>0</v>
      </c>
      <c r="CH36" s="779">
        <v>0</v>
      </c>
      <c r="CI36" s="779">
        <v>456</v>
      </c>
      <c r="CJ36" s="786">
        <v>22.160087719298247</v>
      </c>
      <c r="CK36" s="787">
        <v>266666</v>
      </c>
      <c r="CL36" s="778">
        <v>800</v>
      </c>
      <c r="CM36" s="779">
        <v>180</v>
      </c>
      <c r="CN36" s="779">
        <f t="shared" si="8"/>
        <v>311</v>
      </c>
      <c r="CO36" s="783">
        <f t="shared" si="9"/>
        <v>-489</v>
      </c>
      <c r="CP36" s="784">
        <v>4</v>
      </c>
      <c r="CQ36" s="779">
        <v>3200</v>
      </c>
      <c r="CR36" s="779">
        <v>25600</v>
      </c>
      <c r="CS36" s="779">
        <v>80</v>
      </c>
      <c r="CT36" s="783">
        <v>640</v>
      </c>
      <c r="CU36" s="785">
        <v>8</v>
      </c>
      <c r="CV36" s="779">
        <v>2000000</v>
      </c>
      <c r="CW36" s="779">
        <v>0</v>
      </c>
      <c r="CX36" s="779">
        <v>0</v>
      </c>
      <c r="CY36" s="779">
        <v>1</v>
      </c>
      <c r="CZ36" s="779">
        <v>640</v>
      </c>
      <c r="DA36" s="786">
        <v>26.358333333333334</v>
      </c>
      <c r="DB36" s="787">
        <v>250000</v>
      </c>
      <c r="DC36" s="788">
        <v>28</v>
      </c>
      <c r="DD36" s="779">
        <v>5600000</v>
      </c>
      <c r="DE36" s="789">
        <v>0</v>
      </c>
      <c r="DF36" s="789">
        <v>1</v>
      </c>
      <c r="DG36" s="789">
        <v>1</v>
      </c>
      <c r="DH36" s="779">
        <v>1816</v>
      </c>
      <c r="DI36" s="786">
        <v>72.916666666666671</v>
      </c>
      <c r="DJ36" s="787">
        <v>200000</v>
      </c>
      <c r="DK36" s="790">
        <v>8</v>
      </c>
      <c r="DL36" s="791" t="s">
        <v>43</v>
      </c>
      <c r="DM36" s="792">
        <v>10000</v>
      </c>
      <c r="DN36" s="793">
        <v>100000</v>
      </c>
      <c r="DO36" s="794">
        <v>200000</v>
      </c>
      <c r="DP36" s="794">
        <v>400000</v>
      </c>
      <c r="DQ36" s="794">
        <v>800000</v>
      </c>
      <c r="DR36" s="794"/>
      <c r="DS36" s="794"/>
      <c r="DT36" s="794"/>
      <c r="DU36" s="794"/>
      <c r="DV36" s="794"/>
      <c r="DW36" s="794"/>
      <c r="DX36" s="795"/>
      <c r="DY36" s="796" t="s">
        <v>43</v>
      </c>
      <c r="DZ36" s="797"/>
      <c r="EA36" s="776"/>
      <c r="EB36" s="776"/>
      <c r="EC36" s="798"/>
      <c r="ED36" s="799"/>
      <c r="EE36" s="779"/>
      <c r="EF36" s="779"/>
      <c r="EG36" s="779"/>
      <c r="EH36" s="783"/>
      <c r="EI36" s="800"/>
      <c r="EJ36" s="801"/>
    </row>
    <row r="37" spans="2:140">
      <c r="B37" s="1126" t="s">
        <v>101</v>
      </c>
      <c r="C37" s="765" t="s">
        <v>48</v>
      </c>
      <c r="D37" s="766" t="s">
        <v>43</v>
      </c>
      <c r="E37" s="767" t="s">
        <v>43</v>
      </c>
      <c r="F37" s="768"/>
      <c r="G37" s="769"/>
      <c r="H37" s="770">
        <v>6</v>
      </c>
      <c r="I37" s="771" t="s">
        <v>283</v>
      </c>
      <c r="J37" s="772">
        <v>8</v>
      </c>
      <c r="K37" s="773">
        <v>2.5000000000000001E-2</v>
      </c>
      <c r="L37" s="774">
        <v>4.354166666666667</v>
      </c>
      <c r="M37" s="775">
        <v>30</v>
      </c>
      <c r="N37" s="768">
        <v>55</v>
      </c>
      <c r="O37" s="776" t="s">
        <v>47</v>
      </c>
      <c r="P37" s="777" t="s">
        <v>98</v>
      </c>
      <c r="Q37" s="778">
        <v>836</v>
      </c>
      <c r="R37" s="779">
        <v>192</v>
      </c>
      <c r="S37" s="780">
        <v>53504</v>
      </c>
      <c r="T37" s="781" t="s">
        <v>354</v>
      </c>
      <c r="U37" s="782" t="s">
        <v>47</v>
      </c>
      <c r="V37" s="778">
        <v>836</v>
      </c>
      <c r="W37" s="779">
        <v>192</v>
      </c>
      <c r="X37" s="779">
        <f t="shared" si="0"/>
        <v>332</v>
      </c>
      <c r="Y37" s="783">
        <f t="shared" si="1"/>
        <v>-504</v>
      </c>
      <c r="Z37" s="784">
        <v>8</v>
      </c>
      <c r="AA37" s="779">
        <v>6688</v>
      </c>
      <c r="AB37" s="779">
        <v>53504</v>
      </c>
      <c r="AC37" s="779">
        <v>167</v>
      </c>
      <c r="AD37" s="783">
        <v>1337</v>
      </c>
      <c r="AE37" s="785">
        <v>48</v>
      </c>
      <c r="AF37" s="779">
        <v>0</v>
      </c>
      <c r="AG37" s="779">
        <v>0</v>
      </c>
      <c r="AH37" s="779">
        <v>0</v>
      </c>
      <c r="AI37" s="779">
        <v>0</v>
      </c>
      <c r="AJ37" s="779">
        <v>8025</v>
      </c>
      <c r="AK37" s="786">
        <v>0</v>
      </c>
      <c r="AL37" s="787">
        <v>0</v>
      </c>
      <c r="AM37" s="778">
        <v>1254</v>
      </c>
      <c r="AN37" s="779">
        <v>288</v>
      </c>
      <c r="AO37" s="779">
        <f t="shared" si="2"/>
        <v>498</v>
      </c>
      <c r="AP37" s="783">
        <f t="shared" si="3"/>
        <v>-756</v>
      </c>
      <c r="AQ37" s="784">
        <v>8</v>
      </c>
      <c r="AR37" s="779">
        <v>10032</v>
      </c>
      <c r="AS37" s="779">
        <v>80256</v>
      </c>
      <c r="AT37" s="779">
        <v>250</v>
      </c>
      <c r="AU37" s="783">
        <v>2006</v>
      </c>
      <c r="AV37" s="785">
        <v>12</v>
      </c>
      <c r="AW37" s="779">
        <v>2000000</v>
      </c>
      <c r="AX37" s="779">
        <v>0</v>
      </c>
      <c r="AY37" s="779">
        <v>0</v>
      </c>
      <c r="AZ37" s="779">
        <v>0</v>
      </c>
      <c r="BA37" s="779">
        <v>3009</v>
      </c>
      <c r="BB37" s="786">
        <v>8.6400850611376931</v>
      </c>
      <c r="BC37" s="787">
        <v>166666</v>
      </c>
      <c r="BD37" s="778">
        <v>1463</v>
      </c>
      <c r="BE37" s="779">
        <v>336</v>
      </c>
      <c r="BF37" s="779">
        <f t="shared" si="4"/>
        <v>582</v>
      </c>
      <c r="BG37" s="783">
        <f t="shared" si="5"/>
        <v>-881</v>
      </c>
      <c r="BH37" s="784">
        <v>9</v>
      </c>
      <c r="BI37" s="779">
        <v>13167</v>
      </c>
      <c r="BJ37" s="779">
        <v>105336</v>
      </c>
      <c r="BK37" s="779">
        <v>329</v>
      </c>
      <c r="BL37" s="783">
        <v>2633</v>
      </c>
      <c r="BM37" s="785">
        <v>24</v>
      </c>
      <c r="BN37" s="779">
        <v>3000000</v>
      </c>
      <c r="BO37" s="779">
        <v>0</v>
      </c>
      <c r="BP37" s="779">
        <v>1</v>
      </c>
      <c r="BQ37" s="779">
        <v>0</v>
      </c>
      <c r="BR37" s="779">
        <v>7900</v>
      </c>
      <c r="BS37" s="786">
        <v>10.255335307966886</v>
      </c>
      <c r="BT37" s="787">
        <v>125000</v>
      </c>
      <c r="BU37" s="778">
        <v>1588</v>
      </c>
      <c r="BV37" s="779">
        <v>364</v>
      </c>
      <c r="BW37" s="779">
        <f t="shared" si="6"/>
        <v>630</v>
      </c>
      <c r="BX37" s="783">
        <f t="shared" si="7"/>
        <v>-958</v>
      </c>
      <c r="BY37" s="784">
        <v>9</v>
      </c>
      <c r="BZ37" s="779">
        <v>14292</v>
      </c>
      <c r="CA37" s="779">
        <v>114336</v>
      </c>
      <c r="CB37" s="779">
        <v>357</v>
      </c>
      <c r="CC37" s="783">
        <v>2858</v>
      </c>
      <c r="CD37" s="785">
        <v>36</v>
      </c>
      <c r="CE37" s="779">
        <v>4000000</v>
      </c>
      <c r="CF37" s="779">
        <v>0</v>
      </c>
      <c r="CG37" s="779">
        <v>0</v>
      </c>
      <c r="CH37" s="779">
        <v>0</v>
      </c>
      <c r="CI37" s="779">
        <v>10000</v>
      </c>
      <c r="CJ37" s="786">
        <v>13.043462543147681</v>
      </c>
      <c r="CK37" s="787">
        <v>111111</v>
      </c>
      <c r="CL37" s="778">
        <v>1672</v>
      </c>
      <c r="CM37" s="779">
        <v>384</v>
      </c>
      <c r="CN37" s="779">
        <f t="shared" si="8"/>
        <v>665</v>
      </c>
      <c r="CO37" s="783">
        <f t="shared" si="9"/>
        <v>-1007</v>
      </c>
      <c r="CP37" s="784">
        <v>9</v>
      </c>
      <c r="CQ37" s="779">
        <v>15048</v>
      </c>
      <c r="CR37" s="779">
        <v>120384</v>
      </c>
      <c r="CS37" s="779">
        <v>376</v>
      </c>
      <c r="CT37" s="783">
        <v>3009</v>
      </c>
      <c r="CU37" s="785">
        <v>48</v>
      </c>
      <c r="CV37" s="779">
        <v>5000000</v>
      </c>
      <c r="CW37" s="779">
        <v>0</v>
      </c>
      <c r="CX37" s="779">
        <v>0</v>
      </c>
      <c r="CY37" s="779">
        <v>1</v>
      </c>
      <c r="CZ37" s="779">
        <v>10000</v>
      </c>
      <c r="DA37" s="786">
        <v>15.744107744107744</v>
      </c>
      <c r="DB37" s="787">
        <v>104166</v>
      </c>
      <c r="DC37" s="788">
        <v>168</v>
      </c>
      <c r="DD37" s="779">
        <v>14000000</v>
      </c>
      <c r="DE37" s="789">
        <v>0</v>
      </c>
      <c r="DF37" s="789">
        <v>1</v>
      </c>
      <c r="DG37" s="789">
        <v>1</v>
      </c>
      <c r="DH37" s="779">
        <v>38934</v>
      </c>
      <c r="DI37" s="786">
        <v>38.764841396420344</v>
      </c>
      <c r="DJ37" s="787">
        <v>83333.333333333328</v>
      </c>
      <c r="DK37" s="790">
        <v>46</v>
      </c>
      <c r="DL37" s="791" t="s">
        <v>43</v>
      </c>
      <c r="DM37" s="792">
        <v>10000</v>
      </c>
      <c r="DN37" s="793">
        <v>500000</v>
      </c>
      <c r="DO37" s="794">
        <v>1000000</v>
      </c>
      <c r="DP37" s="794"/>
      <c r="DQ37" s="794"/>
      <c r="DR37" s="794"/>
      <c r="DS37" s="794"/>
      <c r="DT37" s="794"/>
      <c r="DU37" s="794"/>
      <c r="DV37" s="794"/>
      <c r="DW37" s="794"/>
      <c r="DX37" s="795"/>
      <c r="DY37" s="796" t="s">
        <v>43</v>
      </c>
      <c r="DZ37" s="797"/>
      <c r="EA37" s="776"/>
      <c r="EB37" s="776"/>
      <c r="EC37" s="798"/>
      <c r="ED37" s="799"/>
      <c r="EE37" s="779"/>
      <c r="EF37" s="779"/>
      <c r="EG37" s="779"/>
      <c r="EH37" s="783"/>
      <c r="EI37" s="800"/>
      <c r="EJ37" s="801"/>
    </row>
    <row r="38" spans="2:140">
      <c r="B38" s="1126" t="s">
        <v>126</v>
      </c>
      <c r="C38" s="765" t="s">
        <v>48</v>
      </c>
      <c r="D38" s="766" t="s">
        <v>43</v>
      </c>
      <c r="E38" s="767" t="s">
        <v>43</v>
      </c>
      <c r="F38" s="768"/>
      <c r="G38" s="769"/>
      <c r="H38" s="770">
        <v>6</v>
      </c>
      <c r="I38" s="771" t="s">
        <v>283</v>
      </c>
      <c r="J38" s="772">
        <v>9</v>
      </c>
      <c r="K38" s="773">
        <v>2.5000000000000001E-2</v>
      </c>
      <c r="L38" s="774">
        <v>4.9641025641025642</v>
      </c>
      <c r="M38" s="775">
        <v>30</v>
      </c>
      <c r="N38" s="768">
        <v>59</v>
      </c>
      <c r="O38" s="776" t="s">
        <v>47</v>
      </c>
      <c r="P38" s="777" t="s">
        <v>98</v>
      </c>
      <c r="Q38" s="778">
        <v>968</v>
      </c>
      <c r="R38" s="779">
        <v>195</v>
      </c>
      <c r="S38" s="780">
        <v>78408</v>
      </c>
      <c r="T38" s="781" t="s">
        <v>355</v>
      </c>
      <c r="U38" s="782" t="s">
        <v>47</v>
      </c>
      <c r="V38" s="778">
        <v>968</v>
      </c>
      <c r="W38" s="779">
        <v>195</v>
      </c>
      <c r="X38" s="779">
        <f t="shared" ref="X38:X69" si="10">INT(W38*$C$1/100)</f>
        <v>337</v>
      </c>
      <c r="Y38" s="783">
        <f t="shared" ref="Y38:Y69" si="11">X38-V38</f>
        <v>-631</v>
      </c>
      <c r="Z38" s="784">
        <v>9</v>
      </c>
      <c r="AA38" s="779">
        <v>8712</v>
      </c>
      <c r="AB38" s="779">
        <v>78408</v>
      </c>
      <c r="AC38" s="779">
        <v>217</v>
      </c>
      <c r="AD38" s="783">
        <v>1960</v>
      </c>
      <c r="AE38" s="785">
        <v>120</v>
      </c>
      <c r="AF38" s="779">
        <v>0</v>
      </c>
      <c r="AG38" s="779">
        <v>0</v>
      </c>
      <c r="AH38" s="779">
        <v>0</v>
      </c>
      <c r="AI38" s="779">
        <v>0</v>
      </c>
      <c r="AJ38" s="779">
        <v>10000</v>
      </c>
      <c r="AK38" s="786">
        <v>0</v>
      </c>
      <c r="AL38" s="787">
        <v>0</v>
      </c>
      <c r="AM38" s="778">
        <v>1452</v>
      </c>
      <c r="AN38" s="779">
        <v>292</v>
      </c>
      <c r="AO38" s="779">
        <f t="shared" ref="AO38:AO69" si="12">INT(AN38*$C$1/100)</f>
        <v>505</v>
      </c>
      <c r="AP38" s="783">
        <f t="shared" ref="AP38:AP69" si="13">AO38-AM38</f>
        <v>-947</v>
      </c>
      <c r="AQ38" s="784">
        <v>9</v>
      </c>
      <c r="AR38" s="779">
        <v>13068</v>
      </c>
      <c r="AS38" s="779">
        <v>117612</v>
      </c>
      <c r="AT38" s="779">
        <v>326</v>
      </c>
      <c r="AU38" s="783">
        <v>2940</v>
      </c>
      <c r="AV38" s="785">
        <v>30</v>
      </c>
      <c r="AW38" s="779">
        <v>4500000</v>
      </c>
      <c r="AX38" s="779">
        <v>0</v>
      </c>
      <c r="AY38" s="779">
        <v>0</v>
      </c>
      <c r="AZ38" s="779">
        <v>0</v>
      </c>
      <c r="BA38" s="779">
        <v>9801</v>
      </c>
      <c r="BB38" s="786">
        <v>15.181359044995409</v>
      </c>
      <c r="BC38" s="787">
        <v>150000</v>
      </c>
      <c r="BD38" s="778">
        <v>1694</v>
      </c>
      <c r="BE38" s="779">
        <v>341</v>
      </c>
      <c r="BF38" s="779">
        <f t="shared" ref="BF38:BF69" si="14">INT(BE38*$C$1/100)</f>
        <v>590</v>
      </c>
      <c r="BG38" s="783">
        <f t="shared" ref="BG38:BG69" si="15">BF38-BD38</f>
        <v>-1104</v>
      </c>
      <c r="BH38" s="784">
        <v>10</v>
      </c>
      <c r="BI38" s="779">
        <v>16940</v>
      </c>
      <c r="BJ38" s="779">
        <v>152460</v>
      </c>
      <c r="BK38" s="779">
        <v>423</v>
      </c>
      <c r="BL38" s="783">
        <v>3811</v>
      </c>
      <c r="BM38" s="785">
        <v>60</v>
      </c>
      <c r="BN38" s="779">
        <v>6750000</v>
      </c>
      <c r="BO38" s="779">
        <v>0</v>
      </c>
      <c r="BP38" s="779">
        <v>1</v>
      </c>
      <c r="BQ38" s="779">
        <v>0</v>
      </c>
      <c r="BR38" s="779">
        <v>10000</v>
      </c>
      <c r="BS38" s="786">
        <v>18.531286894923259</v>
      </c>
      <c r="BT38" s="787">
        <v>112500</v>
      </c>
      <c r="BU38" s="778">
        <v>1839</v>
      </c>
      <c r="BV38" s="779">
        <v>370</v>
      </c>
      <c r="BW38" s="779">
        <f t="shared" ref="BW38:BW69" si="16">INT(BV38*$C$1/100)</f>
        <v>641</v>
      </c>
      <c r="BX38" s="783">
        <f t="shared" ref="BX38:BX69" si="17">BW38-BU38</f>
        <v>-1198</v>
      </c>
      <c r="BY38" s="784">
        <v>10</v>
      </c>
      <c r="BZ38" s="779">
        <v>18390</v>
      </c>
      <c r="CA38" s="779">
        <v>165510</v>
      </c>
      <c r="CB38" s="779">
        <v>459</v>
      </c>
      <c r="CC38" s="783">
        <v>4137</v>
      </c>
      <c r="CD38" s="785">
        <v>90</v>
      </c>
      <c r="CE38" s="779">
        <v>9000000</v>
      </c>
      <c r="CF38" s="779">
        <v>0</v>
      </c>
      <c r="CG38" s="779">
        <v>0</v>
      </c>
      <c r="CH38" s="779">
        <v>0</v>
      </c>
      <c r="CI38" s="779">
        <v>10000</v>
      </c>
      <c r="CJ38" s="786">
        <v>23.84584013050571</v>
      </c>
      <c r="CK38" s="787">
        <v>100000</v>
      </c>
      <c r="CL38" s="778">
        <v>1936</v>
      </c>
      <c r="CM38" s="779">
        <v>390</v>
      </c>
      <c r="CN38" s="779">
        <f t="shared" ref="CN38:CN69" si="18">INT(CM38*$C$1/100)</f>
        <v>675</v>
      </c>
      <c r="CO38" s="783">
        <f t="shared" ref="CO38:CO69" si="19">CN38-CL38</f>
        <v>-1261</v>
      </c>
      <c r="CP38" s="784">
        <v>10</v>
      </c>
      <c r="CQ38" s="779">
        <v>19360</v>
      </c>
      <c r="CR38" s="779">
        <v>174240</v>
      </c>
      <c r="CS38" s="779">
        <v>484</v>
      </c>
      <c r="CT38" s="783">
        <v>4356</v>
      </c>
      <c r="CU38" s="785">
        <v>120</v>
      </c>
      <c r="CV38" s="779">
        <v>11250000</v>
      </c>
      <c r="CW38" s="779">
        <v>0</v>
      </c>
      <c r="CX38" s="779">
        <v>0</v>
      </c>
      <c r="CY38" s="779">
        <v>1</v>
      </c>
      <c r="CZ38" s="779">
        <v>10000</v>
      </c>
      <c r="DA38" s="786">
        <v>28.96177685950413</v>
      </c>
      <c r="DB38" s="787">
        <v>93750</v>
      </c>
      <c r="DC38" s="788">
        <v>420</v>
      </c>
      <c r="DD38" s="779">
        <v>31500000</v>
      </c>
      <c r="DE38" s="789">
        <v>0</v>
      </c>
      <c r="DF38" s="789">
        <v>1</v>
      </c>
      <c r="DG38" s="789">
        <v>1</v>
      </c>
      <c r="DH38" s="779">
        <v>49801</v>
      </c>
      <c r="DI38" s="786">
        <v>67.794421487603302</v>
      </c>
      <c r="DJ38" s="787">
        <v>75000</v>
      </c>
      <c r="DK38" s="790">
        <v>115</v>
      </c>
      <c r="DL38" s="791" t="s">
        <v>43</v>
      </c>
      <c r="DM38" s="792">
        <v>10000</v>
      </c>
      <c r="DN38" s="793">
        <v>1000000</v>
      </c>
      <c r="DO38" s="794">
        <v>2000000</v>
      </c>
      <c r="DP38" s="794">
        <v>4000000</v>
      </c>
      <c r="DQ38" s="794">
        <v>8000000</v>
      </c>
      <c r="DR38" s="794"/>
      <c r="DS38" s="794"/>
      <c r="DT38" s="794"/>
      <c r="DU38" s="794"/>
      <c r="DV38" s="794"/>
      <c r="DW38" s="794"/>
      <c r="DX38" s="795"/>
      <c r="DY38" s="796" t="s">
        <v>43</v>
      </c>
      <c r="DZ38" s="797"/>
      <c r="EA38" s="776"/>
      <c r="EB38" s="776"/>
      <c r="EC38" s="798"/>
      <c r="ED38" s="799"/>
      <c r="EE38" s="779"/>
      <c r="EF38" s="779"/>
      <c r="EG38" s="779"/>
      <c r="EH38" s="783"/>
      <c r="EI38" s="800"/>
      <c r="EJ38" s="801"/>
    </row>
    <row r="39" spans="2:140">
      <c r="B39" s="1126" t="s">
        <v>114</v>
      </c>
      <c r="C39" s="765" t="s">
        <v>48</v>
      </c>
      <c r="D39" s="766"/>
      <c r="E39" s="767" t="s">
        <v>43</v>
      </c>
      <c r="F39" s="768"/>
      <c r="G39" s="769"/>
      <c r="H39" s="770">
        <v>7</v>
      </c>
      <c r="I39" s="771" t="s">
        <v>269</v>
      </c>
      <c r="J39" s="772">
        <v>1.5</v>
      </c>
      <c r="K39" s="773">
        <v>2.5000000000000001E-2</v>
      </c>
      <c r="L39" s="774">
        <v>5</v>
      </c>
      <c r="M39" s="775">
        <v>30</v>
      </c>
      <c r="N39" s="768">
        <v>7001</v>
      </c>
      <c r="O39" s="802">
        <v>42184</v>
      </c>
      <c r="P39" s="777" t="s">
        <v>98</v>
      </c>
      <c r="Q39" s="778">
        <v>500</v>
      </c>
      <c r="R39" s="779">
        <v>100</v>
      </c>
      <c r="S39" s="780">
        <v>3750</v>
      </c>
      <c r="T39" s="781" t="s">
        <v>356</v>
      </c>
      <c r="U39" s="782" t="s">
        <v>47</v>
      </c>
      <c r="V39" s="778">
        <v>500</v>
      </c>
      <c r="W39" s="779">
        <v>100</v>
      </c>
      <c r="X39" s="779">
        <f t="shared" si="10"/>
        <v>173</v>
      </c>
      <c r="Y39" s="783">
        <f t="shared" si="11"/>
        <v>-327</v>
      </c>
      <c r="Z39" s="784">
        <v>5</v>
      </c>
      <c r="AA39" s="779">
        <v>2500</v>
      </c>
      <c r="AB39" s="779">
        <v>3750</v>
      </c>
      <c r="AC39" s="779">
        <v>62</v>
      </c>
      <c r="AD39" s="783">
        <v>93</v>
      </c>
      <c r="AE39" s="785">
        <v>120</v>
      </c>
      <c r="AF39" s="779">
        <v>0</v>
      </c>
      <c r="AG39" s="779">
        <v>0</v>
      </c>
      <c r="AH39" s="779">
        <v>0</v>
      </c>
      <c r="AI39" s="779">
        <v>0</v>
      </c>
      <c r="AJ39" s="779">
        <v>10000</v>
      </c>
      <c r="AK39" s="786">
        <v>0</v>
      </c>
      <c r="AL39" s="787">
        <v>0</v>
      </c>
      <c r="AM39" s="778">
        <v>750</v>
      </c>
      <c r="AN39" s="779">
        <v>150</v>
      </c>
      <c r="AO39" s="779">
        <f t="shared" si="12"/>
        <v>259</v>
      </c>
      <c r="AP39" s="783">
        <f t="shared" si="13"/>
        <v>-491</v>
      </c>
      <c r="AQ39" s="784">
        <v>5</v>
      </c>
      <c r="AR39" s="779">
        <v>3750</v>
      </c>
      <c r="AS39" s="779">
        <v>5625</v>
      </c>
      <c r="AT39" s="779">
        <v>93</v>
      </c>
      <c r="AU39" s="783">
        <v>140</v>
      </c>
      <c r="AV39" s="785">
        <v>30</v>
      </c>
      <c r="AW39" s="779">
        <v>670000</v>
      </c>
      <c r="AX39" s="779">
        <v>0</v>
      </c>
      <c r="AY39" s="779">
        <v>0</v>
      </c>
      <c r="AZ39" s="779">
        <v>1</v>
      </c>
      <c r="BA39" s="779">
        <v>10000</v>
      </c>
      <c r="BB39" s="786">
        <v>8.2777777777777768</v>
      </c>
      <c r="BC39" s="787">
        <v>22333</v>
      </c>
      <c r="BD39" s="778">
        <v>875</v>
      </c>
      <c r="BE39" s="779">
        <v>175</v>
      </c>
      <c r="BF39" s="779">
        <f t="shared" si="14"/>
        <v>303</v>
      </c>
      <c r="BG39" s="783">
        <f t="shared" si="15"/>
        <v>-572</v>
      </c>
      <c r="BH39" s="784">
        <v>5</v>
      </c>
      <c r="BI39" s="779">
        <v>4375</v>
      </c>
      <c r="BJ39" s="779">
        <v>6562</v>
      </c>
      <c r="BK39" s="779">
        <v>109</v>
      </c>
      <c r="BL39" s="783">
        <v>164</v>
      </c>
      <c r="BM39" s="785">
        <v>60</v>
      </c>
      <c r="BN39" s="779">
        <v>1000000</v>
      </c>
      <c r="BO39" s="779">
        <v>0</v>
      </c>
      <c r="BP39" s="779">
        <v>0</v>
      </c>
      <c r="BQ39" s="779">
        <v>2</v>
      </c>
      <c r="BR39" s="779">
        <v>10000</v>
      </c>
      <c r="BS39" s="786">
        <v>11.666666666666666</v>
      </c>
      <c r="BT39" s="787">
        <v>16666</v>
      </c>
      <c r="BU39" s="778">
        <v>948</v>
      </c>
      <c r="BV39" s="779">
        <v>190</v>
      </c>
      <c r="BW39" s="779">
        <f t="shared" si="16"/>
        <v>329</v>
      </c>
      <c r="BX39" s="783">
        <f t="shared" si="17"/>
        <v>-619</v>
      </c>
      <c r="BY39" s="784">
        <v>5</v>
      </c>
      <c r="BZ39" s="779">
        <v>4740</v>
      </c>
      <c r="CA39" s="779">
        <v>7110</v>
      </c>
      <c r="CB39" s="779">
        <v>118</v>
      </c>
      <c r="CC39" s="783">
        <v>177</v>
      </c>
      <c r="CD39" s="785">
        <v>90</v>
      </c>
      <c r="CE39" s="779">
        <v>1300000</v>
      </c>
      <c r="CF39" s="779">
        <v>0</v>
      </c>
      <c r="CG39" s="779">
        <v>0</v>
      </c>
      <c r="CH39" s="779">
        <v>3</v>
      </c>
      <c r="CI39" s="779">
        <v>10000</v>
      </c>
      <c r="CJ39" s="786">
        <v>14.888800984528833</v>
      </c>
      <c r="CK39" s="787">
        <v>14444</v>
      </c>
      <c r="CL39" s="778">
        <v>1000</v>
      </c>
      <c r="CM39" s="779">
        <v>200</v>
      </c>
      <c r="CN39" s="779">
        <f t="shared" si="18"/>
        <v>346</v>
      </c>
      <c r="CO39" s="783">
        <f t="shared" si="19"/>
        <v>-654</v>
      </c>
      <c r="CP39" s="784">
        <v>5</v>
      </c>
      <c r="CQ39" s="779">
        <v>5000</v>
      </c>
      <c r="CR39" s="779">
        <v>7500</v>
      </c>
      <c r="CS39" s="779">
        <v>125</v>
      </c>
      <c r="CT39" s="783">
        <v>187</v>
      </c>
      <c r="CU39" s="785">
        <v>120</v>
      </c>
      <c r="CV39" s="779">
        <v>1700000</v>
      </c>
      <c r="CW39" s="779">
        <v>0</v>
      </c>
      <c r="CX39" s="779">
        <v>0</v>
      </c>
      <c r="CY39" s="779">
        <v>5</v>
      </c>
      <c r="CZ39" s="779">
        <v>10000</v>
      </c>
      <c r="DA39" s="786">
        <v>18.906666666666666</v>
      </c>
      <c r="DB39" s="787">
        <v>14166</v>
      </c>
      <c r="DC39" s="788">
        <v>420</v>
      </c>
      <c r="DD39" s="779">
        <v>4670000</v>
      </c>
      <c r="DE39" s="789">
        <v>0</v>
      </c>
      <c r="DF39" s="789">
        <v>0</v>
      </c>
      <c r="DG39" s="789">
        <v>11</v>
      </c>
      <c r="DH39" s="779">
        <v>50000</v>
      </c>
      <c r="DI39" s="786">
        <v>38.916666666666664</v>
      </c>
      <c r="DJ39" s="787">
        <v>11119.047619047618</v>
      </c>
      <c r="DK39" s="790">
        <v>115</v>
      </c>
      <c r="DL39" s="791" t="s">
        <v>43</v>
      </c>
      <c r="DM39" s="792">
        <v>10000</v>
      </c>
      <c r="DN39" s="793">
        <v>100000</v>
      </c>
      <c r="DO39" s="794">
        <v>200000</v>
      </c>
      <c r="DP39" s="794">
        <v>400000</v>
      </c>
      <c r="DQ39" s="794">
        <v>800000</v>
      </c>
      <c r="DR39" s="794"/>
      <c r="DS39" s="794"/>
      <c r="DT39" s="794"/>
      <c r="DU39" s="794"/>
      <c r="DV39" s="794"/>
      <c r="DW39" s="794"/>
      <c r="DX39" s="795"/>
      <c r="DY39" s="796" t="s">
        <v>43</v>
      </c>
      <c r="DZ39" s="797"/>
      <c r="EA39" s="776"/>
      <c r="EB39" s="776"/>
      <c r="EC39" s="798"/>
      <c r="ED39" s="799"/>
      <c r="EE39" s="779"/>
      <c r="EF39" s="779"/>
      <c r="EG39" s="779"/>
      <c r="EH39" s="783"/>
      <c r="EI39" s="800"/>
      <c r="EJ39" s="801"/>
    </row>
    <row r="40" spans="2:140">
      <c r="B40" s="1126" t="s">
        <v>135</v>
      </c>
      <c r="C40" s="765" t="s">
        <v>48</v>
      </c>
      <c r="D40" s="766"/>
      <c r="E40" s="767"/>
      <c r="F40" s="768" t="s">
        <v>43</v>
      </c>
      <c r="G40" s="769" t="s">
        <v>43</v>
      </c>
      <c r="H40" s="770">
        <v>7</v>
      </c>
      <c r="I40" s="771" t="s">
        <v>269</v>
      </c>
      <c r="J40" s="772">
        <v>1.5</v>
      </c>
      <c r="K40" s="773">
        <v>2.5000000000000001E-2</v>
      </c>
      <c r="L40" s="774">
        <v>5</v>
      </c>
      <c r="M40" s="775">
        <v>30</v>
      </c>
      <c r="N40" s="768">
        <v>7006</v>
      </c>
      <c r="O40" s="802">
        <v>42184</v>
      </c>
      <c r="P40" s="777" t="s">
        <v>98</v>
      </c>
      <c r="Q40" s="778">
        <v>550</v>
      </c>
      <c r="R40" s="779">
        <v>110</v>
      </c>
      <c r="S40" s="780">
        <v>4125</v>
      </c>
      <c r="T40" s="781" t="s">
        <v>357</v>
      </c>
      <c r="U40" s="782" t="s">
        <v>47</v>
      </c>
      <c r="V40" s="778">
        <v>550</v>
      </c>
      <c r="W40" s="779">
        <v>110</v>
      </c>
      <c r="X40" s="779">
        <f t="shared" si="10"/>
        <v>190</v>
      </c>
      <c r="Y40" s="783">
        <f t="shared" si="11"/>
        <v>-360</v>
      </c>
      <c r="Z40" s="784">
        <v>5</v>
      </c>
      <c r="AA40" s="779">
        <v>2750</v>
      </c>
      <c r="AB40" s="779">
        <v>4125</v>
      </c>
      <c r="AC40" s="779">
        <v>68</v>
      </c>
      <c r="AD40" s="783">
        <v>103</v>
      </c>
      <c r="AE40" s="785">
        <v>144</v>
      </c>
      <c r="AF40" s="779">
        <v>0</v>
      </c>
      <c r="AG40" s="779">
        <v>0</v>
      </c>
      <c r="AH40" s="779">
        <v>0</v>
      </c>
      <c r="AI40" s="779">
        <v>0</v>
      </c>
      <c r="AJ40" s="779">
        <v>10000</v>
      </c>
      <c r="AK40" s="786">
        <v>0</v>
      </c>
      <c r="AL40" s="787">
        <v>0</v>
      </c>
      <c r="AM40" s="778">
        <v>825</v>
      </c>
      <c r="AN40" s="779">
        <v>165</v>
      </c>
      <c r="AO40" s="779">
        <f t="shared" si="12"/>
        <v>285</v>
      </c>
      <c r="AP40" s="783">
        <f t="shared" si="13"/>
        <v>-540</v>
      </c>
      <c r="AQ40" s="784">
        <v>5</v>
      </c>
      <c r="AR40" s="779">
        <v>4125</v>
      </c>
      <c r="AS40" s="779">
        <v>6187</v>
      </c>
      <c r="AT40" s="779">
        <v>103</v>
      </c>
      <c r="AU40" s="783">
        <v>154</v>
      </c>
      <c r="AV40" s="785">
        <v>36</v>
      </c>
      <c r="AW40" s="779">
        <v>1700000</v>
      </c>
      <c r="AX40" s="779">
        <v>0</v>
      </c>
      <c r="AY40" s="779">
        <v>0</v>
      </c>
      <c r="AZ40" s="779">
        <v>1</v>
      </c>
      <c r="BA40" s="779">
        <v>10000</v>
      </c>
      <c r="BB40" s="786">
        <v>18.171717171717173</v>
      </c>
      <c r="BC40" s="787">
        <v>47222</v>
      </c>
      <c r="BD40" s="778">
        <v>963</v>
      </c>
      <c r="BE40" s="779">
        <v>193</v>
      </c>
      <c r="BF40" s="779">
        <f t="shared" si="14"/>
        <v>334</v>
      </c>
      <c r="BG40" s="783">
        <f t="shared" si="15"/>
        <v>-629</v>
      </c>
      <c r="BH40" s="784">
        <v>5</v>
      </c>
      <c r="BI40" s="779">
        <v>4815</v>
      </c>
      <c r="BJ40" s="779">
        <v>7222</v>
      </c>
      <c r="BK40" s="779">
        <v>120</v>
      </c>
      <c r="BL40" s="783">
        <v>180</v>
      </c>
      <c r="BM40" s="785">
        <v>72</v>
      </c>
      <c r="BN40" s="779">
        <v>2500000</v>
      </c>
      <c r="BO40" s="779">
        <v>0</v>
      </c>
      <c r="BP40" s="779">
        <v>0</v>
      </c>
      <c r="BQ40" s="779">
        <v>2</v>
      </c>
      <c r="BR40" s="779">
        <v>10000</v>
      </c>
      <c r="BS40" s="786">
        <v>24.203876773970233</v>
      </c>
      <c r="BT40" s="787">
        <v>34722</v>
      </c>
      <c r="BU40" s="778">
        <v>1043</v>
      </c>
      <c r="BV40" s="779">
        <v>209</v>
      </c>
      <c r="BW40" s="779">
        <f t="shared" si="16"/>
        <v>362</v>
      </c>
      <c r="BX40" s="783">
        <f t="shared" si="17"/>
        <v>-681</v>
      </c>
      <c r="BY40" s="784">
        <v>5</v>
      </c>
      <c r="BZ40" s="779">
        <v>5215</v>
      </c>
      <c r="CA40" s="779">
        <v>7822</v>
      </c>
      <c r="CB40" s="779">
        <v>130</v>
      </c>
      <c r="CC40" s="783">
        <v>195</v>
      </c>
      <c r="CD40" s="785">
        <v>108</v>
      </c>
      <c r="CE40" s="779">
        <v>3300000</v>
      </c>
      <c r="CF40" s="779">
        <v>0</v>
      </c>
      <c r="CG40" s="779">
        <v>0</v>
      </c>
      <c r="CH40" s="779">
        <v>3</v>
      </c>
      <c r="CI40" s="966">
        <v>10000</v>
      </c>
      <c r="CJ40" s="786">
        <v>30.521093000958771</v>
      </c>
      <c r="CK40" s="787">
        <v>30555</v>
      </c>
      <c r="CL40" s="778">
        <v>1100</v>
      </c>
      <c r="CM40" s="779">
        <v>220</v>
      </c>
      <c r="CN40" s="779">
        <f t="shared" si="18"/>
        <v>381</v>
      </c>
      <c r="CO40" s="783">
        <f t="shared" si="19"/>
        <v>-719</v>
      </c>
      <c r="CP40" s="784">
        <v>5</v>
      </c>
      <c r="CQ40" s="779">
        <v>5500</v>
      </c>
      <c r="CR40" s="779">
        <v>8250</v>
      </c>
      <c r="CS40" s="779">
        <v>137</v>
      </c>
      <c r="CT40" s="783">
        <v>206</v>
      </c>
      <c r="CU40" s="785">
        <v>144</v>
      </c>
      <c r="CV40" s="779">
        <v>4200000</v>
      </c>
      <c r="CW40" s="779">
        <v>0</v>
      </c>
      <c r="CX40" s="779">
        <v>0</v>
      </c>
      <c r="CY40" s="779">
        <v>5</v>
      </c>
      <c r="CZ40" s="966">
        <v>10000</v>
      </c>
      <c r="DA40" s="786">
        <v>37.507272727272728</v>
      </c>
      <c r="DB40" s="787">
        <v>29166</v>
      </c>
      <c r="DC40" s="788">
        <v>504</v>
      </c>
      <c r="DD40" s="779">
        <v>11700000</v>
      </c>
      <c r="DE40" s="789">
        <v>0</v>
      </c>
      <c r="DF40" s="789">
        <v>0</v>
      </c>
      <c r="DG40" s="789">
        <v>11</v>
      </c>
      <c r="DH40" s="966">
        <v>50000</v>
      </c>
      <c r="DI40" s="786">
        <v>88.63636363636364</v>
      </c>
      <c r="DJ40" s="787">
        <v>23214.285714285714</v>
      </c>
      <c r="DK40" s="965">
        <v>137</v>
      </c>
      <c r="DL40" s="791" t="s">
        <v>43</v>
      </c>
      <c r="DM40" s="792">
        <v>10000</v>
      </c>
      <c r="DN40" s="793">
        <v>250000</v>
      </c>
      <c r="DO40" s="794">
        <v>500000</v>
      </c>
      <c r="DP40" s="794">
        <v>1000000</v>
      </c>
      <c r="DQ40" s="794"/>
      <c r="DR40" s="794"/>
      <c r="DS40" s="794"/>
      <c r="DT40" s="794"/>
      <c r="DU40" s="794"/>
      <c r="DV40" s="794"/>
      <c r="DW40" s="794"/>
      <c r="DX40" s="795"/>
      <c r="DY40" s="796" t="s">
        <v>43</v>
      </c>
      <c r="DZ40" s="797"/>
      <c r="EA40" s="776"/>
      <c r="EB40" s="776"/>
      <c r="EC40" s="798"/>
      <c r="ED40" s="799"/>
      <c r="EE40" s="779"/>
      <c r="EF40" s="779"/>
      <c r="EG40" s="779"/>
      <c r="EH40" s="783"/>
      <c r="EI40" s="800"/>
      <c r="EJ40" s="801"/>
    </row>
    <row r="41" spans="2:140">
      <c r="B41" s="1126" t="s">
        <v>213</v>
      </c>
      <c r="C41" s="765" t="s">
        <v>48</v>
      </c>
      <c r="D41" s="766"/>
      <c r="E41" s="767" t="s">
        <v>43</v>
      </c>
      <c r="F41" s="768"/>
      <c r="G41" s="769"/>
      <c r="H41" s="770">
        <v>7</v>
      </c>
      <c r="I41" s="771" t="s">
        <v>269</v>
      </c>
      <c r="J41" s="772">
        <v>6</v>
      </c>
      <c r="K41" s="773">
        <v>2.5000000000000001E-2</v>
      </c>
      <c r="L41" s="774">
        <v>6.3492063492063489</v>
      </c>
      <c r="M41" s="775">
        <v>30</v>
      </c>
      <c r="N41" s="768">
        <v>7010</v>
      </c>
      <c r="O41" s="802">
        <v>42348</v>
      </c>
      <c r="P41" s="777" t="s">
        <v>206</v>
      </c>
      <c r="Q41" s="778">
        <v>1600</v>
      </c>
      <c r="R41" s="779">
        <v>252</v>
      </c>
      <c r="S41" s="780">
        <v>48000</v>
      </c>
      <c r="T41" s="781" t="s">
        <v>358</v>
      </c>
      <c r="U41" s="782" t="s">
        <v>47</v>
      </c>
      <c r="V41" s="778">
        <v>534</v>
      </c>
      <c r="W41" s="779">
        <v>84</v>
      </c>
      <c r="X41" s="779">
        <f t="shared" si="10"/>
        <v>145</v>
      </c>
      <c r="Y41" s="783">
        <f t="shared" si="11"/>
        <v>-389</v>
      </c>
      <c r="Z41" s="784">
        <v>5</v>
      </c>
      <c r="AA41" s="779">
        <v>2670</v>
      </c>
      <c r="AB41" s="779">
        <v>16020</v>
      </c>
      <c r="AC41" s="779">
        <v>66</v>
      </c>
      <c r="AD41" s="783">
        <v>400</v>
      </c>
      <c r="AE41" s="785">
        <v>6</v>
      </c>
      <c r="AF41" s="779">
        <v>0</v>
      </c>
      <c r="AG41" s="779">
        <v>0</v>
      </c>
      <c r="AH41" s="779">
        <v>0</v>
      </c>
      <c r="AI41" s="779">
        <v>0</v>
      </c>
      <c r="AJ41" s="779">
        <v>10000</v>
      </c>
      <c r="AK41" s="786">
        <v>0</v>
      </c>
      <c r="AL41" s="787">
        <v>0</v>
      </c>
      <c r="AM41" s="778">
        <v>667</v>
      </c>
      <c r="AN41" s="779">
        <v>105</v>
      </c>
      <c r="AO41" s="779">
        <f t="shared" si="12"/>
        <v>181</v>
      </c>
      <c r="AP41" s="783">
        <f t="shared" si="13"/>
        <v>-486</v>
      </c>
      <c r="AQ41" s="784">
        <v>5</v>
      </c>
      <c r="AR41" s="779">
        <v>3335</v>
      </c>
      <c r="AS41" s="779">
        <v>20010</v>
      </c>
      <c r="AT41" s="779">
        <v>83</v>
      </c>
      <c r="AU41" s="783">
        <v>500</v>
      </c>
      <c r="AV41" s="785">
        <v>48</v>
      </c>
      <c r="AW41" s="779">
        <v>2800000</v>
      </c>
      <c r="AX41" s="779">
        <v>0</v>
      </c>
      <c r="AY41" s="779">
        <v>0</v>
      </c>
      <c r="AZ41" s="779">
        <v>3</v>
      </c>
      <c r="BA41" s="966">
        <v>10000</v>
      </c>
      <c r="BB41" s="786">
        <v>36.583708145927041</v>
      </c>
      <c r="BC41" s="787">
        <v>58333</v>
      </c>
      <c r="BD41" s="967">
        <v>800</v>
      </c>
      <c r="BE41" s="966">
        <v>126</v>
      </c>
      <c r="BF41" s="966">
        <f t="shared" si="14"/>
        <v>218</v>
      </c>
      <c r="BG41" s="968">
        <f t="shared" si="15"/>
        <v>-582</v>
      </c>
      <c r="BH41" s="969">
        <v>5</v>
      </c>
      <c r="BI41" s="966">
        <v>4000</v>
      </c>
      <c r="BJ41" s="966">
        <v>24000</v>
      </c>
      <c r="BK41" s="966">
        <v>100</v>
      </c>
      <c r="BL41" s="968">
        <v>600</v>
      </c>
      <c r="BM41" s="971">
        <v>96</v>
      </c>
      <c r="BN41" s="966">
        <v>4200000</v>
      </c>
      <c r="BO41" s="966">
        <v>0</v>
      </c>
      <c r="BP41" s="966">
        <v>0</v>
      </c>
      <c r="BQ41" s="966">
        <v>5</v>
      </c>
      <c r="BR41" s="966">
        <v>10000</v>
      </c>
      <c r="BS41" s="970">
        <v>47.085000000000001</v>
      </c>
      <c r="BT41" s="972">
        <v>43750</v>
      </c>
      <c r="BU41" s="967">
        <v>1067</v>
      </c>
      <c r="BV41" s="966">
        <v>168</v>
      </c>
      <c r="BW41" s="966">
        <f t="shared" si="16"/>
        <v>291</v>
      </c>
      <c r="BX41" s="968">
        <f t="shared" si="17"/>
        <v>-776</v>
      </c>
      <c r="BY41" s="969">
        <v>5</v>
      </c>
      <c r="BZ41" s="966">
        <v>5335</v>
      </c>
      <c r="CA41" s="966">
        <v>32010</v>
      </c>
      <c r="CB41" s="966">
        <v>133</v>
      </c>
      <c r="CC41" s="968">
        <v>800</v>
      </c>
      <c r="CD41" s="785"/>
      <c r="CE41" s="779"/>
      <c r="CF41" s="779"/>
      <c r="CG41" s="779"/>
      <c r="CH41" s="779"/>
      <c r="CI41" s="966">
        <v>10000</v>
      </c>
      <c r="CJ41" s="970">
        <v>0</v>
      </c>
      <c r="CK41" s="787">
        <v>0</v>
      </c>
      <c r="CL41" s="967">
        <v>1600</v>
      </c>
      <c r="CM41" s="966">
        <v>252</v>
      </c>
      <c r="CN41" s="966">
        <f t="shared" si="18"/>
        <v>436</v>
      </c>
      <c r="CO41" s="968">
        <f t="shared" si="19"/>
        <v>-1164</v>
      </c>
      <c r="CP41" s="969">
        <v>5</v>
      </c>
      <c r="CQ41" s="966">
        <v>8000</v>
      </c>
      <c r="CR41" s="966">
        <v>48000</v>
      </c>
      <c r="CS41" s="966">
        <v>200</v>
      </c>
      <c r="CT41" s="968">
        <v>1200</v>
      </c>
      <c r="CU41" s="785"/>
      <c r="CV41" s="779"/>
      <c r="CW41" s="779"/>
      <c r="CX41" s="779"/>
      <c r="CY41" s="779"/>
      <c r="CZ41" s="966">
        <v>10000</v>
      </c>
      <c r="DA41" s="970">
        <v>0</v>
      </c>
      <c r="DB41" s="787">
        <v>0</v>
      </c>
      <c r="DC41" s="973"/>
      <c r="DD41" s="966"/>
      <c r="DE41" s="974"/>
      <c r="DF41" s="974"/>
      <c r="DG41" s="974"/>
      <c r="DH41" s="966">
        <v>50000</v>
      </c>
      <c r="DI41" s="970"/>
      <c r="DJ41" s="972"/>
      <c r="DK41" s="790"/>
      <c r="DL41" s="791"/>
      <c r="DM41" s="792">
        <v>10000</v>
      </c>
      <c r="DN41" s="793">
        <v>1100000</v>
      </c>
      <c r="DO41" s="794"/>
      <c r="DP41" s="794"/>
      <c r="DQ41" s="794"/>
      <c r="DR41" s="794"/>
      <c r="DS41" s="794"/>
      <c r="DT41" s="794"/>
      <c r="DU41" s="794"/>
      <c r="DV41" s="794"/>
      <c r="DW41" s="794"/>
      <c r="DX41" s="795"/>
      <c r="DY41" s="796" t="s">
        <v>43</v>
      </c>
      <c r="DZ41" s="797"/>
      <c r="EA41" s="776"/>
      <c r="EB41" s="776"/>
      <c r="EC41" s="798"/>
      <c r="ED41" s="799"/>
      <c r="EE41" s="779"/>
      <c r="EF41" s="779"/>
      <c r="EG41" s="779"/>
      <c r="EH41" s="783"/>
      <c r="EI41" s="800"/>
      <c r="EJ41" s="801"/>
    </row>
    <row r="42" spans="2:140">
      <c r="B42" s="1126" t="s">
        <v>259</v>
      </c>
      <c r="C42" s="765" t="s">
        <v>48</v>
      </c>
      <c r="D42" s="766"/>
      <c r="E42" s="767" t="s">
        <v>43</v>
      </c>
      <c r="F42" s="768"/>
      <c r="G42" s="769"/>
      <c r="H42" s="770">
        <v>7</v>
      </c>
      <c r="I42" s="771" t="s">
        <v>269</v>
      </c>
      <c r="J42" s="772">
        <v>6</v>
      </c>
      <c r="K42" s="975">
        <v>2.5000000000000001E-2</v>
      </c>
      <c r="L42" s="774">
        <v>6.4822134387351777</v>
      </c>
      <c r="M42" s="775">
        <v>30</v>
      </c>
      <c r="N42" s="768">
        <v>7015</v>
      </c>
      <c r="O42" s="802">
        <v>42384</v>
      </c>
      <c r="P42" s="777" t="s">
        <v>206</v>
      </c>
      <c r="Q42" s="778">
        <v>1640</v>
      </c>
      <c r="R42" s="779">
        <v>253</v>
      </c>
      <c r="S42" s="780">
        <v>49200</v>
      </c>
      <c r="T42" s="781" t="s">
        <v>359</v>
      </c>
      <c r="U42" s="782" t="s">
        <v>47</v>
      </c>
      <c r="V42" s="778">
        <v>547</v>
      </c>
      <c r="W42" s="779">
        <v>85</v>
      </c>
      <c r="X42" s="779">
        <f t="shared" si="10"/>
        <v>147</v>
      </c>
      <c r="Y42" s="783">
        <f t="shared" si="11"/>
        <v>-400</v>
      </c>
      <c r="Z42" s="784">
        <v>5</v>
      </c>
      <c r="AA42" s="779">
        <v>2735</v>
      </c>
      <c r="AB42" s="779">
        <v>16410</v>
      </c>
      <c r="AC42" s="966">
        <v>68</v>
      </c>
      <c r="AD42" s="968">
        <v>410</v>
      </c>
      <c r="AE42" s="785">
        <v>6</v>
      </c>
      <c r="AF42" s="779">
        <v>0</v>
      </c>
      <c r="AG42" s="779">
        <v>0</v>
      </c>
      <c r="AH42" s="779">
        <v>0</v>
      </c>
      <c r="AI42" s="779">
        <v>0</v>
      </c>
      <c r="AJ42" s="966">
        <v>10000</v>
      </c>
      <c r="AK42" s="786">
        <v>0</v>
      </c>
      <c r="AL42" s="787">
        <v>0</v>
      </c>
      <c r="AM42" s="967">
        <v>684</v>
      </c>
      <c r="AN42" s="966">
        <v>106</v>
      </c>
      <c r="AO42" s="966">
        <f t="shared" si="12"/>
        <v>183</v>
      </c>
      <c r="AP42" s="968">
        <f t="shared" si="13"/>
        <v>-501</v>
      </c>
      <c r="AQ42" s="784">
        <v>5</v>
      </c>
      <c r="AR42" s="966">
        <v>3420</v>
      </c>
      <c r="AS42" s="966">
        <v>20520</v>
      </c>
      <c r="AT42" s="966">
        <v>85</v>
      </c>
      <c r="AU42" s="968">
        <v>513</v>
      </c>
      <c r="AV42" s="785"/>
      <c r="AW42" s="779"/>
      <c r="AX42" s="779"/>
      <c r="AY42" s="779"/>
      <c r="AZ42" s="779"/>
      <c r="BA42" s="966">
        <v>10000</v>
      </c>
      <c r="BB42" s="970">
        <v>0</v>
      </c>
      <c r="BC42" s="787">
        <v>0</v>
      </c>
      <c r="BD42" s="967">
        <v>820</v>
      </c>
      <c r="BE42" s="966">
        <v>127</v>
      </c>
      <c r="BF42" s="966">
        <f t="shared" si="14"/>
        <v>220</v>
      </c>
      <c r="BG42" s="968">
        <f t="shared" si="15"/>
        <v>-600</v>
      </c>
      <c r="BH42" s="784">
        <v>5</v>
      </c>
      <c r="BI42" s="966">
        <v>4100</v>
      </c>
      <c r="BJ42" s="966">
        <v>24600</v>
      </c>
      <c r="BK42" s="966">
        <v>102</v>
      </c>
      <c r="BL42" s="968">
        <v>615</v>
      </c>
      <c r="BM42" s="785"/>
      <c r="BN42" s="779"/>
      <c r="BO42" s="779"/>
      <c r="BP42" s="779"/>
      <c r="BQ42" s="779"/>
      <c r="BR42" s="966">
        <v>10000</v>
      </c>
      <c r="BS42" s="970">
        <v>0</v>
      </c>
      <c r="BT42" s="787">
        <v>0</v>
      </c>
      <c r="BU42" s="967">
        <v>1094</v>
      </c>
      <c r="BV42" s="966">
        <v>169</v>
      </c>
      <c r="BW42" s="966">
        <f t="shared" si="16"/>
        <v>292</v>
      </c>
      <c r="BX42" s="968">
        <f t="shared" si="17"/>
        <v>-802</v>
      </c>
      <c r="BY42" s="784">
        <v>5</v>
      </c>
      <c r="BZ42" s="966">
        <v>5470</v>
      </c>
      <c r="CA42" s="966">
        <v>32820</v>
      </c>
      <c r="CB42" s="966">
        <v>136</v>
      </c>
      <c r="CC42" s="968">
        <v>820</v>
      </c>
      <c r="CD42" s="785"/>
      <c r="CE42" s="779"/>
      <c r="CF42" s="779"/>
      <c r="CG42" s="779"/>
      <c r="CH42" s="779"/>
      <c r="CI42" s="966">
        <v>10000</v>
      </c>
      <c r="CJ42" s="970">
        <v>0</v>
      </c>
      <c r="CK42" s="787">
        <v>0</v>
      </c>
      <c r="CL42" s="778">
        <v>1640</v>
      </c>
      <c r="CM42" s="779">
        <v>253</v>
      </c>
      <c r="CN42" s="779">
        <f t="shared" si="18"/>
        <v>438</v>
      </c>
      <c r="CO42" s="783">
        <f t="shared" si="19"/>
        <v>-1202</v>
      </c>
      <c r="CP42" s="784">
        <v>5</v>
      </c>
      <c r="CQ42" s="779">
        <v>8200</v>
      </c>
      <c r="CR42" s="779">
        <v>49200</v>
      </c>
      <c r="CS42" s="966">
        <v>205</v>
      </c>
      <c r="CT42" s="968">
        <v>1230</v>
      </c>
      <c r="CU42" s="785"/>
      <c r="CV42" s="779"/>
      <c r="CW42" s="779"/>
      <c r="CX42" s="779"/>
      <c r="CY42" s="779"/>
      <c r="CZ42" s="966">
        <v>10000</v>
      </c>
      <c r="DA42" s="786">
        <v>0</v>
      </c>
      <c r="DB42" s="787">
        <v>0</v>
      </c>
      <c r="DC42" s="788"/>
      <c r="DD42" s="779"/>
      <c r="DE42" s="789"/>
      <c r="DF42" s="789"/>
      <c r="DG42" s="789"/>
      <c r="DH42" s="966">
        <v>50000</v>
      </c>
      <c r="DI42" s="970"/>
      <c r="DJ42" s="787"/>
      <c r="DK42" s="790"/>
      <c r="DL42" s="791"/>
      <c r="DM42" s="792">
        <v>10000</v>
      </c>
      <c r="DN42" s="793">
        <v>1600000</v>
      </c>
      <c r="DO42" s="794"/>
      <c r="DP42" s="794"/>
      <c r="DQ42" s="794"/>
      <c r="DR42" s="794"/>
      <c r="DS42" s="794"/>
      <c r="DT42" s="794"/>
      <c r="DU42" s="794"/>
      <c r="DV42" s="794"/>
      <c r="DW42" s="794"/>
      <c r="DX42" s="795"/>
      <c r="DY42" s="796" t="s">
        <v>43</v>
      </c>
      <c r="DZ42" s="797"/>
      <c r="EA42" s="776"/>
      <c r="EB42" s="776"/>
      <c r="EC42" s="798"/>
      <c r="ED42" s="799"/>
      <c r="EE42" s="779"/>
      <c r="EF42" s="779"/>
      <c r="EG42" s="779"/>
      <c r="EH42" s="783"/>
      <c r="EI42" s="800"/>
      <c r="EJ42" s="801"/>
    </row>
    <row r="43" spans="2:140">
      <c r="B43" s="1126" t="s">
        <v>947</v>
      </c>
      <c r="C43" s="765" t="s">
        <v>48</v>
      </c>
      <c r="D43" s="766"/>
      <c r="E43" s="767" t="s">
        <v>43</v>
      </c>
      <c r="F43" s="768"/>
      <c r="G43" s="769"/>
      <c r="H43" s="770">
        <v>7</v>
      </c>
      <c r="I43" s="771" t="s">
        <v>269</v>
      </c>
      <c r="J43" s="772">
        <v>6</v>
      </c>
      <c r="K43" s="975">
        <v>2.5000000000000001E-2</v>
      </c>
      <c r="L43" s="774">
        <v>6.5625</v>
      </c>
      <c r="M43" s="775">
        <v>30</v>
      </c>
      <c r="N43" s="768">
        <v>7020</v>
      </c>
      <c r="O43" s="802">
        <v>42415</v>
      </c>
      <c r="P43" s="777" t="s">
        <v>206</v>
      </c>
      <c r="Q43" s="778">
        <v>1680</v>
      </c>
      <c r="R43" s="779">
        <v>256</v>
      </c>
      <c r="S43" s="780">
        <v>50400</v>
      </c>
      <c r="T43" s="781" t="s">
        <v>949</v>
      </c>
      <c r="U43" s="782" t="s">
        <v>47</v>
      </c>
      <c r="V43" s="967">
        <v>560</v>
      </c>
      <c r="W43" s="966">
        <v>86</v>
      </c>
      <c r="X43" s="966">
        <f t="shared" si="10"/>
        <v>148</v>
      </c>
      <c r="Y43" s="968">
        <f t="shared" si="11"/>
        <v>-412</v>
      </c>
      <c r="Z43" s="969">
        <v>5</v>
      </c>
      <c r="AA43" s="966">
        <v>2800</v>
      </c>
      <c r="AB43" s="966">
        <v>16800</v>
      </c>
      <c r="AC43" s="966">
        <v>70</v>
      </c>
      <c r="AD43" s="968">
        <v>420</v>
      </c>
      <c r="AE43" s="785"/>
      <c r="AF43" s="779"/>
      <c r="AG43" s="779"/>
      <c r="AH43" s="779"/>
      <c r="AI43" s="779"/>
      <c r="AJ43" s="966">
        <v>10000</v>
      </c>
      <c r="AK43" s="970">
        <v>0</v>
      </c>
      <c r="AL43" s="787">
        <v>0</v>
      </c>
      <c r="AM43" s="967">
        <v>700</v>
      </c>
      <c r="AN43" s="966">
        <v>107</v>
      </c>
      <c r="AO43" s="966">
        <f t="shared" si="12"/>
        <v>185</v>
      </c>
      <c r="AP43" s="968">
        <f t="shared" si="13"/>
        <v>-515</v>
      </c>
      <c r="AQ43" s="969">
        <v>5</v>
      </c>
      <c r="AR43" s="966">
        <v>3500</v>
      </c>
      <c r="AS43" s="966">
        <v>21000</v>
      </c>
      <c r="AT43" s="966">
        <v>87</v>
      </c>
      <c r="AU43" s="968">
        <v>525</v>
      </c>
      <c r="AV43" s="785"/>
      <c r="AW43" s="779"/>
      <c r="AX43" s="779"/>
      <c r="AY43" s="779"/>
      <c r="AZ43" s="779"/>
      <c r="BA43" s="966">
        <v>10000</v>
      </c>
      <c r="BB43" s="970">
        <v>0</v>
      </c>
      <c r="BC43" s="787">
        <v>0</v>
      </c>
      <c r="BD43" s="967">
        <v>840</v>
      </c>
      <c r="BE43" s="966">
        <v>128</v>
      </c>
      <c r="BF43" s="966">
        <f t="shared" si="14"/>
        <v>221</v>
      </c>
      <c r="BG43" s="968">
        <f t="shared" si="15"/>
        <v>-619</v>
      </c>
      <c r="BH43" s="969">
        <v>5</v>
      </c>
      <c r="BI43" s="966">
        <v>4200</v>
      </c>
      <c r="BJ43" s="966">
        <v>25200</v>
      </c>
      <c r="BK43" s="966">
        <v>105</v>
      </c>
      <c r="BL43" s="968">
        <v>630</v>
      </c>
      <c r="BM43" s="785"/>
      <c r="BN43" s="779"/>
      <c r="BO43" s="779"/>
      <c r="BP43" s="779"/>
      <c r="BQ43" s="779"/>
      <c r="BR43" s="966">
        <v>10000</v>
      </c>
      <c r="BS43" s="970">
        <v>0</v>
      </c>
      <c r="BT43" s="787">
        <v>0</v>
      </c>
      <c r="BU43" s="967">
        <v>1120</v>
      </c>
      <c r="BV43" s="966">
        <v>171</v>
      </c>
      <c r="BW43" s="966">
        <f t="shared" si="16"/>
        <v>296</v>
      </c>
      <c r="BX43" s="968">
        <f t="shared" si="17"/>
        <v>-824</v>
      </c>
      <c r="BY43" s="969">
        <v>5</v>
      </c>
      <c r="BZ43" s="966">
        <v>5600</v>
      </c>
      <c r="CA43" s="966">
        <v>33600</v>
      </c>
      <c r="CB43" s="966">
        <v>140</v>
      </c>
      <c r="CC43" s="968">
        <v>840</v>
      </c>
      <c r="CD43" s="785"/>
      <c r="CE43" s="779"/>
      <c r="CF43" s="779"/>
      <c r="CG43" s="779"/>
      <c r="CH43" s="779"/>
      <c r="CI43" s="966">
        <v>10000</v>
      </c>
      <c r="CJ43" s="970">
        <v>0</v>
      </c>
      <c r="CK43" s="787">
        <v>0</v>
      </c>
      <c r="CL43" s="778">
        <v>1680</v>
      </c>
      <c r="CM43" s="779">
        <v>256</v>
      </c>
      <c r="CN43" s="779">
        <f t="shared" si="18"/>
        <v>443</v>
      </c>
      <c r="CO43" s="783">
        <f t="shared" si="19"/>
        <v>-1237</v>
      </c>
      <c r="CP43" s="784">
        <v>5</v>
      </c>
      <c r="CQ43" s="779">
        <v>8400</v>
      </c>
      <c r="CR43" s="779">
        <v>50400</v>
      </c>
      <c r="CS43" s="966">
        <v>210</v>
      </c>
      <c r="CT43" s="968">
        <v>1260</v>
      </c>
      <c r="CU43" s="785"/>
      <c r="CV43" s="779"/>
      <c r="CW43" s="779"/>
      <c r="CX43" s="779"/>
      <c r="CY43" s="779"/>
      <c r="CZ43" s="966">
        <v>10000</v>
      </c>
      <c r="DA43" s="786">
        <v>0</v>
      </c>
      <c r="DB43" s="787">
        <v>0</v>
      </c>
      <c r="DC43" s="788"/>
      <c r="DD43" s="779"/>
      <c r="DE43" s="789"/>
      <c r="DF43" s="789"/>
      <c r="DG43" s="789"/>
      <c r="DH43" s="966">
        <v>50000</v>
      </c>
      <c r="DI43" s="970"/>
      <c r="DJ43" s="787"/>
      <c r="DK43" s="790"/>
      <c r="DL43" s="791"/>
      <c r="DM43" s="792">
        <v>10000</v>
      </c>
      <c r="DN43" s="793">
        <v>2100000</v>
      </c>
      <c r="DO43" s="794"/>
      <c r="DP43" s="794"/>
      <c r="DQ43" s="794"/>
      <c r="DR43" s="794"/>
      <c r="DS43" s="794"/>
      <c r="DT43" s="794"/>
      <c r="DU43" s="794"/>
      <c r="DV43" s="794"/>
      <c r="DW43" s="794"/>
      <c r="DX43" s="795"/>
      <c r="DY43" s="796" t="s">
        <v>43</v>
      </c>
      <c r="DZ43" s="797"/>
      <c r="EA43" s="776"/>
      <c r="EB43" s="776"/>
      <c r="EC43" s="798"/>
      <c r="ED43" s="799"/>
      <c r="EE43" s="779"/>
      <c r="EF43" s="779"/>
      <c r="EG43" s="779"/>
      <c r="EH43" s="783"/>
      <c r="EI43" s="800"/>
      <c r="EJ43" s="801"/>
    </row>
    <row r="44" spans="2:140">
      <c r="B44" s="1126" t="s">
        <v>84</v>
      </c>
      <c r="C44" s="765" t="s">
        <v>48</v>
      </c>
      <c r="D44" s="766"/>
      <c r="E44" s="767" t="s">
        <v>43</v>
      </c>
      <c r="F44" s="768"/>
      <c r="G44" s="769"/>
      <c r="H44" s="770">
        <v>4</v>
      </c>
      <c r="I44" s="771" t="s">
        <v>282</v>
      </c>
      <c r="J44" s="772">
        <v>6</v>
      </c>
      <c r="K44" s="773">
        <v>2.5000000000000001E-2</v>
      </c>
      <c r="L44" s="774">
        <v>3.75</v>
      </c>
      <c r="M44" s="775">
        <v>100</v>
      </c>
      <c r="N44" s="768">
        <v>47</v>
      </c>
      <c r="O44" s="802">
        <v>42139</v>
      </c>
      <c r="P44" s="777" t="s">
        <v>98</v>
      </c>
      <c r="Q44" s="778">
        <v>300</v>
      </c>
      <c r="R44" s="779">
        <v>80</v>
      </c>
      <c r="S44" s="780">
        <v>7200</v>
      </c>
      <c r="T44" s="781" t="s">
        <v>360</v>
      </c>
      <c r="U44" s="782" t="s">
        <v>639</v>
      </c>
      <c r="V44" s="778">
        <v>300</v>
      </c>
      <c r="W44" s="779">
        <v>80</v>
      </c>
      <c r="X44" s="779">
        <f t="shared" si="10"/>
        <v>138</v>
      </c>
      <c r="Y44" s="783">
        <f t="shared" si="11"/>
        <v>-162</v>
      </c>
      <c r="Z44" s="784">
        <v>4</v>
      </c>
      <c r="AA44" s="779">
        <v>1200</v>
      </c>
      <c r="AB44" s="779">
        <v>7200</v>
      </c>
      <c r="AC44" s="779">
        <v>30</v>
      </c>
      <c r="AD44" s="783">
        <v>180</v>
      </c>
      <c r="AE44" s="785">
        <v>8</v>
      </c>
      <c r="AF44" s="779">
        <v>0</v>
      </c>
      <c r="AG44" s="779">
        <v>0</v>
      </c>
      <c r="AH44" s="779">
        <v>0</v>
      </c>
      <c r="AI44" s="779">
        <v>0</v>
      </c>
      <c r="AJ44" s="779">
        <v>360</v>
      </c>
      <c r="AK44" s="786">
        <v>0</v>
      </c>
      <c r="AL44" s="787">
        <v>0</v>
      </c>
      <c r="AM44" s="778">
        <v>450</v>
      </c>
      <c r="AN44" s="779">
        <v>120</v>
      </c>
      <c r="AO44" s="779">
        <f t="shared" si="12"/>
        <v>207</v>
      </c>
      <c r="AP44" s="783">
        <f t="shared" si="13"/>
        <v>-243</v>
      </c>
      <c r="AQ44" s="784">
        <v>4</v>
      </c>
      <c r="AR44" s="779">
        <v>1800</v>
      </c>
      <c r="AS44" s="779">
        <v>10800</v>
      </c>
      <c r="AT44" s="779">
        <v>45</v>
      </c>
      <c r="AU44" s="783">
        <v>270</v>
      </c>
      <c r="AV44" s="785">
        <v>3</v>
      </c>
      <c r="AW44" s="779">
        <v>300000</v>
      </c>
      <c r="AX44" s="779">
        <v>0</v>
      </c>
      <c r="AY44" s="779">
        <v>0</v>
      </c>
      <c r="AZ44" s="779">
        <v>0</v>
      </c>
      <c r="BA44" s="779">
        <v>135</v>
      </c>
      <c r="BB44" s="786">
        <v>7.0277777777777777</v>
      </c>
      <c r="BC44" s="787">
        <v>100000</v>
      </c>
      <c r="BD44" s="778">
        <v>525</v>
      </c>
      <c r="BE44" s="779">
        <v>140</v>
      </c>
      <c r="BF44" s="779">
        <f t="shared" si="14"/>
        <v>242</v>
      </c>
      <c r="BG44" s="783">
        <f t="shared" si="15"/>
        <v>-283</v>
      </c>
      <c r="BH44" s="784">
        <v>4</v>
      </c>
      <c r="BI44" s="779">
        <v>2100</v>
      </c>
      <c r="BJ44" s="779">
        <v>12600</v>
      </c>
      <c r="BK44" s="779">
        <v>52</v>
      </c>
      <c r="BL44" s="783">
        <v>315</v>
      </c>
      <c r="BM44" s="785">
        <v>6</v>
      </c>
      <c r="BN44" s="779">
        <v>450000</v>
      </c>
      <c r="BO44" s="779">
        <v>0</v>
      </c>
      <c r="BP44" s="779">
        <v>1</v>
      </c>
      <c r="BQ44" s="779">
        <v>0</v>
      </c>
      <c r="BR44" s="779">
        <v>315</v>
      </c>
      <c r="BS44" s="786">
        <v>9.1428571428571423</v>
      </c>
      <c r="BT44" s="787">
        <v>75000</v>
      </c>
      <c r="BU44" s="778">
        <v>570</v>
      </c>
      <c r="BV44" s="779">
        <v>152</v>
      </c>
      <c r="BW44" s="779">
        <f t="shared" si="16"/>
        <v>263</v>
      </c>
      <c r="BX44" s="783">
        <f t="shared" si="17"/>
        <v>-307</v>
      </c>
      <c r="BY44" s="784">
        <v>4</v>
      </c>
      <c r="BZ44" s="779">
        <v>2280</v>
      </c>
      <c r="CA44" s="779">
        <v>13680</v>
      </c>
      <c r="CB44" s="779">
        <v>57</v>
      </c>
      <c r="CC44" s="783">
        <v>342</v>
      </c>
      <c r="CD44" s="785">
        <v>9</v>
      </c>
      <c r="CE44" s="779">
        <v>600000</v>
      </c>
      <c r="CF44" s="779">
        <v>0</v>
      </c>
      <c r="CG44" s="779">
        <v>0</v>
      </c>
      <c r="CH44" s="779">
        <v>0</v>
      </c>
      <c r="CI44" s="779">
        <v>513</v>
      </c>
      <c r="CJ44" s="786">
        <v>11.310307017543861</v>
      </c>
      <c r="CK44" s="787">
        <v>66666</v>
      </c>
      <c r="CL44" s="778">
        <v>600</v>
      </c>
      <c r="CM44" s="779">
        <v>160</v>
      </c>
      <c r="CN44" s="779">
        <f t="shared" si="18"/>
        <v>277</v>
      </c>
      <c r="CO44" s="783">
        <f t="shared" si="19"/>
        <v>-323</v>
      </c>
      <c r="CP44" s="784">
        <v>4</v>
      </c>
      <c r="CQ44" s="779">
        <v>2400</v>
      </c>
      <c r="CR44" s="779">
        <v>14400</v>
      </c>
      <c r="CS44" s="779">
        <v>60</v>
      </c>
      <c r="CT44" s="783">
        <v>360</v>
      </c>
      <c r="CU44" s="785">
        <v>12</v>
      </c>
      <c r="CV44" s="779">
        <v>750000</v>
      </c>
      <c r="CW44" s="779">
        <v>0</v>
      </c>
      <c r="CX44" s="779">
        <v>0</v>
      </c>
      <c r="CY44" s="779">
        <v>1</v>
      </c>
      <c r="CZ44" s="779">
        <v>720</v>
      </c>
      <c r="DA44" s="786">
        <v>13.495833333333332</v>
      </c>
      <c r="DB44" s="787">
        <v>62500</v>
      </c>
      <c r="DC44" s="788">
        <v>38</v>
      </c>
      <c r="DD44" s="779">
        <v>2100000</v>
      </c>
      <c r="DE44" s="789">
        <v>0</v>
      </c>
      <c r="DF44" s="789">
        <v>1</v>
      </c>
      <c r="DG44" s="789">
        <v>1</v>
      </c>
      <c r="DH44" s="779">
        <v>2043</v>
      </c>
      <c r="DI44" s="786">
        <v>36.458333333333336</v>
      </c>
      <c r="DJ44" s="787">
        <v>55263.15789473684</v>
      </c>
      <c r="DK44" s="790">
        <v>50</v>
      </c>
      <c r="DL44" s="791" t="s">
        <v>43</v>
      </c>
      <c r="DM44" s="792">
        <v>2650</v>
      </c>
      <c r="DN44" s="793">
        <v>8000</v>
      </c>
      <c r="DO44" s="794">
        <v>16000</v>
      </c>
      <c r="DP44" s="794">
        <v>32000</v>
      </c>
      <c r="DQ44" s="794">
        <v>64000</v>
      </c>
      <c r="DR44" s="794">
        <v>128000</v>
      </c>
      <c r="DS44" s="794">
        <v>256000</v>
      </c>
      <c r="DT44" s="794">
        <v>512000</v>
      </c>
      <c r="DU44" s="794"/>
      <c r="DV44" s="794"/>
      <c r="DW44" s="794"/>
      <c r="DX44" s="795"/>
      <c r="DY44" s="796" t="s">
        <v>43</v>
      </c>
      <c r="DZ44" s="797"/>
      <c r="EA44" s="776"/>
      <c r="EB44" s="776"/>
      <c r="EC44" s="798"/>
      <c r="ED44" s="799"/>
      <c r="EE44" s="779"/>
      <c r="EF44" s="779"/>
      <c r="EG44" s="779"/>
      <c r="EH44" s="783"/>
      <c r="EI44" s="800"/>
      <c r="EJ44" s="801"/>
    </row>
    <row r="45" spans="2:140">
      <c r="B45" s="1126" t="s">
        <v>112</v>
      </c>
      <c r="C45" s="765" t="s">
        <v>48</v>
      </c>
      <c r="D45" s="766"/>
      <c r="E45" s="767"/>
      <c r="F45" s="768"/>
      <c r="G45" s="769" t="s">
        <v>43</v>
      </c>
      <c r="H45" s="770">
        <v>5</v>
      </c>
      <c r="I45" s="771" t="s">
        <v>282</v>
      </c>
      <c r="J45" s="772">
        <v>8</v>
      </c>
      <c r="K45" s="773">
        <v>2.5000000000000001E-2</v>
      </c>
      <c r="L45" s="774">
        <v>4.4117647058823533</v>
      </c>
      <c r="M45" s="775">
        <v>100</v>
      </c>
      <c r="N45" s="768">
        <v>77</v>
      </c>
      <c r="O45" s="802">
        <v>42186</v>
      </c>
      <c r="P45" s="777" t="s">
        <v>98</v>
      </c>
      <c r="Q45" s="778">
        <v>450</v>
      </c>
      <c r="R45" s="779">
        <v>102</v>
      </c>
      <c r="S45" s="780">
        <v>14400</v>
      </c>
      <c r="T45" s="781" t="s">
        <v>361</v>
      </c>
      <c r="U45" s="782" t="s">
        <v>640</v>
      </c>
      <c r="V45" s="778">
        <v>450</v>
      </c>
      <c r="W45" s="779">
        <v>102</v>
      </c>
      <c r="X45" s="779">
        <f t="shared" si="10"/>
        <v>176</v>
      </c>
      <c r="Y45" s="783">
        <f t="shared" si="11"/>
        <v>-274</v>
      </c>
      <c r="Z45" s="784">
        <v>4</v>
      </c>
      <c r="AA45" s="779">
        <v>1800</v>
      </c>
      <c r="AB45" s="779">
        <v>14400</v>
      </c>
      <c r="AC45" s="779">
        <v>45</v>
      </c>
      <c r="AD45" s="783">
        <v>360</v>
      </c>
      <c r="AE45" s="785">
        <v>10</v>
      </c>
      <c r="AF45" s="779">
        <v>0</v>
      </c>
      <c r="AG45" s="779">
        <v>0</v>
      </c>
      <c r="AH45" s="779">
        <v>0</v>
      </c>
      <c r="AI45" s="779">
        <v>0</v>
      </c>
      <c r="AJ45" s="779">
        <v>450</v>
      </c>
      <c r="AK45" s="786">
        <v>0</v>
      </c>
      <c r="AL45" s="787">
        <v>0</v>
      </c>
      <c r="AM45" s="778">
        <v>675</v>
      </c>
      <c r="AN45" s="779">
        <v>153</v>
      </c>
      <c r="AO45" s="779">
        <f t="shared" si="12"/>
        <v>265</v>
      </c>
      <c r="AP45" s="783">
        <f t="shared" si="13"/>
        <v>-410</v>
      </c>
      <c r="AQ45" s="784">
        <v>4</v>
      </c>
      <c r="AR45" s="779">
        <v>2700</v>
      </c>
      <c r="AS45" s="779">
        <v>21600</v>
      </c>
      <c r="AT45" s="779">
        <v>67</v>
      </c>
      <c r="AU45" s="783">
        <v>540</v>
      </c>
      <c r="AV45" s="785">
        <v>4</v>
      </c>
      <c r="AW45" s="779">
        <v>700000</v>
      </c>
      <c r="AX45" s="779">
        <v>0</v>
      </c>
      <c r="AY45" s="779">
        <v>0</v>
      </c>
      <c r="AZ45" s="779">
        <v>0</v>
      </c>
      <c r="BA45" s="779">
        <v>270</v>
      </c>
      <c r="BB45" s="786">
        <v>10.913580246913581</v>
      </c>
      <c r="BC45" s="787">
        <v>175000</v>
      </c>
      <c r="BD45" s="778">
        <v>787</v>
      </c>
      <c r="BE45" s="779">
        <v>178</v>
      </c>
      <c r="BF45" s="779">
        <f t="shared" si="14"/>
        <v>308</v>
      </c>
      <c r="BG45" s="783">
        <f t="shared" si="15"/>
        <v>-479</v>
      </c>
      <c r="BH45" s="784">
        <v>4</v>
      </c>
      <c r="BI45" s="779">
        <v>3148</v>
      </c>
      <c r="BJ45" s="779">
        <v>25184</v>
      </c>
      <c r="BK45" s="779">
        <v>78</v>
      </c>
      <c r="BL45" s="783">
        <v>629</v>
      </c>
      <c r="BM45" s="785">
        <v>6</v>
      </c>
      <c r="BN45" s="779">
        <v>1050000</v>
      </c>
      <c r="BO45" s="779">
        <v>0</v>
      </c>
      <c r="BP45" s="779">
        <v>1</v>
      </c>
      <c r="BQ45" s="779">
        <v>0</v>
      </c>
      <c r="BR45" s="779">
        <v>472</v>
      </c>
      <c r="BS45" s="786">
        <v>14.112134688691233</v>
      </c>
      <c r="BT45" s="787">
        <v>175000</v>
      </c>
      <c r="BU45" s="778">
        <v>853</v>
      </c>
      <c r="BV45" s="779">
        <v>194</v>
      </c>
      <c r="BW45" s="779">
        <f t="shared" si="16"/>
        <v>336</v>
      </c>
      <c r="BX45" s="783">
        <f t="shared" si="17"/>
        <v>-517</v>
      </c>
      <c r="BY45" s="784">
        <v>4</v>
      </c>
      <c r="BZ45" s="779">
        <v>3412</v>
      </c>
      <c r="CA45" s="779">
        <v>27296</v>
      </c>
      <c r="CB45" s="779">
        <v>85</v>
      </c>
      <c r="CC45" s="783">
        <v>682</v>
      </c>
      <c r="CD45" s="785">
        <v>8</v>
      </c>
      <c r="CE45" s="779">
        <v>1400000</v>
      </c>
      <c r="CF45" s="779">
        <v>0</v>
      </c>
      <c r="CG45" s="779">
        <v>0</v>
      </c>
      <c r="CH45" s="779">
        <v>0</v>
      </c>
      <c r="CI45" s="779">
        <v>682</v>
      </c>
      <c r="CJ45" s="786">
        <v>17.404064087534191</v>
      </c>
      <c r="CK45" s="787">
        <v>175000</v>
      </c>
      <c r="CL45" s="778">
        <v>900</v>
      </c>
      <c r="CM45" s="779">
        <v>205</v>
      </c>
      <c r="CN45" s="779">
        <f t="shared" si="18"/>
        <v>355</v>
      </c>
      <c r="CO45" s="783">
        <f t="shared" si="19"/>
        <v>-545</v>
      </c>
      <c r="CP45" s="784">
        <v>4</v>
      </c>
      <c r="CQ45" s="779">
        <v>3600</v>
      </c>
      <c r="CR45" s="779">
        <v>28800</v>
      </c>
      <c r="CS45" s="779">
        <v>90</v>
      </c>
      <c r="CT45" s="783">
        <v>720</v>
      </c>
      <c r="CU45" s="785">
        <v>10</v>
      </c>
      <c r="CV45" s="779">
        <v>1750000</v>
      </c>
      <c r="CW45" s="779">
        <v>0</v>
      </c>
      <c r="CX45" s="779">
        <v>0</v>
      </c>
      <c r="CY45" s="779">
        <v>1</v>
      </c>
      <c r="CZ45" s="779">
        <v>900</v>
      </c>
      <c r="DA45" s="786">
        <v>20.649537037037039</v>
      </c>
      <c r="DB45" s="787">
        <v>175000</v>
      </c>
      <c r="DC45" s="788">
        <v>38</v>
      </c>
      <c r="DD45" s="779">
        <v>4900000</v>
      </c>
      <c r="DE45" s="789">
        <v>0</v>
      </c>
      <c r="DF45" s="789">
        <v>1</v>
      </c>
      <c r="DG45" s="789">
        <v>1</v>
      </c>
      <c r="DH45" s="779">
        <v>2774</v>
      </c>
      <c r="DI45" s="786">
        <v>56.712962962962962</v>
      </c>
      <c r="DJ45" s="787">
        <v>128947.36842105263</v>
      </c>
      <c r="DK45" s="790">
        <v>10</v>
      </c>
      <c r="DL45" s="791" t="s">
        <v>43</v>
      </c>
      <c r="DM45" s="792">
        <v>10000</v>
      </c>
      <c r="DN45" s="793">
        <v>30000</v>
      </c>
      <c r="DO45" s="794">
        <v>60000</v>
      </c>
      <c r="DP45" s="794">
        <v>120000</v>
      </c>
      <c r="DQ45" s="794">
        <v>240000</v>
      </c>
      <c r="DR45" s="794">
        <v>480000</v>
      </c>
      <c r="DS45" s="794">
        <v>960000</v>
      </c>
      <c r="DT45" s="794"/>
      <c r="DU45" s="794"/>
      <c r="DV45" s="794"/>
      <c r="DW45" s="794"/>
      <c r="DX45" s="795"/>
      <c r="DY45" s="796" t="s">
        <v>43</v>
      </c>
      <c r="DZ45" s="797"/>
      <c r="EA45" s="776"/>
      <c r="EB45" s="776"/>
      <c r="EC45" s="798"/>
      <c r="ED45" s="799"/>
      <c r="EE45" s="779"/>
      <c r="EF45" s="779"/>
      <c r="EG45" s="779"/>
      <c r="EH45" s="783"/>
      <c r="EI45" s="800"/>
      <c r="EJ45" s="801"/>
    </row>
    <row r="46" spans="2:140">
      <c r="B46" s="1126" t="s">
        <v>171</v>
      </c>
      <c r="C46" s="765" t="s">
        <v>48</v>
      </c>
      <c r="D46" s="766" t="s">
        <v>43</v>
      </c>
      <c r="E46" s="767" t="s">
        <v>43</v>
      </c>
      <c r="F46" s="768"/>
      <c r="G46" s="769"/>
      <c r="H46" s="770">
        <v>6</v>
      </c>
      <c r="I46" s="771" t="s">
        <v>282</v>
      </c>
      <c r="J46" s="772">
        <v>8</v>
      </c>
      <c r="K46" s="773">
        <v>2.5000000000000001E-2</v>
      </c>
      <c r="L46" s="774">
        <v>4.4444444444444446</v>
      </c>
      <c r="M46" s="775">
        <v>100</v>
      </c>
      <c r="N46" s="768">
        <v>89</v>
      </c>
      <c r="O46" s="802">
        <v>42287</v>
      </c>
      <c r="P46" s="777" t="s">
        <v>98</v>
      </c>
      <c r="Q46" s="778">
        <v>800</v>
      </c>
      <c r="R46" s="779">
        <v>180</v>
      </c>
      <c r="S46" s="780">
        <v>57600</v>
      </c>
      <c r="T46" s="781" t="s">
        <v>362</v>
      </c>
      <c r="U46" s="782" t="s">
        <v>641</v>
      </c>
      <c r="V46" s="778">
        <v>800</v>
      </c>
      <c r="W46" s="779">
        <v>180</v>
      </c>
      <c r="X46" s="779">
        <f t="shared" si="10"/>
        <v>311</v>
      </c>
      <c r="Y46" s="783">
        <f t="shared" si="11"/>
        <v>-489</v>
      </c>
      <c r="Z46" s="784">
        <v>9</v>
      </c>
      <c r="AA46" s="779">
        <v>7200</v>
      </c>
      <c r="AB46" s="779">
        <v>57600</v>
      </c>
      <c r="AC46" s="779">
        <v>180</v>
      </c>
      <c r="AD46" s="783">
        <v>1440</v>
      </c>
      <c r="AE46" s="785">
        <v>4</v>
      </c>
      <c r="AF46" s="779">
        <v>0</v>
      </c>
      <c r="AG46" s="779">
        <v>0</v>
      </c>
      <c r="AH46" s="779">
        <v>0</v>
      </c>
      <c r="AI46" s="779">
        <v>0</v>
      </c>
      <c r="AJ46" s="779">
        <v>720</v>
      </c>
      <c r="AK46" s="786">
        <v>0</v>
      </c>
      <c r="AL46" s="787">
        <v>0</v>
      </c>
      <c r="AM46" s="778">
        <v>1200</v>
      </c>
      <c r="AN46" s="779">
        <v>270</v>
      </c>
      <c r="AO46" s="779">
        <f t="shared" si="12"/>
        <v>467</v>
      </c>
      <c r="AP46" s="783">
        <f t="shared" si="13"/>
        <v>-733</v>
      </c>
      <c r="AQ46" s="784">
        <v>9</v>
      </c>
      <c r="AR46" s="779">
        <v>10800</v>
      </c>
      <c r="AS46" s="779">
        <v>86400</v>
      </c>
      <c r="AT46" s="779">
        <v>270</v>
      </c>
      <c r="AU46" s="783">
        <v>2160</v>
      </c>
      <c r="AV46" s="785">
        <v>24</v>
      </c>
      <c r="AW46" s="779">
        <v>2400000</v>
      </c>
      <c r="AX46" s="779">
        <v>0</v>
      </c>
      <c r="AY46" s="779">
        <v>4</v>
      </c>
      <c r="AZ46" s="779">
        <v>0</v>
      </c>
      <c r="BA46" s="779">
        <v>6480</v>
      </c>
      <c r="BB46" s="786">
        <v>9.9259259259259256</v>
      </c>
      <c r="BC46" s="787">
        <v>100000</v>
      </c>
      <c r="BD46" s="778">
        <v>1396</v>
      </c>
      <c r="BE46" s="779">
        <v>315</v>
      </c>
      <c r="BF46" s="779">
        <f t="shared" si="14"/>
        <v>545</v>
      </c>
      <c r="BG46" s="783">
        <f t="shared" si="15"/>
        <v>-851</v>
      </c>
      <c r="BH46" s="784">
        <v>9</v>
      </c>
      <c r="BI46" s="779">
        <v>12564</v>
      </c>
      <c r="BJ46" s="779">
        <v>100512</v>
      </c>
      <c r="BK46" s="779">
        <v>314</v>
      </c>
      <c r="BL46" s="783">
        <v>2512</v>
      </c>
      <c r="BM46" s="785">
        <v>48</v>
      </c>
      <c r="BN46" s="779">
        <v>3600000</v>
      </c>
      <c r="BO46" s="779">
        <v>0</v>
      </c>
      <c r="BP46" s="779">
        <v>6</v>
      </c>
      <c r="BQ46" s="779">
        <v>0</v>
      </c>
      <c r="BR46" s="779">
        <v>15077</v>
      </c>
      <c r="BS46" s="786">
        <v>13.658070678127984</v>
      </c>
      <c r="BT46" s="787">
        <v>75000</v>
      </c>
      <c r="BU46" s="778">
        <v>1520</v>
      </c>
      <c r="BV46" s="779">
        <v>342</v>
      </c>
      <c r="BW46" s="779">
        <f t="shared" si="16"/>
        <v>592</v>
      </c>
      <c r="BX46" s="783">
        <f t="shared" si="17"/>
        <v>-928</v>
      </c>
      <c r="BY46" s="784">
        <v>9</v>
      </c>
      <c r="BZ46" s="779">
        <v>13680</v>
      </c>
      <c r="CA46" s="779">
        <v>109440</v>
      </c>
      <c r="CB46" s="779">
        <v>342</v>
      </c>
      <c r="CC46" s="783">
        <v>2736</v>
      </c>
      <c r="CD46" s="785">
        <v>96</v>
      </c>
      <c r="CE46" s="779">
        <v>4800000</v>
      </c>
      <c r="CF46" s="779">
        <v>0</v>
      </c>
      <c r="CG46" s="779">
        <v>0</v>
      </c>
      <c r="CH46" s="779">
        <v>4</v>
      </c>
      <c r="CI46" s="779">
        <v>32832</v>
      </c>
      <c r="CJ46" s="786">
        <v>18.29356725146199</v>
      </c>
      <c r="CK46" s="787">
        <v>50000</v>
      </c>
      <c r="CL46" s="778">
        <v>1600</v>
      </c>
      <c r="CM46" s="779">
        <v>360</v>
      </c>
      <c r="CN46" s="779">
        <f t="shared" si="18"/>
        <v>623</v>
      </c>
      <c r="CO46" s="783">
        <f t="shared" si="19"/>
        <v>-977</v>
      </c>
      <c r="CP46" s="784">
        <v>10</v>
      </c>
      <c r="CQ46" s="779">
        <v>16000</v>
      </c>
      <c r="CR46" s="779">
        <v>128000</v>
      </c>
      <c r="CS46" s="779">
        <v>400</v>
      </c>
      <c r="CT46" s="783">
        <v>3200</v>
      </c>
      <c r="CU46" s="785">
        <v>192</v>
      </c>
      <c r="CV46" s="779">
        <v>6000000</v>
      </c>
      <c r="CW46" s="779">
        <v>0</v>
      </c>
      <c r="CX46" s="779">
        <v>0</v>
      </c>
      <c r="CY46" s="779">
        <v>6</v>
      </c>
      <c r="CZ46" s="779">
        <v>76800</v>
      </c>
      <c r="DA46" s="786">
        <v>22.465</v>
      </c>
      <c r="DB46" s="787">
        <v>31250</v>
      </c>
      <c r="DC46" s="788">
        <v>364</v>
      </c>
      <c r="DD46" s="779">
        <v>16800000</v>
      </c>
      <c r="DE46" s="789">
        <v>0</v>
      </c>
      <c r="DF46" s="789">
        <v>10</v>
      </c>
      <c r="DG46" s="789">
        <v>10</v>
      </c>
      <c r="DH46" s="779">
        <v>131909</v>
      </c>
      <c r="DI46" s="786">
        <v>43.75</v>
      </c>
      <c r="DJ46" s="787">
        <v>46153.846153846156</v>
      </c>
      <c r="DK46" s="790">
        <v>100</v>
      </c>
      <c r="DL46" s="791" t="s">
        <v>43</v>
      </c>
      <c r="DM46" s="792">
        <v>10000</v>
      </c>
      <c r="DN46" s="793">
        <v>98000</v>
      </c>
      <c r="DO46" s="794">
        <v>196000</v>
      </c>
      <c r="DP46" s="794">
        <v>392000</v>
      </c>
      <c r="DQ46" s="794">
        <v>784000</v>
      </c>
      <c r="DR46" s="794"/>
      <c r="DS46" s="794"/>
      <c r="DT46" s="794"/>
      <c r="DU46" s="794"/>
      <c r="DV46" s="794"/>
      <c r="DW46" s="794"/>
      <c r="DX46" s="795"/>
      <c r="DY46" s="796" t="s">
        <v>43</v>
      </c>
      <c r="DZ46" s="797"/>
      <c r="EA46" s="776"/>
      <c r="EB46" s="776"/>
      <c r="EC46" s="798"/>
      <c r="ED46" s="799"/>
      <c r="EE46" s="779"/>
      <c r="EF46" s="779"/>
      <c r="EG46" s="779"/>
      <c r="EH46" s="783"/>
      <c r="EI46" s="800"/>
      <c r="EJ46" s="801"/>
    </row>
    <row r="47" spans="2:140">
      <c r="B47" s="1126" t="s">
        <v>192</v>
      </c>
      <c r="C47" s="765" t="s">
        <v>48</v>
      </c>
      <c r="D47" s="766" t="s">
        <v>43</v>
      </c>
      <c r="E47" s="767" t="s">
        <v>43</v>
      </c>
      <c r="F47" s="768"/>
      <c r="G47" s="769"/>
      <c r="H47" s="770">
        <v>6</v>
      </c>
      <c r="I47" s="771" t="s">
        <v>282</v>
      </c>
      <c r="J47" s="772">
        <v>8</v>
      </c>
      <c r="K47" s="773">
        <v>2.5000000000000001E-2</v>
      </c>
      <c r="L47" s="774">
        <v>10</v>
      </c>
      <c r="M47" s="775">
        <v>100</v>
      </c>
      <c r="N47" s="768">
        <v>93</v>
      </c>
      <c r="O47" s="802">
        <v>42319</v>
      </c>
      <c r="P47" s="777" t="s">
        <v>206</v>
      </c>
      <c r="Q47" s="778">
        <v>3000</v>
      </c>
      <c r="R47" s="779">
        <v>300</v>
      </c>
      <c r="S47" s="780">
        <v>144000</v>
      </c>
      <c r="T47" s="781" t="s">
        <v>363</v>
      </c>
      <c r="U47" s="782" t="s">
        <v>642</v>
      </c>
      <c r="V47" s="778">
        <v>1000</v>
      </c>
      <c r="W47" s="779">
        <v>100</v>
      </c>
      <c r="X47" s="779">
        <f t="shared" si="10"/>
        <v>173</v>
      </c>
      <c r="Y47" s="783">
        <f t="shared" si="11"/>
        <v>-827</v>
      </c>
      <c r="Z47" s="784">
        <v>6</v>
      </c>
      <c r="AA47" s="779">
        <v>6000</v>
      </c>
      <c r="AB47" s="779">
        <v>48000</v>
      </c>
      <c r="AC47" s="779">
        <v>150</v>
      </c>
      <c r="AD47" s="783">
        <v>1200</v>
      </c>
      <c r="AE47" s="785">
        <v>6</v>
      </c>
      <c r="AF47" s="779">
        <v>0</v>
      </c>
      <c r="AG47" s="779">
        <v>0</v>
      </c>
      <c r="AH47" s="779">
        <v>0</v>
      </c>
      <c r="AI47" s="779">
        <v>0</v>
      </c>
      <c r="AJ47" s="779">
        <v>900</v>
      </c>
      <c r="AK47" s="786">
        <v>0</v>
      </c>
      <c r="AL47" s="787">
        <v>0</v>
      </c>
      <c r="AM47" s="778">
        <v>1250</v>
      </c>
      <c r="AN47" s="779">
        <v>125</v>
      </c>
      <c r="AO47" s="779">
        <f t="shared" si="12"/>
        <v>216</v>
      </c>
      <c r="AP47" s="783">
        <f t="shared" si="13"/>
        <v>-1034</v>
      </c>
      <c r="AQ47" s="784">
        <v>6</v>
      </c>
      <c r="AR47" s="779">
        <v>7500</v>
      </c>
      <c r="AS47" s="779">
        <v>60000</v>
      </c>
      <c r="AT47" s="779">
        <v>187</v>
      </c>
      <c r="AU47" s="783">
        <v>1500</v>
      </c>
      <c r="AV47" s="785">
        <v>36</v>
      </c>
      <c r="AW47" s="779">
        <v>2600000</v>
      </c>
      <c r="AX47" s="779">
        <v>0</v>
      </c>
      <c r="AY47" s="779">
        <v>4</v>
      </c>
      <c r="AZ47" s="779">
        <v>0</v>
      </c>
      <c r="BA47" s="779">
        <v>6750</v>
      </c>
      <c r="BB47" s="786">
        <v>15.644444444444444</v>
      </c>
      <c r="BC47" s="787">
        <v>72222</v>
      </c>
      <c r="BD47" s="778">
        <v>1500</v>
      </c>
      <c r="BE47" s="779">
        <v>150</v>
      </c>
      <c r="BF47" s="779">
        <f t="shared" si="14"/>
        <v>259</v>
      </c>
      <c r="BG47" s="783">
        <f t="shared" si="15"/>
        <v>-1241</v>
      </c>
      <c r="BH47" s="784">
        <v>6</v>
      </c>
      <c r="BI47" s="779">
        <v>9000</v>
      </c>
      <c r="BJ47" s="779">
        <v>72000</v>
      </c>
      <c r="BK47" s="779">
        <v>225</v>
      </c>
      <c r="BL47" s="783">
        <v>1800</v>
      </c>
      <c r="BM47" s="785">
        <v>72</v>
      </c>
      <c r="BN47" s="779">
        <v>3900000</v>
      </c>
      <c r="BO47" s="779">
        <v>0</v>
      </c>
      <c r="BP47" s="779">
        <v>6</v>
      </c>
      <c r="BQ47" s="779">
        <v>0</v>
      </c>
      <c r="BR47" s="779">
        <v>10000</v>
      </c>
      <c r="BS47" s="786">
        <v>20.555555555555554</v>
      </c>
      <c r="BT47" s="787">
        <v>54166</v>
      </c>
      <c r="BU47" s="778">
        <v>2000</v>
      </c>
      <c r="BV47" s="779">
        <v>200</v>
      </c>
      <c r="BW47" s="779">
        <f t="shared" si="16"/>
        <v>346</v>
      </c>
      <c r="BX47" s="783">
        <f t="shared" si="17"/>
        <v>-1654</v>
      </c>
      <c r="BY47" s="784">
        <v>6</v>
      </c>
      <c r="BZ47" s="779">
        <v>12000</v>
      </c>
      <c r="CA47" s="779">
        <v>96000</v>
      </c>
      <c r="CB47" s="779">
        <v>300</v>
      </c>
      <c r="CC47" s="783">
        <v>2400</v>
      </c>
      <c r="CD47" s="785">
        <v>144</v>
      </c>
      <c r="CE47" s="779">
        <v>5200000</v>
      </c>
      <c r="CF47" s="779">
        <v>0</v>
      </c>
      <c r="CG47" s="779">
        <v>0</v>
      </c>
      <c r="CH47" s="779">
        <v>4</v>
      </c>
      <c r="CI47" s="779">
        <v>10000</v>
      </c>
      <c r="CJ47" s="786">
        <v>22.555555555555557</v>
      </c>
      <c r="CK47" s="787">
        <v>36111</v>
      </c>
      <c r="CL47" s="778">
        <v>3000</v>
      </c>
      <c r="CM47" s="779">
        <v>300</v>
      </c>
      <c r="CN47" s="779">
        <f t="shared" si="18"/>
        <v>519</v>
      </c>
      <c r="CO47" s="783">
        <f t="shared" si="19"/>
        <v>-2481</v>
      </c>
      <c r="CP47" s="784">
        <v>6</v>
      </c>
      <c r="CQ47" s="779">
        <v>18000</v>
      </c>
      <c r="CR47" s="779">
        <v>144000</v>
      </c>
      <c r="CS47" s="779">
        <v>450</v>
      </c>
      <c r="CT47" s="783">
        <v>3600</v>
      </c>
      <c r="CU47" s="785">
        <v>288</v>
      </c>
      <c r="CV47" s="779">
        <v>6500000</v>
      </c>
      <c r="CW47" s="779">
        <v>0</v>
      </c>
      <c r="CX47" s="779">
        <v>0</v>
      </c>
      <c r="CY47" s="779">
        <v>6</v>
      </c>
      <c r="CZ47" s="779">
        <v>10000</v>
      </c>
      <c r="DA47" s="786">
        <v>23.046296296296294</v>
      </c>
      <c r="DB47" s="787">
        <v>22569</v>
      </c>
      <c r="DC47" s="788">
        <v>546</v>
      </c>
      <c r="DD47" s="779">
        <v>18200000</v>
      </c>
      <c r="DE47" s="789">
        <v>0</v>
      </c>
      <c r="DF47" s="789">
        <v>10</v>
      </c>
      <c r="DG47" s="789">
        <v>10</v>
      </c>
      <c r="DH47" s="779">
        <v>37650</v>
      </c>
      <c r="DI47" s="786">
        <v>42.129629629629626</v>
      </c>
      <c r="DJ47" s="787">
        <v>33333.333333333336</v>
      </c>
      <c r="DK47" s="790">
        <v>149</v>
      </c>
      <c r="DL47" s="791" t="s">
        <v>43</v>
      </c>
      <c r="DM47" s="792">
        <v>10000</v>
      </c>
      <c r="DN47" s="793">
        <v>198000</v>
      </c>
      <c r="DO47" s="794">
        <v>396000</v>
      </c>
      <c r="DP47" s="794">
        <v>792000</v>
      </c>
      <c r="DQ47" s="794"/>
      <c r="DR47" s="794"/>
      <c r="DS47" s="794"/>
      <c r="DT47" s="794"/>
      <c r="DU47" s="794"/>
      <c r="DV47" s="794"/>
      <c r="DW47" s="794"/>
      <c r="DX47" s="795"/>
      <c r="DY47" s="796" t="s">
        <v>43</v>
      </c>
      <c r="DZ47" s="797"/>
      <c r="EA47" s="776"/>
      <c r="EB47" s="776"/>
      <c r="EC47" s="798"/>
      <c r="ED47" s="799"/>
      <c r="EE47" s="779"/>
      <c r="EF47" s="779"/>
      <c r="EG47" s="779"/>
      <c r="EH47" s="783"/>
      <c r="EI47" s="800"/>
      <c r="EJ47" s="801"/>
    </row>
    <row r="48" spans="2:140">
      <c r="B48" s="1126" t="s">
        <v>211</v>
      </c>
      <c r="C48" s="765" t="s">
        <v>48</v>
      </c>
      <c r="D48" s="766"/>
      <c r="E48" s="767" t="s">
        <v>43</v>
      </c>
      <c r="F48" s="768"/>
      <c r="G48" s="769"/>
      <c r="H48" s="770">
        <v>5</v>
      </c>
      <c r="I48" s="771" t="s">
        <v>282</v>
      </c>
      <c r="J48" s="772">
        <v>10</v>
      </c>
      <c r="K48" s="773">
        <v>2.5000000000000001E-2</v>
      </c>
      <c r="L48" s="774">
        <v>4.4444444444444446</v>
      </c>
      <c r="M48" s="775">
        <v>100</v>
      </c>
      <c r="N48" s="768">
        <v>95</v>
      </c>
      <c r="O48" s="802">
        <v>42339</v>
      </c>
      <c r="P48" s="777" t="s">
        <v>206</v>
      </c>
      <c r="Q48" s="778">
        <v>1200</v>
      </c>
      <c r="R48" s="779">
        <v>270</v>
      </c>
      <c r="S48" s="780">
        <v>48000</v>
      </c>
      <c r="T48" s="781" t="s">
        <v>364</v>
      </c>
      <c r="U48" s="782" t="s">
        <v>643</v>
      </c>
      <c r="V48" s="778">
        <v>400</v>
      </c>
      <c r="W48" s="779">
        <v>90</v>
      </c>
      <c r="X48" s="779">
        <f t="shared" si="10"/>
        <v>155</v>
      </c>
      <c r="Y48" s="783">
        <f t="shared" si="11"/>
        <v>-245</v>
      </c>
      <c r="Z48" s="784">
        <v>4</v>
      </c>
      <c r="AA48" s="779">
        <v>1600</v>
      </c>
      <c r="AB48" s="779">
        <v>16000</v>
      </c>
      <c r="AC48" s="779">
        <v>40</v>
      </c>
      <c r="AD48" s="783">
        <v>400</v>
      </c>
      <c r="AE48" s="785">
        <v>4</v>
      </c>
      <c r="AF48" s="779">
        <v>0</v>
      </c>
      <c r="AG48" s="779">
        <v>0</v>
      </c>
      <c r="AH48" s="779">
        <v>0</v>
      </c>
      <c r="AI48" s="779">
        <v>0</v>
      </c>
      <c r="AJ48" s="779">
        <v>3200</v>
      </c>
      <c r="AK48" s="786">
        <v>0</v>
      </c>
      <c r="AL48" s="787">
        <v>0</v>
      </c>
      <c r="AM48" s="778">
        <v>500</v>
      </c>
      <c r="AN48" s="779">
        <v>113</v>
      </c>
      <c r="AO48" s="779">
        <f t="shared" si="12"/>
        <v>195</v>
      </c>
      <c r="AP48" s="783">
        <f t="shared" si="13"/>
        <v>-305</v>
      </c>
      <c r="AQ48" s="784">
        <v>4</v>
      </c>
      <c r="AR48" s="779">
        <v>2000</v>
      </c>
      <c r="AS48" s="779">
        <v>20000</v>
      </c>
      <c r="AT48" s="779">
        <v>50</v>
      </c>
      <c r="AU48" s="783">
        <v>500</v>
      </c>
      <c r="AV48" s="785">
        <v>24</v>
      </c>
      <c r="AW48" s="779">
        <v>1600000</v>
      </c>
      <c r="AX48" s="779">
        <v>0</v>
      </c>
      <c r="AY48" s="779">
        <v>3</v>
      </c>
      <c r="AZ48" s="779">
        <v>0</v>
      </c>
      <c r="BA48" s="779">
        <v>10000</v>
      </c>
      <c r="BB48" s="786">
        <v>34.133333333333333</v>
      </c>
      <c r="BC48" s="787">
        <v>66666</v>
      </c>
      <c r="BD48" s="778">
        <v>600</v>
      </c>
      <c r="BE48" s="779">
        <v>135</v>
      </c>
      <c r="BF48" s="779">
        <f t="shared" si="14"/>
        <v>233</v>
      </c>
      <c r="BG48" s="783">
        <f t="shared" si="15"/>
        <v>-367</v>
      </c>
      <c r="BH48" s="784">
        <v>4</v>
      </c>
      <c r="BI48" s="779">
        <v>2400</v>
      </c>
      <c r="BJ48" s="779">
        <v>24000</v>
      </c>
      <c r="BK48" s="779">
        <v>60</v>
      </c>
      <c r="BL48" s="783">
        <v>600</v>
      </c>
      <c r="BM48" s="785">
        <v>48</v>
      </c>
      <c r="BN48" s="779">
        <v>2400000</v>
      </c>
      <c r="BO48" s="779">
        <v>0</v>
      </c>
      <c r="BP48" s="779">
        <v>5</v>
      </c>
      <c r="BQ48" s="779">
        <v>0</v>
      </c>
      <c r="BR48" s="779">
        <v>10000</v>
      </c>
      <c r="BS48" s="786">
        <v>43.333333333333336</v>
      </c>
      <c r="BT48" s="787">
        <v>50000</v>
      </c>
      <c r="BU48" s="778">
        <v>800</v>
      </c>
      <c r="BV48" s="779">
        <v>180</v>
      </c>
      <c r="BW48" s="779">
        <f t="shared" si="16"/>
        <v>311</v>
      </c>
      <c r="BX48" s="783">
        <f t="shared" si="17"/>
        <v>-489</v>
      </c>
      <c r="BY48" s="784">
        <v>4</v>
      </c>
      <c r="BZ48" s="779">
        <v>3200</v>
      </c>
      <c r="CA48" s="779">
        <v>32000</v>
      </c>
      <c r="CB48" s="779">
        <v>80</v>
      </c>
      <c r="CC48" s="783">
        <v>800</v>
      </c>
      <c r="CD48" s="785">
        <v>96</v>
      </c>
      <c r="CE48" s="779">
        <v>3200000</v>
      </c>
      <c r="CF48" s="779">
        <v>0</v>
      </c>
      <c r="CG48" s="779">
        <v>0</v>
      </c>
      <c r="CH48" s="779">
        <v>3</v>
      </c>
      <c r="CI48" s="779">
        <v>10000</v>
      </c>
      <c r="CJ48" s="786">
        <v>44.666666666666664</v>
      </c>
      <c r="CK48" s="787">
        <v>33333</v>
      </c>
      <c r="CL48" s="778">
        <v>1200</v>
      </c>
      <c r="CM48" s="779">
        <v>270</v>
      </c>
      <c r="CN48" s="779">
        <f t="shared" si="18"/>
        <v>467</v>
      </c>
      <c r="CO48" s="783">
        <f t="shared" si="19"/>
        <v>-733</v>
      </c>
      <c r="CP48" s="784">
        <v>4</v>
      </c>
      <c r="CQ48" s="779">
        <v>4800</v>
      </c>
      <c r="CR48" s="779">
        <v>48000</v>
      </c>
      <c r="CS48" s="779">
        <v>120</v>
      </c>
      <c r="CT48" s="783">
        <v>1200</v>
      </c>
      <c r="CU48" s="785">
        <v>192</v>
      </c>
      <c r="CV48" s="779">
        <v>4000000</v>
      </c>
      <c r="CW48" s="779">
        <v>0</v>
      </c>
      <c r="CX48" s="779">
        <v>0</v>
      </c>
      <c r="CY48" s="779">
        <v>5</v>
      </c>
      <c r="CZ48" s="779">
        <v>10000</v>
      </c>
      <c r="DA48" s="786">
        <v>40.055555555555557</v>
      </c>
      <c r="DB48" s="787">
        <v>20833</v>
      </c>
      <c r="DC48" s="788">
        <v>364</v>
      </c>
      <c r="DD48" s="779">
        <v>11200000</v>
      </c>
      <c r="DE48" s="789">
        <v>0</v>
      </c>
      <c r="DF48" s="789">
        <v>8</v>
      </c>
      <c r="DG48" s="789">
        <v>8</v>
      </c>
      <c r="DH48" s="779">
        <v>43200</v>
      </c>
      <c r="DI48" s="786">
        <v>97.222222222222229</v>
      </c>
      <c r="DJ48" s="787">
        <v>30769.23076923077</v>
      </c>
      <c r="DK48" s="790">
        <v>100</v>
      </c>
      <c r="DL48" s="791" t="s">
        <v>43</v>
      </c>
      <c r="DM48" s="792">
        <v>10000</v>
      </c>
      <c r="DN48" s="793">
        <v>77777</v>
      </c>
      <c r="DO48" s="794">
        <v>155554</v>
      </c>
      <c r="DP48" s="794">
        <v>311108</v>
      </c>
      <c r="DQ48" s="794">
        <v>622216</v>
      </c>
      <c r="DR48" s="794"/>
      <c r="DS48" s="794"/>
      <c r="DT48" s="794"/>
      <c r="DU48" s="794"/>
      <c r="DV48" s="794"/>
      <c r="DW48" s="794"/>
      <c r="DX48" s="795"/>
      <c r="DY48" s="796" t="s">
        <v>43</v>
      </c>
      <c r="DZ48" s="797"/>
      <c r="EA48" s="776"/>
      <c r="EB48" s="776"/>
      <c r="EC48" s="798"/>
      <c r="ED48" s="799"/>
      <c r="EE48" s="779"/>
      <c r="EF48" s="779"/>
      <c r="EG48" s="779"/>
      <c r="EH48" s="783"/>
      <c r="EI48" s="800"/>
      <c r="EJ48" s="801"/>
    </row>
    <row r="49" spans="2:140">
      <c r="B49" s="1126" t="s">
        <v>250</v>
      </c>
      <c r="C49" s="765" t="s">
        <v>48</v>
      </c>
      <c r="D49" s="766" t="s">
        <v>43</v>
      </c>
      <c r="E49" s="767" t="s">
        <v>43</v>
      </c>
      <c r="F49" s="768"/>
      <c r="G49" s="769"/>
      <c r="H49" s="770">
        <v>6</v>
      </c>
      <c r="I49" s="771" t="s">
        <v>282</v>
      </c>
      <c r="J49" s="772">
        <v>8</v>
      </c>
      <c r="K49" s="773">
        <v>2.5000000000000001E-2</v>
      </c>
      <c r="L49" s="774">
        <v>13.333333333333334</v>
      </c>
      <c r="M49" s="775">
        <v>100</v>
      </c>
      <c r="N49" s="768">
        <v>99</v>
      </c>
      <c r="O49" s="802">
        <v>42370</v>
      </c>
      <c r="P49" s="777" t="s">
        <v>206</v>
      </c>
      <c r="Q49" s="778">
        <v>4000</v>
      </c>
      <c r="R49" s="779">
        <v>300</v>
      </c>
      <c r="S49" s="780">
        <v>160000</v>
      </c>
      <c r="T49" s="781" t="s">
        <v>365</v>
      </c>
      <c r="U49" s="782" t="s">
        <v>510</v>
      </c>
      <c r="V49" s="778">
        <v>1334</v>
      </c>
      <c r="W49" s="779">
        <v>100</v>
      </c>
      <c r="X49" s="779">
        <f t="shared" si="10"/>
        <v>173</v>
      </c>
      <c r="Y49" s="783">
        <f t="shared" si="11"/>
        <v>-1161</v>
      </c>
      <c r="Z49" s="784">
        <v>5</v>
      </c>
      <c r="AA49" s="779">
        <v>6670</v>
      </c>
      <c r="AB49" s="779">
        <v>53360</v>
      </c>
      <c r="AC49" s="779">
        <v>166</v>
      </c>
      <c r="AD49" s="783">
        <v>1334</v>
      </c>
      <c r="AE49" s="785">
        <v>6</v>
      </c>
      <c r="AF49" s="779">
        <v>0</v>
      </c>
      <c r="AG49" s="779">
        <v>0</v>
      </c>
      <c r="AH49" s="779">
        <v>0</v>
      </c>
      <c r="AI49" s="779">
        <v>0</v>
      </c>
      <c r="AJ49" s="779">
        <v>900</v>
      </c>
      <c r="AK49" s="786">
        <v>0</v>
      </c>
      <c r="AL49" s="787">
        <v>0</v>
      </c>
      <c r="AM49" s="778">
        <v>1667</v>
      </c>
      <c r="AN49" s="779">
        <v>125</v>
      </c>
      <c r="AO49" s="779">
        <f t="shared" si="12"/>
        <v>216</v>
      </c>
      <c r="AP49" s="783">
        <f t="shared" si="13"/>
        <v>-1451</v>
      </c>
      <c r="AQ49" s="784">
        <v>5</v>
      </c>
      <c r="AR49" s="779">
        <v>8335</v>
      </c>
      <c r="AS49" s="779">
        <v>66680</v>
      </c>
      <c r="AT49" s="779">
        <v>208</v>
      </c>
      <c r="AU49" s="783">
        <v>1667</v>
      </c>
      <c r="AV49" s="785">
        <v>36</v>
      </c>
      <c r="AW49" s="779">
        <v>2800000</v>
      </c>
      <c r="AX49" s="779">
        <v>0</v>
      </c>
      <c r="AY49" s="779">
        <v>5</v>
      </c>
      <c r="AZ49" s="779">
        <v>0</v>
      </c>
      <c r="BA49" s="779">
        <v>6750</v>
      </c>
      <c r="BB49" s="786">
        <v>15.19756048790242</v>
      </c>
      <c r="BC49" s="787">
        <v>77777</v>
      </c>
      <c r="BD49" s="778">
        <v>2000</v>
      </c>
      <c r="BE49" s="779">
        <v>150</v>
      </c>
      <c r="BF49" s="779">
        <f t="shared" si="14"/>
        <v>259</v>
      </c>
      <c r="BG49" s="783">
        <f t="shared" si="15"/>
        <v>-1741</v>
      </c>
      <c r="BH49" s="784">
        <v>5</v>
      </c>
      <c r="BI49" s="779">
        <v>10000</v>
      </c>
      <c r="BJ49" s="779">
        <v>80000</v>
      </c>
      <c r="BK49" s="779">
        <v>250</v>
      </c>
      <c r="BL49" s="783">
        <v>2000</v>
      </c>
      <c r="BM49" s="785">
        <v>72</v>
      </c>
      <c r="BN49" s="779">
        <v>4200000</v>
      </c>
      <c r="BO49" s="779">
        <v>0</v>
      </c>
      <c r="BP49" s="779">
        <v>7</v>
      </c>
      <c r="BQ49" s="779">
        <v>0</v>
      </c>
      <c r="BR49" s="779">
        <v>10000</v>
      </c>
      <c r="BS49" s="786">
        <v>20.000499999999999</v>
      </c>
      <c r="BT49" s="787">
        <v>58333</v>
      </c>
      <c r="BU49" s="778">
        <v>2667</v>
      </c>
      <c r="BV49" s="779">
        <v>200</v>
      </c>
      <c r="BW49" s="779">
        <f t="shared" si="16"/>
        <v>346</v>
      </c>
      <c r="BX49" s="783">
        <f t="shared" si="17"/>
        <v>-2321</v>
      </c>
      <c r="BY49" s="784">
        <v>5</v>
      </c>
      <c r="BZ49" s="779">
        <v>13335</v>
      </c>
      <c r="CA49" s="779">
        <v>106680</v>
      </c>
      <c r="CB49" s="779">
        <v>333</v>
      </c>
      <c r="CC49" s="783">
        <v>2667</v>
      </c>
      <c r="CD49" s="785">
        <v>144</v>
      </c>
      <c r="CE49" s="779">
        <v>5600000</v>
      </c>
      <c r="CF49" s="779">
        <v>0</v>
      </c>
      <c r="CG49" s="779">
        <v>0</v>
      </c>
      <c r="CH49" s="779">
        <v>5</v>
      </c>
      <c r="CI49" s="779">
        <v>10000</v>
      </c>
      <c r="CJ49" s="786">
        <v>21.997250343707037</v>
      </c>
      <c r="CK49" s="787">
        <v>38888</v>
      </c>
      <c r="CL49" s="778">
        <v>4000</v>
      </c>
      <c r="CM49" s="779">
        <v>300</v>
      </c>
      <c r="CN49" s="779">
        <f t="shared" si="18"/>
        <v>519</v>
      </c>
      <c r="CO49" s="783">
        <f t="shared" si="19"/>
        <v>-3481</v>
      </c>
      <c r="CP49" s="784">
        <v>5</v>
      </c>
      <c r="CQ49" s="779">
        <v>20000</v>
      </c>
      <c r="CR49" s="779">
        <v>160000</v>
      </c>
      <c r="CS49" s="779">
        <v>500</v>
      </c>
      <c r="CT49" s="783">
        <v>4000</v>
      </c>
      <c r="CU49" s="785">
        <v>288</v>
      </c>
      <c r="CV49" s="779">
        <v>7000000</v>
      </c>
      <c r="CW49" s="779">
        <v>0</v>
      </c>
      <c r="CX49" s="779">
        <v>0</v>
      </c>
      <c r="CY49" s="779">
        <v>7</v>
      </c>
      <c r="CZ49" s="779">
        <v>10000</v>
      </c>
      <c r="DA49" s="786">
        <v>22.584333333333333</v>
      </c>
      <c r="DB49" s="787">
        <v>24305</v>
      </c>
      <c r="DC49" s="788">
        <v>546</v>
      </c>
      <c r="DD49" s="779">
        <v>19600000</v>
      </c>
      <c r="DE49" s="789">
        <v>0</v>
      </c>
      <c r="DF49" s="789">
        <v>12</v>
      </c>
      <c r="DG49" s="789">
        <v>12</v>
      </c>
      <c r="DH49" s="779">
        <v>37650</v>
      </c>
      <c r="DI49" s="786">
        <v>40.833333333333336</v>
      </c>
      <c r="DJ49" s="787">
        <v>35897.435897435898</v>
      </c>
      <c r="DK49" s="790">
        <v>149</v>
      </c>
      <c r="DL49" s="791" t="s">
        <v>43</v>
      </c>
      <c r="DM49" s="792">
        <v>10000</v>
      </c>
      <c r="DN49" s="793">
        <v>498000</v>
      </c>
      <c r="DO49" s="794">
        <v>996000</v>
      </c>
      <c r="DP49" s="794"/>
      <c r="DQ49" s="794"/>
      <c r="DR49" s="794"/>
      <c r="DS49" s="794"/>
      <c r="DT49" s="794"/>
      <c r="DU49" s="794"/>
      <c r="DV49" s="794"/>
      <c r="DW49" s="794"/>
      <c r="DX49" s="795"/>
      <c r="DY49" s="796" t="s">
        <v>43</v>
      </c>
      <c r="DZ49" s="797"/>
      <c r="EA49" s="776"/>
      <c r="EB49" s="776"/>
      <c r="EC49" s="798"/>
      <c r="ED49" s="799"/>
      <c r="EE49" s="779"/>
      <c r="EF49" s="779"/>
      <c r="EG49" s="779"/>
      <c r="EH49" s="783"/>
      <c r="EI49" s="800"/>
      <c r="EJ49" s="801"/>
    </row>
    <row r="50" spans="2:140">
      <c r="B50" s="1126" t="s">
        <v>257</v>
      </c>
      <c r="C50" s="765" t="s">
        <v>48</v>
      </c>
      <c r="D50" s="766"/>
      <c r="E50" s="767" t="s">
        <v>43</v>
      </c>
      <c r="F50" s="768"/>
      <c r="G50" s="769"/>
      <c r="H50" s="770">
        <v>4</v>
      </c>
      <c r="I50" s="771" t="s">
        <v>282</v>
      </c>
      <c r="J50" s="772">
        <v>9</v>
      </c>
      <c r="K50" s="773">
        <v>2.5000000000000001E-2</v>
      </c>
      <c r="L50" s="774">
        <v>4</v>
      </c>
      <c r="M50" s="775">
        <v>100</v>
      </c>
      <c r="N50" s="768">
        <v>100</v>
      </c>
      <c r="O50" s="802">
        <v>42385</v>
      </c>
      <c r="P50" s="777" t="s">
        <v>206</v>
      </c>
      <c r="Q50" s="778">
        <v>1000</v>
      </c>
      <c r="R50" s="779">
        <v>250</v>
      </c>
      <c r="S50" s="780">
        <v>45000</v>
      </c>
      <c r="T50" s="781" t="s">
        <v>366</v>
      </c>
      <c r="U50" s="782" t="s">
        <v>644</v>
      </c>
      <c r="V50" s="778">
        <v>334</v>
      </c>
      <c r="W50" s="779">
        <v>84</v>
      </c>
      <c r="X50" s="779">
        <f t="shared" si="10"/>
        <v>145</v>
      </c>
      <c r="Y50" s="783">
        <f t="shared" si="11"/>
        <v>-189</v>
      </c>
      <c r="Z50" s="784">
        <v>5</v>
      </c>
      <c r="AA50" s="779">
        <v>1670</v>
      </c>
      <c r="AB50" s="779">
        <v>15030</v>
      </c>
      <c r="AC50" s="779">
        <v>41</v>
      </c>
      <c r="AD50" s="783">
        <v>375</v>
      </c>
      <c r="AE50" s="785">
        <v>2</v>
      </c>
      <c r="AF50" s="779">
        <v>0</v>
      </c>
      <c r="AG50" s="779">
        <v>0</v>
      </c>
      <c r="AH50" s="779">
        <v>0</v>
      </c>
      <c r="AI50" s="779">
        <v>0</v>
      </c>
      <c r="AJ50" s="779">
        <v>84</v>
      </c>
      <c r="AK50" s="786">
        <v>0</v>
      </c>
      <c r="AL50" s="787">
        <v>0</v>
      </c>
      <c r="AM50" s="778">
        <v>417</v>
      </c>
      <c r="AN50" s="779">
        <v>105</v>
      </c>
      <c r="AO50" s="779">
        <f t="shared" si="12"/>
        <v>181</v>
      </c>
      <c r="AP50" s="783">
        <f t="shared" si="13"/>
        <v>-236</v>
      </c>
      <c r="AQ50" s="784">
        <v>5</v>
      </c>
      <c r="AR50" s="779">
        <v>2085</v>
      </c>
      <c r="AS50" s="779">
        <v>18765</v>
      </c>
      <c r="AT50" s="779">
        <v>52</v>
      </c>
      <c r="AU50" s="783">
        <v>469</v>
      </c>
      <c r="AV50" s="785">
        <v>12</v>
      </c>
      <c r="AW50" s="779">
        <v>1200000</v>
      </c>
      <c r="AX50" s="779">
        <v>0</v>
      </c>
      <c r="AY50" s="779">
        <v>2</v>
      </c>
      <c r="AZ50" s="779">
        <v>0</v>
      </c>
      <c r="BA50" s="779">
        <v>626</v>
      </c>
      <c r="BB50" s="786">
        <v>24.381294964028779</v>
      </c>
      <c r="BC50" s="787">
        <v>100000</v>
      </c>
      <c r="BD50" s="778">
        <v>500</v>
      </c>
      <c r="BE50" s="779">
        <v>125</v>
      </c>
      <c r="BF50" s="779">
        <f t="shared" si="14"/>
        <v>216</v>
      </c>
      <c r="BG50" s="783">
        <f t="shared" si="15"/>
        <v>-284</v>
      </c>
      <c r="BH50" s="784">
        <v>5</v>
      </c>
      <c r="BI50" s="779">
        <v>2500</v>
      </c>
      <c r="BJ50" s="779">
        <v>22500</v>
      </c>
      <c r="BK50" s="779">
        <v>62</v>
      </c>
      <c r="BL50" s="783">
        <v>562</v>
      </c>
      <c r="BM50" s="785">
        <v>24</v>
      </c>
      <c r="BN50" s="779">
        <v>1800000</v>
      </c>
      <c r="BO50" s="779">
        <v>0</v>
      </c>
      <c r="BP50" s="779">
        <v>4</v>
      </c>
      <c r="BQ50" s="779">
        <v>0</v>
      </c>
      <c r="BR50" s="779">
        <v>1500</v>
      </c>
      <c r="BS50" s="786">
        <v>30.834</v>
      </c>
      <c r="BT50" s="787">
        <v>75000</v>
      </c>
      <c r="BU50" s="778">
        <v>667</v>
      </c>
      <c r="BV50" s="779">
        <v>167</v>
      </c>
      <c r="BW50" s="779">
        <f t="shared" si="16"/>
        <v>289</v>
      </c>
      <c r="BX50" s="783">
        <f t="shared" si="17"/>
        <v>-378</v>
      </c>
      <c r="BY50" s="784">
        <v>5</v>
      </c>
      <c r="BZ50" s="779">
        <v>3335</v>
      </c>
      <c r="CA50" s="779">
        <v>30015</v>
      </c>
      <c r="CB50" s="779">
        <v>83</v>
      </c>
      <c r="CC50" s="783">
        <v>750</v>
      </c>
      <c r="CD50" s="785">
        <v>72</v>
      </c>
      <c r="CE50" s="779">
        <v>2400000</v>
      </c>
      <c r="CF50" s="779">
        <v>0</v>
      </c>
      <c r="CG50" s="779">
        <v>0</v>
      </c>
      <c r="CH50" s="779">
        <v>2</v>
      </c>
      <c r="CI50" s="779">
        <v>6003</v>
      </c>
      <c r="CJ50" s="786">
        <v>32.233883058470767</v>
      </c>
      <c r="CK50" s="787">
        <v>33333</v>
      </c>
      <c r="CL50" s="778">
        <v>1000</v>
      </c>
      <c r="CM50" s="779">
        <v>250</v>
      </c>
      <c r="CN50" s="779">
        <f t="shared" si="18"/>
        <v>433</v>
      </c>
      <c r="CO50" s="783">
        <f t="shared" si="19"/>
        <v>-567</v>
      </c>
      <c r="CP50" s="784">
        <v>5</v>
      </c>
      <c r="CQ50" s="779">
        <v>5000</v>
      </c>
      <c r="CR50" s="779">
        <v>45000</v>
      </c>
      <c r="CS50" s="779">
        <v>125</v>
      </c>
      <c r="CT50" s="783">
        <v>1125</v>
      </c>
      <c r="CU50" s="785">
        <v>120</v>
      </c>
      <c r="CV50" s="779">
        <v>3000000</v>
      </c>
      <c r="CW50" s="779">
        <v>0</v>
      </c>
      <c r="CX50" s="779">
        <v>0</v>
      </c>
      <c r="CY50" s="779">
        <v>5</v>
      </c>
      <c r="CZ50" s="779">
        <v>10000</v>
      </c>
      <c r="DA50" s="786">
        <v>28.334999999999997</v>
      </c>
      <c r="DB50" s="787">
        <v>25000</v>
      </c>
      <c r="DC50" s="788">
        <v>230</v>
      </c>
      <c r="DD50" s="779">
        <v>8400000</v>
      </c>
      <c r="DE50" s="789">
        <v>0</v>
      </c>
      <c r="DF50" s="789">
        <v>6</v>
      </c>
      <c r="DG50" s="789">
        <v>7</v>
      </c>
      <c r="DH50" s="779">
        <v>18213</v>
      </c>
      <c r="DI50" s="786">
        <v>70</v>
      </c>
      <c r="DJ50" s="787">
        <v>36521.739130434784</v>
      </c>
      <c r="DK50" s="790">
        <v>63</v>
      </c>
      <c r="DL50" s="791" t="s">
        <v>43</v>
      </c>
      <c r="DM50" s="792">
        <v>10000</v>
      </c>
      <c r="DN50" s="793">
        <v>49800</v>
      </c>
      <c r="DO50" s="794">
        <v>99600</v>
      </c>
      <c r="DP50" s="794">
        <v>199200</v>
      </c>
      <c r="DQ50" s="794">
        <v>398400</v>
      </c>
      <c r="DR50" s="794">
        <v>796800</v>
      </c>
      <c r="DS50" s="794"/>
      <c r="DT50" s="794"/>
      <c r="DU50" s="794"/>
      <c r="DV50" s="794"/>
      <c r="DW50" s="794"/>
      <c r="DX50" s="795"/>
      <c r="DY50" s="796" t="s">
        <v>43</v>
      </c>
      <c r="DZ50" s="797"/>
      <c r="EA50" s="776"/>
      <c r="EB50" s="776"/>
      <c r="EC50" s="798"/>
      <c r="ED50" s="799"/>
      <c r="EE50" s="779"/>
      <c r="EF50" s="779"/>
      <c r="EG50" s="779"/>
      <c r="EH50" s="783"/>
      <c r="EI50" s="800"/>
      <c r="EJ50" s="801"/>
    </row>
    <row r="51" spans="2:140">
      <c r="B51" s="1126" t="s">
        <v>131</v>
      </c>
      <c r="C51" s="765" t="s">
        <v>48</v>
      </c>
      <c r="D51" s="766"/>
      <c r="E51" s="767" t="s">
        <v>43</v>
      </c>
      <c r="F51" s="768"/>
      <c r="G51" s="769"/>
      <c r="H51" s="770">
        <v>6</v>
      </c>
      <c r="I51" s="771" t="s">
        <v>270</v>
      </c>
      <c r="J51" s="772">
        <v>4.5</v>
      </c>
      <c r="K51" s="773">
        <v>2.5000000000000001E-2</v>
      </c>
      <c r="L51" s="774">
        <v>4.5132743362831862</v>
      </c>
      <c r="M51" s="775">
        <v>30</v>
      </c>
      <c r="N51" s="768">
        <v>6001</v>
      </c>
      <c r="O51" s="802">
        <v>42224</v>
      </c>
      <c r="P51" s="777" t="s">
        <v>98</v>
      </c>
      <c r="Q51" s="778">
        <v>510</v>
      </c>
      <c r="R51" s="779">
        <v>113</v>
      </c>
      <c r="S51" s="780">
        <v>11475</v>
      </c>
      <c r="T51" s="781" t="s">
        <v>367</v>
      </c>
      <c r="U51" s="782" t="s">
        <v>645</v>
      </c>
      <c r="V51" s="778">
        <v>510</v>
      </c>
      <c r="W51" s="779">
        <v>113</v>
      </c>
      <c r="X51" s="779">
        <f t="shared" si="10"/>
        <v>195</v>
      </c>
      <c r="Y51" s="783">
        <f t="shared" si="11"/>
        <v>-315</v>
      </c>
      <c r="Z51" s="784">
        <v>5</v>
      </c>
      <c r="AA51" s="779">
        <v>2550</v>
      </c>
      <c r="AB51" s="779">
        <v>11475</v>
      </c>
      <c r="AC51" s="779">
        <v>63</v>
      </c>
      <c r="AD51" s="783">
        <v>286</v>
      </c>
      <c r="AE51" s="785">
        <v>132</v>
      </c>
      <c r="AF51" s="779">
        <v>0</v>
      </c>
      <c r="AG51" s="779">
        <v>0</v>
      </c>
      <c r="AH51" s="779">
        <v>0</v>
      </c>
      <c r="AI51" s="779">
        <v>0</v>
      </c>
      <c r="AJ51" s="779">
        <v>10000</v>
      </c>
      <c r="AK51" s="786">
        <v>0</v>
      </c>
      <c r="AL51" s="787">
        <v>0</v>
      </c>
      <c r="AM51" s="778">
        <v>600</v>
      </c>
      <c r="AN51" s="779">
        <v>169</v>
      </c>
      <c r="AO51" s="779">
        <f t="shared" si="12"/>
        <v>292</v>
      </c>
      <c r="AP51" s="783">
        <f t="shared" si="13"/>
        <v>-308</v>
      </c>
      <c r="AQ51" s="784">
        <v>5</v>
      </c>
      <c r="AR51" s="779">
        <v>3000</v>
      </c>
      <c r="AS51" s="779">
        <v>13500</v>
      </c>
      <c r="AT51" s="779">
        <v>75</v>
      </c>
      <c r="AU51" s="783">
        <v>337</v>
      </c>
      <c r="AV51" s="785">
        <v>33</v>
      </c>
      <c r="AW51" s="779">
        <v>3000000</v>
      </c>
      <c r="AX51" s="779">
        <v>0</v>
      </c>
      <c r="AY51" s="779">
        <v>1</v>
      </c>
      <c r="AZ51" s="779">
        <v>0</v>
      </c>
      <c r="BA51" s="779">
        <v>10000</v>
      </c>
      <c r="BB51" s="786">
        <v>42.835416666666667</v>
      </c>
      <c r="BC51" s="787">
        <v>90909</v>
      </c>
      <c r="BD51" s="778">
        <v>892</v>
      </c>
      <c r="BE51" s="779">
        <v>197</v>
      </c>
      <c r="BF51" s="779">
        <f t="shared" si="14"/>
        <v>341</v>
      </c>
      <c r="BG51" s="783">
        <f t="shared" si="15"/>
        <v>-551</v>
      </c>
      <c r="BH51" s="784">
        <v>5</v>
      </c>
      <c r="BI51" s="779">
        <v>4460</v>
      </c>
      <c r="BJ51" s="779">
        <v>20070</v>
      </c>
      <c r="BK51" s="779">
        <v>111</v>
      </c>
      <c r="BL51" s="783">
        <v>501</v>
      </c>
      <c r="BM51" s="785">
        <v>66</v>
      </c>
      <c r="BN51" s="779">
        <v>4500000</v>
      </c>
      <c r="BO51" s="779">
        <v>0</v>
      </c>
      <c r="BP51" s="779">
        <v>2</v>
      </c>
      <c r="BQ51" s="779">
        <v>0</v>
      </c>
      <c r="BR51" s="779">
        <v>10000</v>
      </c>
      <c r="BS51" s="786">
        <v>43.890134529147986</v>
      </c>
      <c r="BT51" s="787">
        <v>68181</v>
      </c>
      <c r="BU51" s="778">
        <v>969</v>
      </c>
      <c r="BV51" s="779">
        <v>214</v>
      </c>
      <c r="BW51" s="779">
        <f t="shared" si="16"/>
        <v>370</v>
      </c>
      <c r="BX51" s="783">
        <f t="shared" si="17"/>
        <v>-599</v>
      </c>
      <c r="BY51" s="784">
        <v>5</v>
      </c>
      <c r="BZ51" s="779">
        <v>4845</v>
      </c>
      <c r="CA51" s="779">
        <v>21802</v>
      </c>
      <c r="CB51" s="779">
        <v>121</v>
      </c>
      <c r="CC51" s="783">
        <v>545</v>
      </c>
      <c r="CD51" s="785">
        <v>99</v>
      </c>
      <c r="CE51" s="779">
        <v>6000000</v>
      </c>
      <c r="CF51" s="779">
        <v>0</v>
      </c>
      <c r="CG51" s="779">
        <v>3</v>
      </c>
      <c r="CH51" s="779">
        <v>0</v>
      </c>
      <c r="CI51" s="779">
        <v>10000</v>
      </c>
      <c r="CJ51" s="786">
        <v>55.396800825593395</v>
      </c>
      <c r="CK51" s="787">
        <v>60606</v>
      </c>
      <c r="CL51" s="778">
        <v>1020</v>
      </c>
      <c r="CM51" s="779">
        <v>226</v>
      </c>
      <c r="CN51" s="779">
        <f t="shared" si="18"/>
        <v>391</v>
      </c>
      <c r="CO51" s="783">
        <f t="shared" si="19"/>
        <v>-629</v>
      </c>
      <c r="CP51" s="784">
        <v>5</v>
      </c>
      <c r="CQ51" s="779">
        <v>5100</v>
      </c>
      <c r="CR51" s="779">
        <v>22950</v>
      </c>
      <c r="CS51" s="779">
        <v>127</v>
      </c>
      <c r="CT51" s="783">
        <v>573</v>
      </c>
      <c r="CU51" s="785">
        <v>132</v>
      </c>
      <c r="CV51" s="779">
        <v>7500000</v>
      </c>
      <c r="CW51" s="779">
        <v>0</v>
      </c>
      <c r="CX51" s="779">
        <v>5</v>
      </c>
      <c r="CY51" s="779">
        <v>0</v>
      </c>
      <c r="CZ51" s="779">
        <v>10000</v>
      </c>
      <c r="DA51" s="786">
        <v>66.499509803921569</v>
      </c>
      <c r="DB51" s="787">
        <v>56818</v>
      </c>
      <c r="DC51" s="788">
        <v>462</v>
      </c>
      <c r="DD51" s="779">
        <v>21000000</v>
      </c>
      <c r="DE51" s="789">
        <v>0</v>
      </c>
      <c r="DF51" s="789">
        <v>11</v>
      </c>
      <c r="DG51" s="789">
        <v>0</v>
      </c>
      <c r="DH51" s="779">
        <v>50000</v>
      </c>
      <c r="DI51" s="786">
        <v>171.56862745098042</v>
      </c>
      <c r="DJ51" s="787">
        <v>45454.545454545456</v>
      </c>
      <c r="DK51" s="790">
        <v>126</v>
      </c>
      <c r="DL51" s="791" t="s">
        <v>43</v>
      </c>
      <c r="DM51" s="792">
        <v>10000</v>
      </c>
      <c r="DN51" s="793">
        <v>100000</v>
      </c>
      <c r="DO51" s="794">
        <v>200000</v>
      </c>
      <c r="DP51" s="794">
        <v>400000</v>
      </c>
      <c r="DQ51" s="794">
        <v>800000</v>
      </c>
      <c r="DR51" s="794"/>
      <c r="DS51" s="794"/>
      <c r="DT51" s="794"/>
      <c r="DU51" s="794"/>
      <c r="DV51" s="794"/>
      <c r="DW51" s="794"/>
      <c r="DX51" s="795"/>
      <c r="DY51" s="796" t="s">
        <v>43</v>
      </c>
      <c r="DZ51" s="797"/>
      <c r="EA51" s="776"/>
      <c r="EB51" s="776"/>
      <c r="EC51" s="798"/>
      <c r="ED51" s="799"/>
      <c r="EE51" s="779"/>
      <c r="EF51" s="779"/>
      <c r="EG51" s="779"/>
      <c r="EH51" s="783"/>
      <c r="EI51" s="800"/>
      <c r="EJ51" s="801"/>
    </row>
    <row r="52" spans="2:140">
      <c r="B52" s="1126" t="s">
        <v>156</v>
      </c>
      <c r="C52" s="765" t="s">
        <v>48</v>
      </c>
      <c r="D52" s="766"/>
      <c r="E52" s="767"/>
      <c r="F52" s="768"/>
      <c r="G52" s="769" t="s">
        <v>43</v>
      </c>
      <c r="H52" s="770">
        <v>6</v>
      </c>
      <c r="I52" s="771" t="s">
        <v>270</v>
      </c>
      <c r="J52" s="772">
        <v>9</v>
      </c>
      <c r="K52" s="773">
        <v>2.5000000000000001E-2</v>
      </c>
      <c r="L52" s="774">
        <v>4.5217391304347823</v>
      </c>
      <c r="M52" s="775">
        <v>30</v>
      </c>
      <c r="N52" s="768">
        <v>6006</v>
      </c>
      <c r="O52" s="802">
        <v>42266</v>
      </c>
      <c r="P52" s="777" t="s">
        <v>98</v>
      </c>
      <c r="Q52" s="778">
        <v>520</v>
      </c>
      <c r="R52" s="779">
        <v>115</v>
      </c>
      <c r="S52" s="780">
        <v>23400</v>
      </c>
      <c r="T52" s="781" t="s">
        <v>368</v>
      </c>
      <c r="U52" s="782" t="s">
        <v>646</v>
      </c>
      <c r="V52" s="778">
        <v>520</v>
      </c>
      <c r="W52" s="779">
        <v>115</v>
      </c>
      <c r="X52" s="779">
        <f t="shared" si="10"/>
        <v>199</v>
      </c>
      <c r="Y52" s="783">
        <f t="shared" si="11"/>
        <v>-321</v>
      </c>
      <c r="Z52" s="784">
        <v>5</v>
      </c>
      <c r="AA52" s="779">
        <v>2600</v>
      </c>
      <c r="AB52" s="779">
        <v>23400</v>
      </c>
      <c r="AC52" s="779">
        <v>65</v>
      </c>
      <c r="AD52" s="783">
        <v>585</v>
      </c>
      <c r="AE52" s="785">
        <v>4</v>
      </c>
      <c r="AF52" s="779">
        <v>0</v>
      </c>
      <c r="AG52" s="779">
        <v>0</v>
      </c>
      <c r="AH52" s="779">
        <v>0</v>
      </c>
      <c r="AI52" s="779">
        <v>0</v>
      </c>
      <c r="AJ52" s="779">
        <v>10000</v>
      </c>
      <c r="AK52" s="786">
        <v>0</v>
      </c>
      <c r="AL52" s="787">
        <v>0</v>
      </c>
      <c r="AM52" s="778">
        <v>780</v>
      </c>
      <c r="AN52" s="779">
        <v>172</v>
      </c>
      <c r="AO52" s="779">
        <f t="shared" si="12"/>
        <v>297</v>
      </c>
      <c r="AP52" s="783">
        <f t="shared" si="13"/>
        <v>-483</v>
      </c>
      <c r="AQ52" s="784">
        <v>5</v>
      </c>
      <c r="AR52" s="779">
        <v>3900</v>
      </c>
      <c r="AS52" s="779">
        <v>35100</v>
      </c>
      <c r="AT52" s="779">
        <v>97</v>
      </c>
      <c r="AU52" s="783">
        <v>877</v>
      </c>
      <c r="AV52" s="785">
        <v>24</v>
      </c>
      <c r="AW52" s="779">
        <v>2160000</v>
      </c>
      <c r="AX52" s="779">
        <v>0</v>
      </c>
      <c r="AY52" s="779">
        <v>2</v>
      </c>
      <c r="AZ52" s="779">
        <v>0</v>
      </c>
      <c r="BA52" s="779">
        <v>10000</v>
      </c>
      <c r="BB52" s="786">
        <v>23.743589743589741</v>
      </c>
      <c r="BC52" s="787">
        <v>90000</v>
      </c>
      <c r="BD52" s="778">
        <v>907</v>
      </c>
      <c r="BE52" s="779">
        <v>200</v>
      </c>
      <c r="BF52" s="779">
        <f t="shared" si="14"/>
        <v>346</v>
      </c>
      <c r="BG52" s="783">
        <f t="shared" si="15"/>
        <v>-561</v>
      </c>
      <c r="BH52" s="784">
        <v>5</v>
      </c>
      <c r="BI52" s="779">
        <v>4535</v>
      </c>
      <c r="BJ52" s="779">
        <v>40815</v>
      </c>
      <c r="BK52" s="779">
        <v>113</v>
      </c>
      <c r="BL52" s="783">
        <v>1020</v>
      </c>
      <c r="BM52" s="785">
        <v>54</v>
      </c>
      <c r="BN52" s="779">
        <v>3240000</v>
      </c>
      <c r="BO52" s="779">
        <v>0</v>
      </c>
      <c r="BP52" s="779">
        <v>4</v>
      </c>
      <c r="BQ52" s="779">
        <v>0</v>
      </c>
      <c r="BR52" s="779">
        <v>10000</v>
      </c>
      <c r="BS52" s="786">
        <v>31.703417861080485</v>
      </c>
      <c r="BT52" s="787">
        <v>60000</v>
      </c>
      <c r="BU52" s="778">
        <v>988</v>
      </c>
      <c r="BV52" s="779">
        <v>218</v>
      </c>
      <c r="BW52" s="779">
        <f t="shared" si="16"/>
        <v>377</v>
      </c>
      <c r="BX52" s="783">
        <f t="shared" si="17"/>
        <v>-611</v>
      </c>
      <c r="BY52" s="784">
        <v>5</v>
      </c>
      <c r="BZ52" s="779">
        <v>4940</v>
      </c>
      <c r="CA52" s="779">
        <v>44460</v>
      </c>
      <c r="CB52" s="779">
        <v>123</v>
      </c>
      <c r="CC52" s="783">
        <v>1111</v>
      </c>
      <c r="CD52" s="785">
        <v>102</v>
      </c>
      <c r="CE52" s="779">
        <v>4320000</v>
      </c>
      <c r="CF52" s="779">
        <v>0</v>
      </c>
      <c r="CG52" s="779">
        <v>6</v>
      </c>
      <c r="CH52" s="779">
        <v>0</v>
      </c>
      <c r="CI52" s="779">
        <v>10000</v>
      </c>
      <c r="CJ52" s="786">
        <v>40.338815789473685</v>
      </c>
      <c r="CK52" s="787">
        <v>42352</v>
      </c>
      <c r="CL52" s="778">
        <v>1040</v>
      </c>
      <c r="CM52" s="779">
        <v>230</v>
      </c>
      <c r="CN52" s="779">
        <f t="shared" si="18"/>
        <v>398</v>
      </c>
      <c r="CO52" s="783">
        <f t="shared" si="19"/>
        <v>-642</v>
      </c>
      <c r="CP52" s="784">
        <v>5</v>
      </c>
      <c r="CQ52" s="779">
        <v>5200</v>
      </c>
      <c r="CR52" s="779">
        <v>46800</v>
      </c>
      <c r="CS52" s="779">
        <v>130</v>
      </c>
      <c r="CT52" s="783">
        <v>1170</v>
      </c>
      <c r="CU52" s="785">
        <v>192</v>
      </c>
      <c r="CV52" s="779">
        <v>5400000</v>
      </c>
      <c r="CW52" s="779">
        <v>0</v>
      </c>
      <c r="CX52" s="779">
        <v>12</v>
      </c>
      <c r="CY52" s="779">
        <v>0</v>
      </c>
      <c r="CZ52" s="779">
        <v>10000</v>
      </c>
      <c r="DA52" s="786">
        <v>50.869230769230768</v>
      </c>
      <c r="DB52" s="787">
        <v>28125</v>
      </c>
      <c r="DC52" s="788">
        <v>376</v>
      </c>
      <c r="DD52" s="779">
        <v>15120000</v>
      </c>
      <c r="DE52" s="789">
        <v>0</v>
      </c>
      <c r="DF52" s="789">
        <v>24</v>
      </c>
      <c r="DG52" s="789">
        <v>0</v>
      </c>
      <c r="DH52" s="779">
        <v>50000</v>
      </c>
      <c r="DI52" s="786">
        <v>121.15384615384615</v>
      </c>
      <c r="DJ52" s="787">
        <v>40212.765957446805</v>
      </c>
      <c r="DK52" s="790">
        <v>103</v>
      </c>
      <c r="DL52" s="791" t="s">
        <v>43</v>
      </c>
      <c r="DM52" s="792">
        <v>10000</v>
      </c>
      <c r="DN52" s="793">
        <v>140000</v>
      </c>
      <c r="DO52" s="794">
        <v>280000</v>
      </c>
      <c r="DP52" s="794">
        <v>560000</v>
      </c>
      <c r="DQ52" s="794"/>
      <c r="DR52" s="794"/>
      <c r="DS52" s="794"/>
      <c r="DT52" s="794"/>
      <c r="DU52" s="794"/>
      <c r="DV52" s="794"/>
      <c r="DW52" s="794"/>
      <c r="DX52" s="795"/>
      <c r="DY52" s="796" t="s">
        <v>43</v>
      </c>
      <c r="DZ52" s="797"/>
      <c r="EA52" s="776"/>
      <c r="EB52" s="776"/>
      <c r="EC52" s="798"/>
      <c r="ED52" s="799"/>
      <c r="EE52" s="779"/>
      <c r="EF52" s="779"/>
      <c r="EG52" s="779"/>
      <c r="EH52" s="783"/>
      <c r="EI52" s="800"/>
      <c r="EJ52" s="801"/>
    </row>
    <row r="53" spans="2:140">
      <c r="B53" s="1126" t="s">
        <v>169</v>
      </c>
      <c r="C53" s="765" t="s">
        <v>48</v>
      </c>
      <c r="D53" s="766"/>
      <c r="E53" s="767" t="s">
        <v>43</v>
      </c>
      <c r="F53" s="768"/>
      <c r="G53" s="769"/>
      <c r="H53" s="770">
        <v>6</v>
      </c>
      <c r="I53" s="771" t="s">
        <v>270</v>
      </c>
      <c r="J53" s="772">
        <v>9</v>
      </c>
      <c r="K53" s="773">
        <v>2.5000000000000001E-2</v>
      </c>
      <c r="L53" s="774">
        <v>4.615384615384615</v>
      </c>
      <c r="M53" s="775">
        <v>30</v>
      </c>
      <c r="N53" s="768">
        <v>6011</v>
      </c>
      <c r="O53" s="802">
        <v>42280</v>
      </c>
      <c r="P53" s="777" t="s">
        <v>98</v>
      </c>
      <c r="Q53" s="778">
        <v>540</v>
      </c>
      <c r="R53" s="779">
        <v>117</v>
      </c>
      <c r="S53" s="780">
        <v>24300</v>
      </c>
      <c r="T53" s="781" t="s">
        <v>369</v>
      </c>
      <c r="U53" s="782" t="s">
        <v>647</v>
      </c>
      <c r="V53" s="778">
        <v>540</v>
      </c>
      <c r="W53" s="779">
        <v>117</v>
      </c>
      <c r="X53" s="779">
        <f t="shared" si="10"/>
        <v>202</v>
      </c>
      <c r="Y53" s="783">
        <f t="shared" si="11"/>
        <v>-338</v>
      </c>
      <c r="Z53" s="784">
        <v>5</v>
      </c>
      <c r="AA53" s="779">
        <v>2700</v>
      </c>
      <c r="AB53" s="779">
        <v>24300</v>
      </c>
      <c r="AC53" s="779">
        <v>67</v>
      </c>
      <c r="AD53" s="783">
        <v>607</v>
      </c>
      <c r="AE53" s="785">
        <v>2</v>
      </c>
      <c r="AF53" s="779">
        <v>0</v>
      </c>
      <c r="AG53" s="779">
        <v>0</v>
      </c>
      <c r="AH53" s="779">
        <v>0</v>
      </c>
      <c r="AI53" s="779">
        <v>0</v>
      </c>
      <c r="AJ53" s="779">
        <v>10000</v>
      </c>
      <c r="AK53" s="786">
        <v>0</v>
      </c>
      <c r="AL53" s="787">
        <v>0</v>
      </c>
      <c r="AM53" s="778">
        <v>810</v>
      </c>
      <c r="AN53" s="779">
        <v>176</v>
      </c>
      <c r="AO53" s="779">
        <f t="shared" si="12"/>
        <v>304</v>
      </c>
      <c r="AP53" s="783">
        <f t="shared" si="13"/>
        <v>-506</v>
      </c>
      <c r="AQ53" s="784">
        <v>5</v>
      </c>
      <c r="AR53" s="779">
        <v>4050</v>
      </c>
      <c r="AS53" s="779">
        <v>36450</v>
      </c>
      <c r="AT53" s="779">
        <v>101</v>
      </c>
      <c r="AU53" s="783">
        <v>911</v>
      </c>
      <c r="AV53" s="785">
        <v>24</v>
      </c>
      <c r="AW53" s="779">
        <v>2200000</v>
      </c>
      <c r="AX53" s="779">
        <v>0</v>
      </c>
      <c r="AY53" s="779">
        <v>2</v>
      </c>
      <c r="AZ53" s="779">
        <v>0</v>
      </c>
      <c r="BA53" s="779">
        <v>10000</v>
      </c>
      <c r="BB53" s="786">
        <v>23.300411522633748</v>
      </c>
      <c r="BC53" s="787">
        <v>91666</v>
      </c>
      <c r="BD53" s="778">
        <v>943</v>
      </c>
      <c r="BE53" s="779">
        <v>205</v>
      </c>
      <c r="BF53" s="779">
        <f t="shared" si="14"/>
        <v>355</v>
      </c>
      <c r="BG53" s="783">
        <f t="shared" si="15"/>
        <v>-588</v>
      </c>
      <c r="BH53" s="784">
        <v>5</v>
      </c>
      <c r="BI53" s="779">
        <v>4715</v>
      </c>
      <c r="BJ53" s="779">
        <v>42435</v>
      </c>
      <c r="BK53" s="779">
        <v>117</v>
      </c>
      <c r="BL53" s="783">
        <v>1060</v>
      </c>
      <c r="BM53" s="785">
        <v>56</v>
      </c>
      <c r="BN53" s="779">
        <v>3300000</v>
      </c>
      <c r="BO53" s="779">
        <v>0</v>
      </c>
      <c r="BP53" s="779">
        <v>4</v>
      </c>
      <c r="BQ53" s="779">
        <v>0</v>
      </c>
      <c r="BR53" s="779">
        <v>10000</v>
      </c>
      <c r="BS53" s="786">
        <v>31.166489925768825</v>
      </c>
      <c r="BT53" s="787">
        <v>58928</v>
      </c>
      <c r="BU53" s="778">
        <v>1026</v>
      </c>
      <c r="BV53" s="779">
        <v>223</v>
      </c>
      <c r="BW53" s="779">
        <f t="shared" si="16"/>
        <v>386</v>
      </c>
      <c r="BX53" s="783">
        <f t="shared" si="17"/>
        <v>-640</v>
      </c>
      <c r="BY53" s="784">
        <v>5</v>
      </c>
      <c r="BZ53" s="779">
        <v>5130</v>
      </c>
      <c r="CA53" s="779">
        <v>46170</v>
      </c>
      <c r="CB53" s="779">
        <v>128</v>
      </c>
      <c r="CC53" s="783">
        <v>1154</v>
      </c>
      <c r="CD53" s="785">
        <v>102</v>
      </c>
      <c r="CE53" s="779">
        <v>4400000</v>
      </c>
      <c r="CF53" s="779">
        <v>0</v>
      </c>
      <c r="CG53" s="779">
        <v>6</v>
      </c>
      <c r="CH53" s="779">
        <v>0</v>
      </c>
      <c r="CI53" s="779">
        <v>10000</v>
      </c>
      <c r="CJ53" s="786">
        <v>39.643680961663414</v>
      </c>
      <c r="CK53" s="787">
        <v>43137</v>
      </c>
      <c r="CL53" s="778">
        <v>1080</v>
      </c>
      <c r="CM53" s="779">
        <v>234</v>
      </c>
      <c r="CN53" s="779">
        <f t="shared" si="18"/>
        <v>405</v>
      </c>
      <c r="CO53" s="783">
        <f t="shared" si="19"/>
        <v>-675</v>
      </c>
      <c r="CP53" s="784">
        <v>5</v>
      </c>
      <c r="CQ53" s="779">
        <v>5400</v>
      </c>
      <c r="CR53" s="779">
        <v>48600</v>
      </c>
      <c r="CS53" s="779">
        <v>135</v>
      </c>
      <c r="CT53" s="783">
        <v>1215</v>
      </c>
      <c r="CU53" s="785">
        <v>192</v>
      </c>
      <c r="CV53" s="779">
        <v>5500000</v>
      </c>
      <c r="CW53" s="779">
        <v>0</v>
      </c>
      <c r="CX53" s="779">
        <v>12</v>
      </c>
      <c r="CY53" s="779">
        <v>0</v>
      </c>
      <c r="CZ53" s="779">
        <v>10000</v>
      </c>
      <c r="DA53" s="786">
        <v>50.038271604938274</v>
      </c>
      <c r="DB53" s="787">
        <v>28645</v>
      </c>
      <c r="DC53" s="788">
        <v>376</v>
      </c>
      <c r="DD53" s="779">
        <v>15400000</v>
      </c>
      <c r="DE53" s="789">
        <v>0</v>
      </c>
      <c r="DF53" s="789">
        <v>24</v>
      </c>
      <c r="DG53" s="789">
        <v>0</v>
      </c>
      <c r="DH53" s="779">
        <v>50000</v>
      </c>
      <c r="DI53" s="786">
        <v>118.82716049382715</v>
      </c>
      <c r="DJ53" s="787">
        <v>40957.446808510642</v>
      </c>
      <c r="DK53" s="790">
        <v>103</v>
      </c>
      <c r="DL53" s="791" t="s">
        <v>43</v>
      </c>
      <c r="DM53" s="792">
        <v>10000</v>
      </c>
      <c r="DN53" s="793">
        <v>150000</v>
      </c>
      <c r="DO53" s="794">
        <v>300000</v>
      </c>
      <c r="DP53" s="794">
        <v>600000</v>
      </c>
      <c r="DQ53" s="794"/>
      <c r="DR53" s="794"/>
      <c r="DS53" s="794"/>
      <c r="DT53" s="794"/>
      <c r="DU53" s="794"/>
      <c r="DV53" s="794"/>
      <c r="DW53" s="794"/>
      <c r="DX53" s="795"/>
      <c r="DY53" s="796" t="s">
        <v>43</v>
      </c>
      <c r="DZ53" s="797"/>
      <c r="EA53" s="776"/>
      <c r="EB53" s="776"/>
      <c r="EC53" s="798"/>
      <c r="ED53" s="799"/>
      <c r="EE53" s="779"/>
      <c r="EF53" s="779"/>
      <c r="EG53" s="779"/>
      <c r="EH53" s="783"/>
      <c r="EI53" s="800"/>
      <c r="EJ53" s="801"/>
    </row>
    <row r="54" spans="2:140">
      <c r="B54" s="1126" t="s">
        <v>188</v>
      </c>
      <c r="C54" s="765" t="s">
        <v>48</v>
      </c>
      <c r="D54" s="766"/>
      <c r="E54" s="767"/>
      <c r="F54" s="768" t="s">
        <v>43</v>
      </c>
      <c r="G54" s="769" t="s">
        <v>43</v>
      </c>
      <c r="H54" s="770">
        <v>6</v>
      </c>
      <c r="I54" s="771" t="s">
        <v>270</v>
      </c>
      <c r="J54" s="772">
        <v>9</v>
      </c>
      <c r="K54" s="773">
        <v>2.5000000000000001E-2</v>
      </c>
      <c r="L54" s="774">
        <v>4.7457627118644066</v>
      </c>
      <c r="M54" s="775">
        <v>30</v>
      </c>
      <c r="N54" s="768">
        <v>6016</v>
      </c>
      <c r="O54" s="802">
        <v>42315</v>
      </c>
      <c r="P54" s="777" t="s">
        <v>206</v>
      </c>
      <c r="Q54" s="778">
        <v>1120</v>
      </c>
      <c r="R54" s="779">
        <v>236</v>
      </c>
      <c r="S54" s="780">
        <v>60480</v>
      </c>
      <c r="T54" s="781" t="s">
        <v>370</v>
      </c>
      <c r="U54" s="782" t="s">
        <v>648</v>
      </c>
      <c r="V54" s="778">
        <v>374</v>
      </c>
      <c r="W54" s="779">
        <v>79</v>
      </c>
      <c r="X54" s="779">
        <f t="shared" si="10"/>
        <v>136</v>
      </c>
      <c r="Y54" s="783">
        <f t="shared" si="11"/>
        <v>-238</v>
      </c>
      <c r="Z54" s="784">
        <v>5</v>
      </c>
      <c r="AA54" s="779">
        <v>1870</v>
      </c>
      <c r="AB54" s="779">
        <v>16830</v>
      </c>
      <c r="AC54" s="779">
        <v>46</v>
      </c>
      <c r="AD54" s="783">
        <v>420</v>
      </c>
      <c r="AE54" s="785">
        <v>2.5</v>
      </c>
      <c r="AF54" s="779">
        <v>0</v>
      </c>
      <c r="AG54" s="779">
        <v>0</v>
      </c>
      <c r="AH54" s="779">
        <v>0</v>
      </c>
      <c r="AI54" s="779">
        <v>0</v>
      </c>
      <c r="AJ54" s="779">
        <v>10000</v>
      </c>
      <c r="AK54" s="786">
        <v>0</v>
      </c>
      <c r="AL54" s="787">
        <v>0</v>
      </c>
      <c r="AM54" s="778">
        <v>467</v>
      </c>
      <c r="AN54" s="779">
        <v>99</v>
      </c>
      <c r="AO54" s="779">
        <f t="shared" si="12"/>
        <v>171</v>
      </c>
      <c r="AP54" s="783">
        <f t="shared" si="13"/>
        <v>-296</v>
      </c>
      <c r="AQ54" s="784">
        <v>5</v>
      </c>
      <c r="AR54" s="779">
        <v>2335</v>
      </c>
      <c r="AS54" s="779">
        <v>21015</v>
      </c>
      <c r="AT54" s="779">
        <v>58</v>
      </c>
      <c r="AU54" s="783">
        <v>525</v>
      </c>
      <c r="AV54" s="785">
        <v>32</v>
      </c>
      <c r="AW54" s="779">
        <v>2240000</v>
      </c>
      <c r="AX54" s="779">
        <v>0</v>
      </c>
      <c r="AY54" s="779">
        <v>2</v>
      </c>
      <c r="AZ54" s="779">
        <v>0</v>
      </c>
      <c r="BA54" s="779">
        <v>10000</v>
      </c>
      <c r="BB54" s="786">
        <v>41.039257673090653</v>
      </c>
      <c r="BC54" s="787">
        <v>70000</v>
      </c>
      <c r="BD54" s="778">
        <v>560</v>
      </c>
      <c r="BE54" s="779">
        <v>118</v>
      </c>
      <c r="BF54" s="779">
        <f t="shared" si="14"/>
        <v>204</v>
      </c>
      <c r="BG54" s="783">
        <f t="shared" si="15"/>
        <v>-356</v>
      </c>
      <c r="BH54" s="784">
        <v>5</v>
      </c>
      <c r="BI54" s="779">
        <v>2800</v>
      </c>
      <c r="BJ54" s="779">
        <v>25200</v>
      </c>
      <c r="BK54" s="779">
        <v>70</v>
      </c>
      <c r="BL54" s="783">
        <v>630</v>
      </c>
      <c r="BM54" s="785">
        <v>72</v>
      </c>
      <c r="BN54" s="779">
        <v>3360000</v>
      </c>
      <c r="BO54" s="779">
        <v>0</v>
      </c>
      <c r="BP54" s="779">
        <v>4</v>
      </c>
      <c r="BQ54" s="779">
        <v>0</v>
      </c>
      <c r="BR54" s="779">
        <v>10000</v>
      </c>
      <c r="BS54" s="786">
        <v>52.501785714285717</v>
      </c>
      <c r="BT54" s="787">
        <v>46666</v>
      </c>
      <c r="BU54" s="778">
        <v>747</v>
      </c>
      <c r="BV54" s="779">
        <v>158</v>
      </c>
      <c r="BW54" s="779">
        <f t="shared" si="16"/>
        <v>273</v>
      </c>
      <c r="BX54" s="783">
        <f t="shared" si="17"/>
        <v>-474</v>
      </c>
      <c r="BY54" s="784">
        <v>5</v>
      </c>
      <c r="BZ54" s="779">
        <v>3735</v>
      </c>
      <c r="CA54" s="779">
        <v>33615</v>
      </c>
      <c r="CB54" s="779">
        <v>93</v>
      </c>
      <c r="CC54" s="783">
        <v>840</v>
      </c>
      <c r="CD54" s="785">
        <v>120</v>
      </c>
      <c r="CE54" s="779">
        <v>4480000</v>
      </c>
      <c r="CF54" s="779">
        <v>0</v>
      </c>
      <c r="CG54" s="779">
        <v>6</v>
      </c>
      <c r="CH54" s="779">
        <v>0</v>
      </c>
      <c r="CI54" s="966">
        <v>10000</v>
      </c>
      <c r="CJ54" s="786">
        <v>53.726015171798302</v>
      </c>
      <c r="CK54" s="787">
        <v>37333</v>
      </c>
      <c r="CL54" s="778">
        <v>1120</v>
      </c>
      <c r="CM54" s="779">
        <v>236</v>
      </c>
      <c r="CN54" s="779">
        <f t="shared" si="18"/>
        <v>408</v>
      </c>
      <c r="CO54" s="783">
        <f t="shared" si="19"/>
        <v>-712</v>
      </c>
      <c r="CP54" s="784">
        <v>6</v>
      </c>
      <c r="CQ54" s="779">
        <v>6720</v>
      </c>
      <c r="CR54" s="779">
        <v>60480</v>
      </c>
      <c r="CS54" s="779">
        <v>168</v>
      </c>
      <c r="CT54" s="783">
        <v>1512</v>
      </c>
      <c r="CU54" s="785">
        <v>216</v>
      </c>
      <c r="CV54" s="779">
        <v>5600000</v>
      </c>
      <c r="CW54" s="779">
        <v>0</v>
      </c>
      <c r="CX54" s="779">
        <v>12</v>
      </c>
      <c r="CY54" s="779">
        <v>0</v>
      </c>
      <c r="CZ54" s="966">
        <v>10000</v>
      </c>
      <c r="DA54" s="786">
        <v>39.724454365079367</v>
      </c>
      <c r="DB54" s="787">
        <v>25925</v>
      </c>
      <c r="DC54" s="788">
        <v>442.5</v>
      </c>
      <c r="DD54" s="779">
        <v>15680000</v>
      </c>
      <c r="DE54" s="789">
        <v>0</v>
      </c>
      <c r="DF54" s="789">
        <v>24</v>
      </c>
      <c r="DG54" s="789">
        <v>0</v>
      </c>
      <c r="DH54" s="966">
        <v>50000</v>
      </c>
      <c r="DI54" s="786">
        <v>97.222222222222229</v>
      </c>
      <c r="DJ54" s="787">
        <v>35435.028248587572</v>
      </c>
      <c r="DK54" s="790"/>
      <c r="DL54" s="791"/>
      <c r="DM54" s="792">
        <v>10000</v>
      </c>
      <c r="DN54" s="793">
        <v>250000</v>
      </c>
      <c r="DO54" s="794">
        <v>500000</v>
      </c>
      <c r="DP54" s="794">
        <v>1000000</v>
      </c>
      <c r="DQ54" s="794"/>
      <c r="DR54" s="794"/>
      <c r="DS54" s="794"/>
      <c r="DT54" s="794"/>
      <c r="DU54" s="794"/>
      <c r="DV54" s="794"/>
      <c r="DW54" s="794"/>
      <c r="DX54" s="795"/>
      <c r="DY54" s="796" t="s">
        <v>43</v>
      </c>
      <c r="DZ54" s="797"/>
      <c r="EA54" s="776"/>
      <c r="EB54" s="776"/>
      <c r="EC54" s="798"/>
      <c r="ED54" s="799"/>
      <c r="EE54" s="779"/>
      <c r="EF54" s="779"/>
      <c r="EG54" s="779"/>
      <c r="EH54" s="783"/>
      <c r="EI54" s="800"/>
      <c r="EJ54" s="801"/>
    </row>
    <row r="55" spans="2:140">
      <c r="B55" s="1126" t="s">
        <v>212</v>
      </c>
      <c r="C55" s="765" t="s">
        <v>48</v>
      </c>
      <c r="D55" s="766"/>
      <c r="E55" s="767" t="s">
        <v>43</v>
      </c>
      <c r="F55" s="768"/>
      <c r="G55" s="769"/>
      <c r="H55" s="770">
        <v>6</v>
      </c>
      <c r="I55" s="771" t="s">
        <v>270</v>
      </c>
      <c r="J55" s="772">
        <v>9</v>
      </c>
      <c r="K55" s="773">
        <v>2.5000000000000001E-2</v>
      </c>
      <c r="L55" s="774">
        <v>4.7029288702928866</v>
      </c>
      <c r="M55" s="775">
        <v>30</v>
      </c>
      <c r="N55" s="768">
        <v>6021</v>
      </c>
      <c r="O55" s="802">
        <v>42343</v>
      </c>
      <c r="P55" s="777" t="s">
        <v>206</v>
      </c>
      <c r="Q55" s="778">
        <v>1124</v>
      </c>
      <c r="R55" s="779">
        <v>239</v>
      </c>
      <c r="S55" s="780">
        <v>60696</v>
      </c>
      <c r="T55" s="781" t="s">
        <v>371</v>
      </c>
      <c r="U55" s="782" t="s">
        <v>649</v>
      </c>
      <c r="V55" s="778">
        <v>375</v>
      </c>
      <c r="W55" s="779">
        <v>80</v>
      </c>
      <c r="X55" s="779">
        <f t="shared" si="10"/>
        <v>138</v>
      </c>
      <c r="Y55" s="783">
        <f t="shared" si="11"/>
        <v>-237</v>
      </c>
      <c r="Z55" s="784">
        <v>6</v>
      </c>
      <c r="AA55" s="779">
        <v>2250</v>
      </c>
      <c r="AB55" s="779">
        <v>20250</v>
      </c>
      <c r="AC55" s="779">
        <v>56</v>
      </c>
      <c r="AD55" s="783">
        <v>506</v>
      </c>
      <c r="AE55" s="785">
        <v>3</v>
      </c>
      <c r="AF55" s="779">
        <v>0</v>
      </c>
      <c r="AG55" s="779">
        <v>0</v>
      </c>
      <c r="AH55" s="779">
        <v>0</v>
      </c>
      <c r="AI55" s="779">
        <v>0</v>
      </c>
      <c r="AJ55" s="779">
        <v>10000</v>
      </c>
      <c r="AK55" s="786">
        <v>0</v>
      </c>
      <c r="AL55" s="787">
        <v>0</v>
      </c>
      <c r="AM55" s="778">
        <v>469</v>
      </c>
      <c r="AN55" s="779">
        <v>100</v>
      </c>
      <c r="AO55" s="779">
        <f t="shared" si="12"/>
        <v>173</v>
      </c>
      <c r="AP55" s="783">
        <f t="shared" si="13"/>
        <v>-296</v>
      </c>
      <c r="AQ55" s="784">
        <v>6</v>
      </c>
      <c r="AR55" s="779">
        <v>2814</v>
      </c>
      <c r="AS55" s="779">
        <v>25326</v>
      </c>
      <c r="AT55" s="779">
        <v>70</v>
      </c>
      <c r="AU55" s="783">
        <v>633</v>
      </c>
      <c r="AV55" s="785">
        <v>36</v>
      </c>
      <c r="AW55" s="779">
        <v>2280000</v>
      </c>
      <c r="AX55" s="779">
        <v>0</v>
      </c>
      <c r="AY55" s="779">
        <v>3</v>
      </c>
      <c r="AZ55" s="779">
        <v>0</v>
      </c>
      <c r="BA55" s="966">
        <v>10000</v>
      </c>
      <c r="BB55" s="786">
        <v>34.959132906894105</v>
      </c>
      <c r="BC55" s="787">
        <v>63333</v>
      </c>
      <c r="BD55" s="967">
        <v>562</v>
      </c>
      <c r="BE55" s="966">
        <v>120</v>
      </c>
      <c r="BF55" s="966">
        <f t="shared" si="14"/>
        <v>207</v>
      </c>
      <c r="BG55" s="968">
        <f t="shared" si="15"/>
        <v>-355</v>
      </c>
      <c r="BH55" s="784">
        <v>6</v>
      </c>
      <c r="BI55" s="966">
        <v>3372</v>
      </c>
      <c r="BJ55" s="966">
        <v>30348</v>
      </c>
      <c r="BK55" s="966">
        <v>84</v>
      </c>
      <c r="BL55" s="968">
        <v>758</v>
      </c>
      <c r="BM55" s="971">
        <v>96</v>
      </c>
      <c r="BN55" s="966">
        <v>3420000</v>
      </c>
      <c r="BO55" s="966">
        <v>0</v>
      </c>
      <c r="BP55" s="966">
        <v>5</v>
      </c>
      <c r="BQ55" s="966">
        <v>0</v>
      </c>
      <c r="BR55" s="966">
        <v>10000</v>
      </c>
      <c r="BS55" s="970">
        <v>45.597864768683273</v>
      </c>
      <c r="BT55" s="972">
        <v>35625</v>
      </c>
      <c r="BU55" s="967">
        <v>750</v>
      </c>
      <c r="BV55" s="966">
        <v>160</v>
      </c>
      <c r="BW55" s="966">
        <f t="shared" si="16"/>
        <v>277</v>
      </c>
      <c r="BX55" s="968">
        <f t="shared" si="17"/>
        <v>-473</v>
      </c>
      <c r="BY55" s="784">
        <v>6</v>
      </c>
      <c r="BZ55" s="966">
        <v>4500</v>
      </c>
      <c r="CA55" s="966">
        <v>40500</v>
      </c>
      <c r="CB55" s="966">
        <v>112</v>
      </c>
      <c r="CC55" s="968">
        <v>1012</v>
      </c>
      <c r="CD55" s="971">
        <v>144</v>
      </c>
      <c r="CE55" s="966">
        <v>4560000</v>
      </c>
      <c r="CF55" s="966">
        <v>0</v>
      </c>
      <c r="CG55" s="966">
        <v>8</v>
      </c>
      <c r="CH55" s="966">
        <v>0</v>
      </c>
      <c r="CI55" s="966">
        <v>10000</v>
      </c>
      <c r="CJ55" s="970">
        <v>46.718222222222217</v>
      </c>
      <c r="CK55" s="972">
        <v>31666</v>
      </c>
      <c r="CL55" s="778">
        <v>1124</v>
      </c>
      <c r="CM55" s="779">
        <v>239</v>
      </c>
      <c r="CN55" s="779">
        <f t="shared" si="18"/>
        <v>414</v>
      </c>
      <c r="CO55" s="783">
        <f t="shared" si="19"/>
        <v>-710</v>
      </c>
      <c r="CP55" s="784">
        <v>6</v>
      </c>
      <c r="CQ55" s="779">
        <v>6744</v>
      </c>
      <c r="CR55" s="779">
        <v>60696</v>
      </c>
      <c r="CS55" s="779">
        <v>168</v>
      </c>
      <c r="CT55" s="783">
        <v>1517</v>
      </c>
      <c r="CU55" s="971">
        <v>216</v>
      </c>
      <c r="CV55" s="966">
        <v>5700000</v>
      </c>
      <c r="CW55" s="966">
        <v>0</v>
      </c>
      <c r="CX55" s="966">
        <v>10</v>
      </c>
      <c r="CY55" s="966">
        <v>0</v>
      </c>
      <c r="CZ55" s="966">
        <v>10000</v>
      </c>
      <c r="DA55" s="970">
        <v>41.221826809015418</v>
      </c>
      <c r="DB55" s="972">
        <v>26388</v>
      </c>
      <c r="DC55" s="973">
        <v>495</v>
      </c>
      <c r="DD55" s="966">
        <v>15960000</v>
      </c>
      <c r="DE55" s="974">
        <v>0</v>
      </c>
      <c r="DF55" s="974">
        <v>26</v>
      </c>
      <c r="DG55" s="974">
        <v>0</v>
      </c>
      <c r="DH55" s="966">
        <v>50000</v>
      </c>
      <c r="DI55" s="970">
        <v>98.606168446026103</v>
      </c>
      <c r="DJ55" s="972">
        <v>32242.424242424244</v>
      </c>
      <c r="DK55" s="965">
        <v>135</v>
      </c>
      <c r="DL55" s="791" t="s">
        <v>43</v>
      </c>
      <c r="DM55" s="792">
        <v>10000</v>
      </c>
      <c r="DN55" s="793">
        <v>300000</v>
      </c>
      <c r="DO55" s="794">
        <v>600000</v>
      </c>
      <c r="DP55" s="794"/>
      <c r="DQ55" s="794"/>
      <c r="DR55" s="794"/>
      <c r="DS55" s="794"/>
      <c r="DT55" s="794"/>
      <c r="DU55" s="794"/>
      <c r="DV55" s="794"/>
      <c r="DW55" s="794"/>
      <c r="DX55" s="795"/>
      <c r="DY55" s="796" t="s">
        <v>43</v>
      </c>
      <c r="DZ55" s="797"/>
      <c r="EA55" s="776"/>
      <c r="EB55" s="776"/>
      <c r="EC55" s="798"/>
      <c r="ED55" s="799"/>
      <c r="EE55" s="779"/>
      <c r="EF55" s="779"/>
      <c r="EG55" s="779"/>
      <c r="EH55" s="783"/>
      <c r="EI55" s="800"/>
      <c r="EJ55" s="801"/>
    </row>
    <row r="56" spans="2:140">
      <c r="B56" s="1126" t="s">
        <v>229</v>
      </c>
      <c r="C56" s="765" t="s">
        <v>48</v>
      </c>
      <c r="D56" s="766"/>
      <c r="E56" s="767" t="s">
        <v>43</v>
      </c>
      <c r="F56" s="768"/>
      <c r="G56" s="769"/>
      <c r="H56" s="770">
        <v>6</v>
      </c>
      <c r="I56" s="771" t="s">
        <v>270</v>
      </c>
      <c r="J56" s="772">
        <v>9</v>
      </c>
      <c r="K56" s="975">
        <v>2.5000000000000001E-2</v>
      </c>
      <c r="L56" s="774">
        <v>4.6570247933884295</v>
      </c>
      <c r="M56" s="775">
        <v>30</v>
      </c>
      <c r="N56" s="768">
        <v>6025</v>
      </c>
      <c r="O56" s="802">
        <v>42364</v>
      </c>
      <c r="P56" s="777" t="s">
        <v>206</v>
      </c>
      <c r="Q56" s="778">
        <v>1127</v>
      </c>
      <c r="R56" s="779">
        <v>242</v>
      </c>
      <c r="S56" s="780">
        <v>60858</v>
      </c>
      <c r="T56" s="781" t="s">
        <v>372</v>
      </c>
      <c r="U56" s="782" t="s">
        <v>524</v>
      </c>
      <c r="V56" s="778">
        <v>376</v>
      </c>
      <c r="W56" s="779">
        <v>81</v>
      </c>
      <c r="X56" s="779">
        <f t="shared" si="10"/>
        <v>140</v>
      </c>
      <c r="Y56" s="783">
        <f t="shared" si="11"/>
        <v>-236</v>
      </c>
      <c r="Z56" s="784">
        <v>6</v>
      </c>
      <c r="AA56" s="779">
        <v>2256</v>
      </c>
      <c r="AB56" s="779">
        <v>20304</v>
      </c>
      <c r="AC56" s="966">
        <v>56</v>
      </c>
      <c r="AD56" s="968">
        <v>507</v>
      </c>
      <c r="AE56" s="785">
        <v>3</v>
      </c>
      <c r="AF56" s="779">
        <v>0</v>
      </c>
      <c r="AG56" s="779">
        <v>0</v>
      </c>
      <c r="AH56" s="779">
        <v>0</v>
      </c>
      <c r="AI56" s="779">
        <v>0</v>
      </c>
      <c r="AJ56" s="966">
        <v>10000</v>
      </c>
      <c r="AK56" s="786">
        <v>0</v>
      </c>
      <c r="AL56" s="787">
        <v>0</v>
      </c>
      <c r="AM56" s="967">
        <v>470</v>
      </c>
      <c r="AN56" s="966">
        <v>101</v>
      </c>
      <c r="AO56" s="966">
        <f t="shared" si="12"/>
        <v>174</v>
      </c>
      <c r="AP56" s="968">
        <f t="shared" si="13"/>
        <v>-296</v>
      </c>
      <c r="AQ56" s="784">
        <v>6</v>
      </c>
      <c r="AR56" s="966">
        <v>2820</v>
      </c>
      <c r="AS56" s="966">
        <v>25380</v>
      </c>
      <c r="AT56" s="966">
        <v>70</v>
      </c>
      <c r="AU56" s="968">
        <v>634</v>
      </c>
      <c r="AV56" s="785"/>
      <c r="AW56" s="779"/>
      <c r="AX56" s="779"/>
      <c r="AY56" s="779"/>
      <c r="AZ56" s="779"/>
      <c r="BA56" s="966">
        <v>10000</v>
      </c>
      <c r="BB56" s="970">
        <v>0</v>
      </c>
      <c r="BC56" s="787">
        <v>0</v>
      </c>
      <c r="BD56" s="967">
        <v>564</v>
      </c>
      <c r="BE56" s="966">
        <v>121</v>
      </c>
      <c r="BF56" s="966">
        <f t="shared" si="14"/>
        <v>209</v>
      </c>
      <c r="BG56" s="968">
        <f t="shared" si="15"/>
        <v>-355</v>
      </c>
      <c r="BH56" s="784">
        <v>6</v>
      </c>
      <c r="BI56" s="966">
        <v>3384</v>
      </c>
      <c r="BJ56" s="966">
        <v>30456</v>
      </c>
      <c r="BK56" s="966">
        <v>84</v>
      </c>
      <c r="BL56" s="968">
        <v>761</v>
      </c>
      <c r="BM56" s="785"/>
      <c r="BN56" s="779"/>
      <c r="BO56" s="779"/>
      <c r="BP56" s="779"/>
      <c r="BQ56" s="779"/>
      <c r="BR56" s="966">
        <v>10000</v>
      </c>
      <c r="BS56" s="970">
        <v>0</v>
      </c>
      <c r="BT56" s="787">
        <v>0</v>
      </c>
      <c r="BU56" s="967">
        <v>752</v>
      </c>
      <c r="BV56" s="966">
        <v>162</v>
      </c>
      <c r="BW56" s="966">
        <f t="shared" si="16"/>
        <v>280</v>
      </c>
      <c r="BX56" s="968">
        <f t="shared" si="17"/>
        <v>-472</v>
      </c>
      <c r="BY56" s="784">
        <v>6</v>
      </c>
      <c r="BZ56" s="966">
        <v>4512</v>
      </c>
      <c r="CA56" s="966">
        <v>40608</v>
      </c>
      <c r="CB56" s="966">
        <v>112</v>
      </c>
      <c r="CC56" s="968">
        <v>1015</v>
      </c>
      <c r="CD56" s="785"/>
      <c r="CE56" s="779"/>
      <c r="CF56" s="779"/>
      <c r="CG56" s="779"/>
      <c r="CH56" s="779"/>
      <c r="CI56" s="966">
        <v>10000</v>
      </c>
      <c r="CJ56" s="970">
        <v>0</v>
      </c>
      <c r="CK56" s="787">
        <v>0</v>
      </c>
      <c r="CL56" s="778">
        <v>1127</v>
      </c>
      <c r="CM56" s="779">
        <v>242</v>
      </c>
      <c r="CN56" s="779">
        <f t="shared" si="18"/>
        <v>419</v>
      </c>
      <c r="CO56" s="783">
        <f t="shared" si="19"/>
        <v>-708</v>
      </c>
      <c r="CP56" s="784">
        <v>6</v>
      </c>
      <c r="CQ56" s="779">
        <v>6762</v>
      </c>
      <c r="CR56" s="779">
        <v>60858</v>
      </c>
      <c r="CS56" s="966">
        <v>169</v>
      </c>
      <c r="CT56" s="968">
        <v>1521</v>
      </c>
      <c r="CU56" s="785"/>
      <c r="CV56" s="779"/>
      <c r="CW56" s="779"/>
      <c r="CX56" s="779"/>
      <c r="CY56" s="779"/>
      <c r="CZ56" s="966">
        <v>10000</v>
      </c>
      <c r="DA56" s="786">
        <v>0</v>
      </c>
      <c r="DB56" s="787">
        <v>0</v>
      </c>
      <c r="DC56" s="788"/>
      <c r="DD56" s="779"/>
      <c r="DE56" s="789"/>
      <c r="DF56" s="789"/>
      <c r="DG56" s="789"/>
      <c r="DH56" s="966">
        <v>50000</v>
      </c>
      <c r="DI56" s="970"/>
      <c r="DJ56" s="787"/>
      <c r="DK56" s="790"/>
      <c r="DL56" s="791"/>
      <c r="DM56" s="792">
        <v>10000</v>
      </c>
      <c r="DN56" s="793">
        <v>330000</v>
      </c>
      <c r="DO56" s="794">
        <v>660000</v>
      </c>
      <c r="DP56" s="794"/>
      <c r="DQ56" s="794"/>
      <c r="DR56" s="794"/>
      <c r="DS56" s="794"/>
      <c r="DT56" s="794"/>
      <c r="DU56" s="794"/>
      <c r="DV56" s="794"/>
      <c r="DW56" s="794"/>
      <c r="DX56" s="795"/>
      <c r="DY56" s="796" t="s">
        <v>43</v>
      </c>
      <c r="DZ56" s="797"/>
      <c r="EA56" s="776"/>
      <c r="EB56" s="776"/>
      <c r="EC56" s="798"/>
      <c r="ED56" s="799"/>
      <c r="EE56" s="779"/>
      <c r="EF56" s="779"/>
      <c r="EG56" s="779"/>
      <c r="EH56" s="783"/>
      <c r="EI56" s="800"/>
      <c r="EJ56" s="801"/>
    </row>
    <row r="57" spans="2:140">
      <c r="B57" s="1126" t="s">
        <v>243</v>
      </c>
      <c r="C57" s="765" t="s">
        <v>48</v>
      </c>
      <c r="D57" s="766" t="s">
        <v>43</v>
      </c>
      <c r="E57" s="767" t="s">
        <v>43</v>
      </c>
      <c r="F57" s="768"/>
      <c r="G57" s="769"/>
      <c r="H57" s="770">
        <v>6</v>
      </c>
      <c r="I57" s="771" t="s">
        <v>270</v>
      </c>
      <c r="J57" s="772">
        <v>9</v>
      </c>
      <c r="K57" s="773">
        <v>2.5000000000000001E-2</v>
      </c>
      <c r="L57" s="774">
        <v>8.75</v>
      </c>
      <c r="M57" s="775">
        <v>30</v>
      </c>
      <c r="N57" s="768">
        <v>6031</v>
      </c>
      <c r="O57" s="802">
        <v>42370</v>
      </c>
      <c r="P57" s="777" t="s">
        <v>206</v>
      </c>
      <c r="Q57" s="778">
        <v>2625</v>
      </c>
      <c r="R57" s="779">
        <v>300</v>
      </c>
      <c r="S57" s="780">
        <v>189000</v>
      </c>
      <c r="T57" s="781" t="s">
        <v>373</v>
      </c>
      <c r="U57" s="782" t="s">
        <v>520</v>
      </c>
      <c r="V57" s="778">
        <v>875</v>
      </c>
      <c r="W57" s="779">
        <v>100</v>
      </c>
      <c r="X57" s="779">
        <f t="shared" si="10"/>
        <v>173</v>
      </c>
      <c r="Y57" s="783">
        <f t="shared" si="11"/>
        <v>-702</v>
      </c>
      <c r="Z57" s="784">
        <v>8</v>
      </c>
      <c r="AA57" s="779">
        <v>7000</v>
      </c>
      <c r="AB57" s="779">
        <v>63000</v>
      </c>
      <c r="AC57" s="779">
        <v>175</v>
      </c>
      <c r="AD57" s="783">
        <v>1575</v>
      </c>
      <c r="AE57" s="785">
        <v>3</v>
      </c>
      <c r="AF57" s="779">
        <v>0</v>
      </c>
      <c r="AG57" s="779">
        <v>0</v>
      </c>
      <c r="AH57" s="779">
        <v>0</v>
      </c>
      <c r="AI57" s="779">
        <v>0</v>
      </c>
      <c r="AJ57" s="779">
        <v>10000</v>
      </c>
      <c r="AK57" s="786">
        <v>0</v>
      </c>
      <c r="AL57" s="787">
        <v>0</v>
      </c>
      <c r="AM57" s="778">
        <v>1094</v>
      </c>
      <c r="AN57" s="779">
        <v>125</v>
      </c>
      <c r="AO57" s="779">
        <f t="shared" si="12"/>
        <v>216</v>
      </c>
      <c r="AP57" s="783">
        <f t="shared" si="13"/>
        <v>-878</v>
      </c>
      <c r="AQ57" s="784">
        <v>8</v>
      </c>
      <c r="AR57" s="779">
        <v>8752</v>
      </c>
      <c r="AS57" s="779">
        <v>78768</v>
      </c>
      <c r="AT57" s="779">
        <v>218</v>
      </c>
      <c r="AU57" s="783">
        <v>1969</v>
      </c>
      <c r="AV57" s="785">
        <v>38</v>
      </c>
      <c r="AW57" s="779">
        <v>3600000</v>
      </c>
      <c r="AX57" s="779">
        <v>0</v>
      </c>
      <c r="AY57" s="779">
        <v>4</v>
      </c>
      <c r="AZ57" s="779">
        <v>0</v>
      </c>
      <c r="BA57" s="779">
        <v>10000</v>
      </c>
      <c r="BB57" s="786">
        <v>18.405316879951247</v>
      </c>
      <c r="BC57" s="787">
        <v>94736</v>
      </c>
      <c r="BD57" s="778">
        <v>1313</v>
      </c>
      <c r="BE57" s="779">
        <v>150</v>
      </c>
      <c r="BF57" s="779">
        <f t="shared" si="14"/>
        <v>259</v>
      </c>
      <c r="BG57" s="783">
        <f t="shared" si="15"/>
        <v>-1054</v>
      </c>
      <c r="BH57" s="784">
        <v>8</v>
      </c>
      <c r="BI57" s="779">
        <v>10504</v>
      </c>
      <c r="BJ57" s="779">
        <v>94536</v>
      </c>
      <c r="BK57" s="779">
        <v>262</v>
      </c>
      <c r="BL57" s="783">
        <v>2363</v>
      </c>
      <c r="BM57" s="785">
        <v>100</v>
      </c>
      <c r="BN57" s="779">
        <v>5400000</v>
      </c>
      <c r="BO57" s="779">
        <v>0</v>
      </c>
      <c r="BP57" s="779">
        <v>6</v>
      </c>
      <c r="BQ57" s="779">
        <v>0</v>
      </c>
      <c r="BR57" s="779">
        <v>10000</v>
      </c>
      <c r="BS57" s="786">
        <v>24.892104595074894</v>
      </c>
      <c r="BT57" s="787">
        <v>54000</v>
      </c>
      <c r="BU57" s="778">
        <v>1750</v>
      </c>
      <c r="BV57" s="779">
        <v>200</v>
      </c>
      <c r="BW57" s="779">
        <f t="shared" si="16"/>
        <v>346</v>
      </c>
      <c r="BX57" s="783">
        <f t="shared" si="17"/>
        <v>-1404</v>
      </c>
      <c r="BY57" s="784">
        <v>8</v>
      </c>
      <c r="BZ57" s="779">
        <v>14000</v>
      </c>
      <c r="CA57" s="779">
        <v>126000</v>
      </c>
      <c r="CB57" s="779">
        <v>350</v>
      </c>
      <c r="CC57" s="783">
        <v>3150</v>
      </c>
      <c r="CD57" s="785">
        <v>156</v>
      </c>
      <c r="CE57" s="779">
        <v>7200000</v>
      </c>
      <c r="CF57" s="779">
        <v>0</v>
      </c>
      <c r="CG57" s="779">
        <v>12</v>
      </c>
      <c r="CH57" s="779">
        <v>0</v>
      </c>
      <c r="CI57" s="779">
        <v>10000</v>
      </c>
      <c r="CJ57" s="786">
        <v>26.305428571428575</v>
      </c>
      <c r="CK57" s="787">
        <v>46153</v>
      </c>
      <c r="CL57" s="778">
        <v>2625</v>
      </c>
      <c r="CM57" s="779">
        <v>300</v>
      </c>
      <c r="CN57" s="779">
        <f t="shared" si="18"/>
        <v>519</v>
      </c>
      <c r="CO57" s="783">
        <f t="shared" si="19"/>
        <v>-2106</v>
      </c>
      <c r="CP57" s="784">
        <v>8</v>
      </c>
      <c r="CQ57" s="779">
        <v>21000</v>
      </c>
      <c r="CR57" s="779">
        <v>189000</v>
      </c>
      <c r="CS57" s="779">
        <v>525</v>
      </c>
      <c r="CT57" s="783">
        <v>4725</v>
      </c>
      <c r="CU57" s="785">
        <v>240</v>
      </c>
      <c r="CV57" s="779">
        <v>9000000</v>
      </c>
      <c r="CW57" s="779">
        <v>0</v>
      </c>
      <c r="CX57" s="779">
        <v>18</v>
      </c>
      <c r="CY57" s="779">
        <v>0</v>
      </c>
      <c r="CZ57" s="779">
        <v>10000</v>
      </c>
      <c r="DA57" s="786">
        <v>24.523809523809522</v>
      </c>
      <c r="DB57" s="787">
        <v>37500</v>
      </c>
      <c r="DC57" s="788">
        <v>537</v>
      </c>
      <c r="DD57" s="779">
        <v>25200000</v>
      </c>
      <c r="DE57" s="789">
        <v>0</v>
      </c>
      <c r="DF57" s="789">
        <v>40</v>
      </c>
      <c r="DG57" s="789">
        <v>0</v>
      </c>
      <c r="DH57" s="779">
        <v>50000</v>
      </c>
      <c r="DI57" s="786">
        <v>50</v>
      </c>
      <c r="DJ57" s="787">
        <v>46927.374301675976</v>
      </c>
      <c r="DK57" s="790"/>
      <c r="DL57" s="791"/>
      <c r="DM57" s="792">
        <v>10000</v>
      </c>
      <c r="DN57" s="793">
        <v>600000</v>
      </c>
      <c r="DO57" s="794">
        <v>1200000</v>
      </c>
      <c r="DP57" s="794"/>
      <c r="DQ57" s="794"/>
      <c r="DR57" s="794"/>
      <c r="DS57" s="794"/>
      <c r="DT57" s="794"/>
      <c r="DU57" s="794"/>
      <c r="DV57" s="794"/>
      <c r="DW57" s="794"/>
      <c r="DX57" s="795"/>
      <c r="DY57" s="796" t="s">
        <v>43</v>
      </c>
      <c r="DZ57" s="797"/>
      <c r="EA57" s="776"/>
      <c r="EB57" s="776"/>
      <c r="EC57" s="798"/>
      <c r="ED57" s="799"/>
      <c r="EE57" s="779"/>
      <c r="EF57" s="779"/>
      <c r="EG57" s="779"/>
      <c r="EH57" s="783"/>
      <c r="EI57" s="800"/>
      <c r="EJ57" s="801"/>
    </row>
    <row r="58" spans="2:140">
      <c r="B58" s="1126" t="s">
        <v>246</v>
      </c>
      <c r="C58" s="765" t="s">
        <v>48</v>
      </c>
      <c r="D58" s="766" t="s">
        <v>43</v>
      </c>
      <c r="E58" s="767" t="s">
        <v>43</v>
      </c>
      <c r="F58" s="768"/>
      <c r="G58" s="769"/>
      <c r="H58" s="770">
        <v>6</v>
      </c>
      <c r="I58" s="771" t="s">
        <v>270</v>
      </c>
      <c r="J58" s="772">
        <v>9</v>
      </c>
      <c r="K58" s="773">
        <v>2.5000000000000001E-2</v>
      </c>
      <c r="L58" s="774">
        <v>8.67741935483871</v>
      </c>
      <c r="M58" s="775">
        <v>30</v>
      </c>
      <c r="N58" s="768">
        <v>6034</v>
      </c>
      <c r="O58" s="802">
        <v>42373</v>
      </c>
      <c r="P58" s="777" t="s">
        <v>206</v>
      </c>
      <c r="Q58" s="778">
        <v>2690</v>
      </c>
      <c r="R58" s="779">
        <v>310</v>
      </c>
      <c r="S58" s="780">
        <v>193680</v>
      </c>
      <c r="T58" s="781" t="s">
        <v>374</v>
      </c>
      <c r="U58" s="782" t="s">
        <v>520</v>
      </c>
      <c r="V58" s="778">
        <v>897</v>
      </c>
      <c r="W58" s="779">
        <v>104</v>
      </c>
      <c r="X58" s="779">
        <f t="shared" si="10"/>
        <v>180</v>
      </c>
      <c r="Y58" s="783">
        <f t="shared" si="11"/>
        <v>-717</v>
      </c>
      <c r="Z58" s="784">
        <v>8</v>
      </c>
      <c r="AA58" s="779">
        <v>7176</v>
      </c>
      <c r="AB58" s="779">
        <v>64584</v>
      </c>
      <c r="AC58" s="779">
        <v>179</v>
      </c>
      <c r="AD58" s="783">
        <v>1614</v>
      </c>
      <c r="AE58" s="785">
        <v>3</v>
      </c>
      <c r="AF58" s="779">
        <v>0</v>
      </c>
      <c r="AG58" s="779">
        <v>0</v>
      </c>
      <c r="AH58" s="779">
        <v>0</v>
      </c>
      <c r="AI58" s="779">
        <v>0</v>
      </c>
      <c r="AJ58" s="779">
        <v>10000</v>
      </c>
      <c r="AK58" s="786">
        <v>0</v>
      </c>
      <c r="AL58" s="787">
        <v>0</v>
      </c>
      <c r="AM58" s="778">
        <v>1121</v>
      </c>
      <c r="AN58" s="779">
        <v>130</v>
      </c>
      <c r="AO58" s="779">
        <f t="shared" si="12"/>
        <v>225</v>
      </c>
      <c r="AP58" s="783">
        <f t="shared" si="13"/>
        <v>-896</v>
      </c>
      <c r="AQ58" s="784">
        <v>8</v>
      </c>
      <c r="AR58" s="779">
        <v>8968</v>
      </c>
      <c r="AS58" s="779">
        <v>80712</v>
      </c>
      <c r="AT58" s="779">
        <v>224</v>
      </c>
      <c r="AU58" s="783">
        <v>2017</v>
      </c>
      <c r="AV58" s="785">
        <v>38</v>
      </c>
      <c r="AW58" s="779">
        <v>3680000</v>
      </c>
      <c r="AX58" s="779">
        <v>0</v>
      </c>
      <c r="AY58" s="779">
        <v>4</v>
      </c>
      <c r="AZ58" s="779">
        <v>0</v>
      </c>
      <c r="BA58" s="966">
        <v>10000</v>
      </c>
      <c r="BB58" s="786">
        <v>18.364778471602737</v>
      </c>
      <c r="BC58" s="787">
        <v>96842</v>
      </c>
      <c r="BD58" s="778">
        <v>1345</v>
      </c>
      <c r="BE58" s="779">
        <v>155</v>
      </c>
      <c r="BF58" s="779">
        <f t="shared" si="14"/>
        <v>268</v>
      </c>
      <c r="BG58" s="783">
        <f t="shared" si="15"/>
        <v>-1077</v>
      </c>
      <c r="BH58" s="784">
        <v>8</v>
      </c>
      <c r="BI58" s="779">
        <v>10760</v>
      </c>
      <c r="BJ58" s="779">
        <v>96840</v>
      </c>
      <c r="BK58" s="779">
        <v>269</v>
      </c>
      <c r="BL58" s="783">
        <v>2421</v>
      </c>
      <c r="BM58" s="785">
        <v>100</v>
      </c>
      <c r="BN58" s="779">
        <v>5520000</v>
      </c>
      <c r="BO58" s="779">
        <v>0</v>
      </c>
      <c r="BP58" s="779">
        <v>6</v>
      </c>
      <c r="BQ58" s="779">
        <v>0</v>
      </c>
      <c r="BR58" s="966">
        <v>10000</v>
      </c>
      <c r="BS58" s="786">
        <v>24.848203221809172</v>
      </c>
      <c r="BT58" s="787">
        <v>55200</v>
      </c>
      <c r="BU58" s="778">
        <v>1794</v>
      </c>
      <c r="BV58" s="779">
        <v>207</v>
      </c>
      <c r="BW58" s="779">
        <f t="shared" si="16"/>
        <v>358</v>
      </c>
      <c r="BX58" s="783">
        <f t="shared" si="17"/>
        <v>-1436</v>
      </c>
      <c r="BY58" s="784">
        <v>8</v>
      </c>
      <c r="BZ58" s="779">
        <v>14352</v>
      </c>
      <c r="CA58" s="779">
        <v>129168</v>
      </c>
      <c r="CB58" s="779">
        <v>358</v>
      </c>
      <c r="CC58" s="783">
        <v>3229</v>
      </c>
      <c r="CD58" s="785">
        <v>156</v>
      </c>
      <c r="CE58" s="779">
        <v>7360000</v>
      </c>
      <c r="CF58" s="779">
        <v>0</v>
      </c>
      <c r="CG58" s="779">
        <v>12</v>
      </c>
      <c r="CH58" s="779">
        <v>0</v>
      </c>
      <c r="CI58" s="966">
        <v>10000</v>
      </c>
      <c r="CJ58" s="786">
        <v>26.240709773318471</v>
      </c>
      <c r="CK58" s="787">
        <v>47179</v>
      </c>
      <c r="CL58" s="778">
        <v>2690</v>
      </c>
      <c r="CM58" s="779">
        <v>310</v>
      </c>
      <c r="CN58" s="779">
        <f t="shared" si="18"/>
        <v>537</v>
      </c>
      <c r="CO58" s="783">
        <f t="shared" si="19"/>
        <v>-2153</v>
      </c>
      <c r="CP58" s="784">
        <v>8</v>
      </c>
      <c r="CQ58" s="779">
        <v>21520</v>
      </c>
      <c r="CR58" s="779">
        <v>193680</v>
      </c>
      <c r="CS58" s="779">
        <v>538</v>
      </c>
      <c r="CT58" s="783">
        <v>4842</v>
      </c>
      <c r="CU58" s="785">
        <v>240</v>
      </c>
      <c r="CV58" s="779">
        <v>9200000</v>
      </c>
      <c r="CW58" s="779">
        <v>0</v>
      </c>
      <c r="CX58" s="779">
        <v>18</v>
      </c>
      <c r="CY58" s="779">
        <v>0</v>
      </c>
      <c r="CZ58" s="966">
        <v>10000</v>
      </c>
      <c r="DA58" s="786">
        <v>24.4820322180917</v>
      </c>
      <c r="DB58" s="787">
        <v>38333</v>
      </c>
      <c r="DC58" s="788">
        <v>537</v>
      </c>
      <c r="DD58" s="779">
        <v>25760000</v>
      </c>
      <c r="DE58" s="789">
        <v>0</v>
      </c>
      <c r="DF58" s="789">
        <v>40</v>
      </c>
      <c r="DG58" s="789">
        <v>0</v>
      </c>
      <c r="DH58" s="966">
        <v>50000</v>
      </c>
      <c r="DI58" s="786">
        <v>49.876084262701362</v>
      </c>
      <c r="DJ58" s="787">
        <v>47970.204841713225</v>
      </c>
      <c r="DK58" s="790"/>
      <c r="DL58" s="791"/>
      <c r="DM58" s="792">
        <v>10000</v>
      </c>
      <c r="DN58" s="793">
        <v>650000</v>
      </c>
      <c r="DO58" s="794">
        <v>1300000</v>
      </c>
      <c r="DP58" s="794"/>
      <c r="DQ58" s="794"/>
      <c r="DR58" s="794"/>
      <c r="DS58" s="794"/>
      <c r="DT58" s="794"/>
      <c r="DU58" s="794"/>
      <c r="DV58" s="794"/>
      <c r="DW58" s="794"/>
      <c r="DX58" s="795"/>
      <c r="DY58" s="796" t="s">
        <v>43</v>
      </c>
      <c r="DZ58" s="797"/>
      <c r="EA58" s="776"/>
      <c r="EB58" s="776"/>
      <c r="EC58" s="798"/>
      <c r="ED58" s="799"/>
      <c r="EE58" s="779"/>
      <c r="EF58" s="779"/>
      <c r="EG58" s="779"/>
      <c r="EH58" s="783"/>
      <c r="EI58" s="800"/>
      <c r="EJ58" s="801"/>
    </row>
    <row r="59" spans="2:140">
      <c r="B59" s="1126" t="s">
        <v>256</v>
      </c>
      <c r="C59" s="765" t="s">
        <v>48</v>
      </c>
      <c r="D59" s="766" t="s">
        <v>43</v>
      </c>
      <c r="E59" s="767" t="s">
        <v>43</v>
      </c>
      <c r="F59" s="768"/>
      <c r="G59" s="769"/>
      <c r="H59" s="770">
        <v>6</v>
      </c>
      <c r="I59" s="771" t="s">
        <v>270</v>
      </c>
      <c r="J59" s="772">
        <v>9</v>
      </c>
      <c r="K59" s="975">
        <v>2.5000000000000001E-2</v>
      </c>
      <c r="L59" s="774">
        <v>8.7859424920127793</v>
      </c>
      <c r="M59" s="775">
        <v>30</v>
      </c>
      <c r="N59" s="768">
        <v>6038</v>
      </c>
      <c r="O59" s="802">
        <v>42385</v>
      </c>
      <c r="P59" s="777" t="s">
        <v>206</v>
      </c>
      <c r="Q59" s="778">
        <v>2750</v>
      </c>
      <c r="R59" s="779">
        <v>313</v>
      </c>
      <c r="S59" s="780">
        <v>198000</v>
      </c>
      <c r="T59" s="781" t="s">
        <v>375</v>
      </c>
      <c r="U59" s="782" t="s">
        <v>650</v>
      </c>
      <c r="V59" s="778">
        <v>917</v>
      </c>
      <c r="W59" s="779">
        <v>105</v>
      </c>
      <c r="X59" s="779">
        <f t="shared" si="10"/>
        <v>181</v>
      </c>
      <c r="Y59" s="783">
        <f t="shared" si="11"/>
        <v>-736</v>
      </c>
      <c r="Z59" s="784">
        <v>8</v>
      </c>
      <c r="AA59" s="779">
        <v>7336</v>
      </c>
      <c r="AB59" s="779">
        <v>66024</v>
      </c>
      <c r="AC59" s="966">
        <v>183</v>
      </c>
      <c r="AD59" s="968">
        <v>1650</v>
      </c>
      <c r="AE59" s="785">
        <v>3</v>
      </c>
      <c r="AF59" s="779">
        <v>0</v>
      </c>
      <c r="AG59" s="779">
        <v>0</v>
      </c>
      <c r="AH59" s="779">
        <v>0</v>
      </c>
      <c r="AI59" s="779">
        <v>0</v>
      </c>
      <c r="AJ59" s="779">
        <v>10000</v>
      </c>
      <c r="AK59" s="786">
        <v>0</v>
      </c>
      <c r="AL59" s="787">
        <v>0</v>
      </c>
      <c r="AM59" s="778">
        <v>1146</v>
      </c>
      <c r="AN59" s="779">
        <v>131</v>
      </c>
      <c r="AO59" s="779">
        <f t="shared" si="12"/>
        <v>226</v>
      </c>
      <c r="AP59" s="783">
        <f t="shared" si="13"/>
        <v>-920</v>
      </c>
      <c r="AQ59" s="784">
        <v>8</v>
      </c>
      <c r="AR59" s="779">
        <v>9168</v>
      </c>
      <c r="AS59" s="779">
        <v>82512</v>
      </c>
      <c r="AT59" s="966">
        <v>229</v>
      </c>
      <c r="AU59" s="968">
        <v>2062</v>
      </c>
      <c r="AV59" s="785">
        <v>38</v>
      </c>
      <c r="AW59" s="779">
        <v>3720000</v>
      </c>
      <c r="AX59" s="779">
        <v>0</v>
      </c>
      <c r="AY59" s="779">
        <v>4</v>
      </c>
      <c r="AZ59" s="779">
        <v>0</v>
      </c>
      <c r="BA59" s="779">
        <v>10000</v>
      </c>
      <c r="BB59" s="786">
        <v>18.173574752763233</v>
      </c>
      <c r="BC59" s="787">
        <v>97894</v>
      </c>
      <c r="BD59" s="778">
        <v>1375</v>
      </c>
      <c r="BE59" s="779">
        <v>157</v>
      </c>
      <c r="BF59" s="779">
        <f t="shared" si="14"/>
        <v>272</v>
      </c>
      <c r="BG59" s="783">
        <f t="shared" si="15"/>
        <v>-1103</v>
      </c>
      <c r="BH59" s="784">
        <v>8</v>
      </c>
      <c r="BI59" s="779">
        <v>11000</v>
      </c>
      <c r="BJ59" s="779">
        <v>99000</v>
      </c>
      <c r="BK59" s="966">
        <v>275</v>
      </c>
      <c r="BL59" s="968">
        <v>2475</v>
      </c>
      <c r="BM59" s="785">
        <v>100</v>
      </c>
      <c r="BN59" s="779">
        <v>5580000</v>
      </c>
      <c r="BO59" s="779">
        <v>0</v>
      </c>
      <c r="BP59" s="779">
        <v>6</v>
      </c>
      <c r="BQ59" s="779">
        <v>0</v>
      </c>
      <c r="BR59" s="779">
        <v>10000</v>
      </c>
      <c r="BS59" s="786">
        <v>24.609090909090909</v>
      </c>
      <c r="BT59" s="787">
        <v>55800</v>
      </c>
      <c r="BU59" s="778">
        <v>1834</v>
      </c>
      <c r="BV59" s="779">
        <v>209</v>
      </c>
      <c r="BW59" s="779">
        <f t="shared" si="16"/>
        <v>362</v>
      </c>
      <c r="BX59" s="783">
        <f t="shared" si="17"/>
        <v>-1472</v>
      </c>
      <c r="BY59" s="784">
        <v>8</v>
      </c>
      <c r="BZ59" s="779">
        <v>14672</v>
      </c>
      <c r="CA59" s="779">
        <v>132048</v>
      </c>
      <c r="CB59" s="966">
        <v>366</v>
      </c>
      <c r="CC59" s="968">
        <v>3301</v>
      </c>
      <c r="CD59" s="785">
        <v>156</v>
      </c>
      <c r="CE59" s="779">
        <v>7440000</v>
      </c>
      <c r="CF59" s="779">
        <v>0</v>
      </c>
      <c r="CG59" s="779">
        <v>12</v>
      </c>
      <c r="CH59" s="779">
        <v>0</v>
      </c>
      <c r="CI59" s="966">
        <v>10000</v>
      </c>
      <c r="CJ59" s="786">
        <v>26.001908396946565</v>
      </c>
      <c r="CK59" s="787">
        <v>47692</v>
      </c>
      <c r="CL59" s="778">
        <v>2750</v>
      </c>
      <c r="CM59" s="779">
        <v>313</v>
      </c>
      <c r="CN59" s="779">
        <f t="shared" si="18"/>
        <v>542</v>
      </c>
      <c r="CO59" s="783">
        <f t="shared" si="19"/>
        <v>-2208</v>
      </c>
      <c r="CP59" s="784">
        <v>8</v>
      </c>
      <c r="CQ59" s="779">
        <v>22000</v>
      </c>
      <c r="CR59" s="779">
        <v>198000</v>
      </c>
      <c r="CS59" s="966">
        <v>550</v>
      </c>
      <c r="CT59" s="968">
        <v>4950</v>
      </c>
      <c r="CU59" s="785">
        <v>240</v>
      </c>
      <c r="CV59" s="779">
        <v>9300000</v>
      </c>
      <c r="CW59" s="779">
        <v>0</v>
      </c>
      <c r="CX59" s="779">
        <v>18</v>
      </c>
      <c r="CY59" s="779">
        <v>0</v>
      </c>
      <c r="CZ59" s="779">
        <v>10000</v>
      </c>
      <c r="DA59" s="786">
        <v>24.282727272727271</v>
      </c>
      <c r="DB59" s="787">
        <v>38750</v>
      </c>
      <c r="DC59" s="788">
        <v>537</v>
      </c>
      <c r="DD59" s="779">
        <v>26040000</v>
      </c>
      <c r="DE59" s="789">
        <v>0</v>
      </c>
      <c r="DF59" s="789">
        <v>40</v>
      </c>
      <c r="DG59" s="789">
        <v>0</v>
      </c>
      <c r="DH59" s="966">
        <v>50000</v>
      </c>
      <c r="DI59" s="786">
        <v>49.31818181818182</v>
      </c>
      <c r="DJ59" s="787">
        <v>48491.620111731841</v>
      </c>
      <c r="DK59" s="790"/>
      <c r="DL59" s="791"/>
      <c r="DM59" s="792">
        <v>10000</v>
      </c>
      <c r="DN59" s="793">
        <v>700000</v>
      </c>
      <c r="DO59" s="794">
        <v>1400000</v>
      </c>
      <c r="DP59" s="794"/>
      <c r="DQ59" s="794"/>
      <c r="DR59" s="794"/>
      <c r="DS59" s="794"/>
      <c r="DT59" s="794"/>
      <c r="DU59" s="794"/>
      <c r="DV59" s="794"/>
      <c r="DW59" s="794"/>
      <c r="DX59" s="795"/>
      <c r="DY59" s="796" t="s">
        <v>43</v>
      </c>
      <c r="DZ59" s="797"/>
      <c r="EA59" s="776"/>
      <c r="EB59" s="776"/>
      <c r="EC59" s="798"/>
      <c r="ED59" s="799"/>
      <c r="EE59" s="779"/>
      <c r="EF59" s="779"/>
      <c r="EG59" s="779"/>
      <c r="EH59" s="783"/>
      <c r="EI59" s="800"/>
      <c r="EJ59" s="801"/>
    </row>
    <row r="60" spans="2:140">
      <c r="B60" s="1126" t="s">
        <v>345</v>
      </c>
      <c r="C60" s="765" t="s">
        <v>48</v>
      </c>
      <c r="D60" s="766" t="s">
        <v>43</v>
      </c>
      <c r="E60" s="767" t="s">
        <v>43</v>
      </c>
      <c r="F60" s="768"/>
      <c r="G60" s="769"/>
      <c r="H60" s="770">
        <v>6</v>
      </c>
      <c r="I60" s="771" t="s">
        <v>270</v>
      </c>
      <c r="J60" s="772">
        <v>9</v>
      </c>
      <c r="K60" s="975">
        <v>2.5000000000000001E-2</v>
      </c>
      <c r="L60" s="774">
        <v>8.8607594936708853</v>
      </c>
      <c r="M60" s="775">
        <v>30</v>
      </c>
      <c r="N60" s="768">
        <v>6041</v>
      </c>
      <c r="O60" s="802">
        <v>42406</v>
      </c>
      <c r="P60" s="777" t="s">
        <v>206</v>
      </c>
      <c r="Q60" s="778">
        <v>2800</v>
      </c>
      <c r="R60" s="779">
        <v>316</v>
      </c>
      <c r="S60" s="780">
        <v>201600</v>
      </c>
      <c r="T60" s="781" t="s">
        <v>376</v>
      </c>
      <c r="U60" s="782" t="s">
        <v>651</v>
      </c>
      <c r="V60" s="778">
        <v>934</v>
      </c>
      <c r="W60" s="779">
        <v>106</v>
      </c>
      <c r="X60" s="779">
        <f t="shared" si="10"/>
        <v>183</v>
      </c>
      <c r="Y60" s="783">
        <f t="shared" si="11"/>
        <v>-751</v>
      </c>
      <c r="Z60" s="784">
        <v>8</v>
      </c>
      <c r="AA60" s="779">
        <v>7472</v>
      </c>
      <c r="AB60" s="779">
        <v>67248</v>
      </c>
      <c r="AC60" s="966">
        <v>186</v>
      </c>
      <c r="AD60" s="968">
        <v>1681</v>
      </c>
      <c r="AE60" s="785">
        <v>3</v>
      </c>
      <c r="AF60" s="779">
        <v>0</v>
      </c>
      <c r="AG60" s="779">
        <v>0</v>
      </c>
      <c r="AH60" s="779">
        <v>0</v>
      </c>
      <c r="AI60" s="779">
        <v>0</v>
      </c>
      <c r="AJ60" s="779">
        <v>10000</v>
      </c>
      <c r="AK60" s="786">
        <v>0</v>
      </c>
      <c r="AL60" s="787">
        <v>0</v>
      </c>
      <c r="AM60" s="778">
        <v>1167</v>
      </c>
      <c r="AN60" s="779">
        <v>132</v>
      </c>
      <c r="AO60" s="779">
        <f t="shared" si="12"/>
        <v>228</v>
      </c>
      <c r="AP60" s="783">
        <f t="shared" si="13"/>
        <v>-939</v>
      </c>
      <c r="AQ60" s="784">
        <v>8</v>
      </c>
      <c r="AR60" s="779">
        <v>9336</v>
      </c>
      <c r="AS60" s="779">
        <v>84024</v>
      </c>
      <c r="AT60" s="966">
        <v>233</v>
      </c>
      <c r="AU60" s="968">
        <v>2100</v>
      </c>
      <c r="AV60" s="785">
        <v>38</v>
      </c>
      <c r="AW60" s="779">
        <v>4000000</v>
      </c>
      <c r="AX60" s="779">
        <v>0</v>
      </c>
      <c r="AY60" s="779">
        <v>5</v>
      </c>
      <c r="AZ60" s="779">
        <v>0</v>
      </c>
      <c r="BA60" s="779">
        <v>10000</v>
      </c>
      <c r="BB60" s="786">
        <v>19.119251642387891</v>
      </c>
      <c r="BC60" s="787">
        <v>105263</v>
      </c>
      <c r="BD60" s="778">
        <v>1400</v>
      </c>
      <c r="BE60" s="779">
        <v>158</v>
      </c>
      <c r="BF60" s="779">
        <f t="shared" si="14"/>
        <v>273</v>
      </c>
      <c r="BG60" s="783">
        <f t="shared" si="15"/>
        <v>-1127</v>
      </c>
      <c r="BH60" s="784">
        <v>8</v>
      </c>
      <c r="BI60" s="779">
        <v>11200</v>
      </c>
      <c r="BJ60" s="779">
        <v>100800</v>
      </c>
      <c r="BK60" s="966">
        <v>280</v>
      </c>
      <c r="BL60" s="968">
        <v>2520</v>
      </c>
      <c r="BM60" s="971">
        <v>100</v>
      </c>
      <c r="BN60" s="966">
        <v>6000000</v>
      </c>
      <c r="BO60" s="966">
        <v>0</v>
      </c>
      <c r="BP60" s="966">
        <v>10</v>
      </c>
      <c r="BQ60" s="966">
        <v>0</v>
      </c>
      <c r="BR60" s="779">
        <v>10000</v>
      </c>
      <c r="BS60" s="970">
        <v>25.794642857142858</v>
      </c>
      <c r="BT60" s="972">
        <v>60000</v>
      </c>
      <c r="BU60" s="778">
        <v>1867</v>
      </c>
      <c r="BV60" s="779">
        <v>211</v>
      </c>
      <c r="BW60" s="779">
        <f t="shared" si="16"/>
        <v>365</v>
      </c>
      <c r="BX60" s="783">
        <f t="shared" si="17"/>
        <v>-1502</v>
      </c>
      <c r="BY60" s="784">
        <v>8</v>
      </c>
      <c r="BZ60" s="779">
        <v>14936</v>
      </c>
      <c r="CA60" s="779">
        <v>134424</v>
      </c>
      <c r="CB60" s="966">
        <v>373</v>
      </c>
      <c r="CC60" s="968">
        <v>3360</v>
      </c>
      <c r="CD60" s="785">
        <v>156</v>
      </c>
      <c r="CE60" s="779">
        <v>8000000</v>
      </c>
      <c r="CF60" s="779">
        <v>0</v>
      </c>
      <c r="CG60" s="779">
        <v>15</v>
      </c>
      <c r="CH60" s="779">
        <v>0</v>
      </c>
      <c r="CI60" s="779">
        <v>10000</v>
      </c>
      <c r="CJ60" s="786">
        <v>27.191572933404746</v>
      </c>
      <c r="CK60" s="787">
        <v>51282</v>
      </c>
      <c r="CL60" s="778">
        <v>2800</v>
      </c>
      <c r="CM60" s="779">
        <v>316</v>
      </c>
      <c r="CN60" s="779">
        <f t="shared" si="18"/>
        <v>547</v>
      </c>
      <c r="CO60" s="783">
        <f t="shared" si="19"/>
        <v>-2253</v>
      </c>
      <c r="CP60" s="784">
        <v>8</v>
      </c>
      <c r="CQ60" s="779">
        <v>22400</v>
      </c>
      <c r="CR60" s="779">
        <v>201600</v>
      </c>
      <c r="CS60" s="966">
        <v>560</v>
      </c>
      <c r="CT60" s="968">
        <v>5040</v>
      </c>
      <c r="CU60" s="785">
        <v>240</v>
      </c>
      <c r="CV60" s="779">
        <v>10000000</v>
      </c>
      <c r="CW60" s="779">
        <v>0</v>
      </c>
      <c r="CX60" s="779">
        <v>20</v>
      </c>
      <c r="CY60" s="779">
        <v>0</v>
      </c>
      <c r="CZ60" s="779">
        <v>10000</v>
      </c>
      <c r="DA60" s="786">
        <v>25.269047619047623</v>
      </c>
      <c r="DB60" s="787">
        <v>41666</v>
      </c>
      <c r="DC60" s="973">
        <v>537</v>
      </c>
      <c r="DD60" s="966">
        <v>28000000</v>
      </c>
      <c r="DE60" s="974">
        <v>0</v>
      </c>
      <c r="DF60" s="974">
        <v>50</v>
      </c>
      <c r="DG60" s="974">
        <v>0</v>
      </c>
      <c r="DH60" s="779">
        <v>50000</v>
      </c>
      <c r="DI60" s="970">
        <v>52.083333333333336</v>
      </c>
      <c r="DJ60" s="972">
        <v>52141.527001862196</v>
      </c>
      <c r="DK60" s="790"/>
      <c r="DL60" s="791"/>
      <c r="DM60" s="792">
        <v>10000</v>
      </c>
      <c r="DN60" s="793">
        <v>900000</v>
      </c>
      <c r="DO60" s="794">
        <v>1800000</v>
      </c>
      <c r="DP60" s="794"/>
      <c r="DQ60" s="794"/>
      <c r="DR60" s="794"/>
      <c r="DS60" s="794"/>
      <c r="DT60" s="794"/>
      <c r="DU60" s="794"/>
      <c r="DV60" s="794"/>
      <c r="DW60" s="794"/>
      <c r="DX60" s="795"/>
      <c r="DY60" s="796" t="s">
        <v>43</v>
      </c>
      <c r="DZ60" s="797"/>
      <c r="EA60" s="776"/>
      <c r="EB60" s="776"/>
      <c r="EC60" s="798"/>
      <c r="ED60" s="799"/>
      <c r="EE60" s="779"/>
      <c r="EF60" s="779"/>
      <c r="EG60" s="779"/>
      <c r="EH60" s="783"/>
      <c r="EI60" s="800"/>
      <c r="EJ60" s="801"/>
    </row>
    <row r="61" spans="2:140">
      <c r="B61" s="1126" t="s">
        <v>705</v>
      </c>
      <c r="C61" s="765" t="s">
        <v>48</v>
      </c>
      <c r="D61" s="766"/>
      <c r="E61" s="767"/>
      <c r="F61" s="768"/>
      <c r="G61" s="769" t="s">
        <v>43</v>
      </c>
      <c r="H61" s="770">
        <v>7</v>
      </c>
      <c r="I61" s="771" t="s">
        <v>271</v>
      </c>
      <c r="J61" s="772">
        <v>12</v>
      </c>
      <c r="K61" s="773">
        <v>2.5000000000000001E-2</v>
      </c>
      <c r="L61" s="774">
        <v>5.75</v>
      </c>
      <c r="M61" s="775">
        <v>100</v>
      </c>
      <c r="N61" s="768">
        <v>534</v>
      </c>
      <c r="O61" s="802">
        <v>42411</v>
      </c>
      <c r="P61" s="777" t="s">
        <v>206</v>
      </c>
      <c r="Q61" s="778">
        <v>1150</v>
      </c>
      <c r="R61" s="779">
        <v>200</v>
      </c>
      <c r="S61" s="780">
        <v>138000</v>
      </c>
      <c r="T61" s="781" t="s">
        <v>708</v>
      </c>
      <c r="U61" s="782" t="s">
        <v>710</v>
      </c>
      <c r="V61" s="778">
        <v>384</v>
      </c>
      <c r="W61" s="779">
        <v>67</v>
      </c>
      <c r="X61" s="779">
        <f t="shared" si="10"/>
        <v>116</v>
      </c>
      <c r="Y61" s="783">
        <f t="shared" si="11"/>
        <v>-268</v>
      </c>
      <c r="Z61" s="784">
        <v>10</v>
      </c>
      <c r="AA61" s="779">
        <v>3840</v>
      </c>
      <c r="AB61" s="779">
        <v>46080</v>
      </c>
      <c r="AC61" s="779">
        <v>96</v>
      </c>
      <c r="AD61" s="783">
        <v>1152</v>
      </c>
      <c r="AE61" s="971">
        <v>1.5</v>
      </c>
      <c r="AF61" s="966">
        <v>0</v>
      </c>
      <c r="AG61" s="966">
        <v>0</v>
      </c>
      <c r="AH61" s="966">
        <v>0</v>
      </c>
      <c r="AI61" s="966">
        <v>0</v>
      </c>
      <c r="AJ61" s="966">
        <v>144</v>
      </c>
      <c r="AK61" s="970">
        <v>0</v>
      </c>
      <c r="AL61" s="972">
        <v>0</v>
      </c>
      <c r="AM61" s="778">
        <v>480</v>
      </c>
      <c r="AN61" s="779">
        <v>84</v>
      </c>
      <c r="AO61" s="779">
        <f t="shared" si="12"/>
        <v>145</v>
      </c>
      <c r="AP61" s="783">
        <f t="shared" si="13"/>
        <v>-335</v>
      </c>
      <c r="AQ61" s="784">
        <v>10</v>
      </c>
      <c r="AR61" s="779">
        <v>4800</v>
      </c>
      <c r="AS61" s="779">
        <v>57600</v>
      </c>
      <c r="AT61" s="779">
        <v>120</v>
      </c>
      <c r="AU61" s="783">
        <v>1440</v>
      </c>
      <c r="AV61" s="785">
        <v>9</v>
      </c>
      <c r="AW61" s="779">
        <v>3200000</v>
      </c>
      <c r="AX61" s="779">
        <v>0</v>
      </c>
      <c r="AY61" s="779">
        <v>5</v>
      </c>
      <c r="AZ61" s="779">
        <v>0</v>
      </c>
      <c r="BA61" s="966">
        <v>1080</v>
      </c>
      <c r="BB61" s="786">
        <v>28.077777777777779</v>
      </c>
      <c r="BC61" s="787">
        <v>355555</v>
      </c>
      <c r="BD61" s="778">
        <v>575</v>
      </c>
      <c r="BE61" s="779">
        <v>100</v>
      </c>
      <c r="BF61" s="779">
        <f t="shared" si="14"/>
        <v>173</v>
      </c>
      <c r="BG61" s="783">
        <f t="shared" si="15"/>
        <v>-402</v>
      </c>
      <c r="BH61" s="784">
        <v>10</v>
      </c>
      <c r="BI61" s="779">
        <v>5750</v>
      </c>
      <c r="BJ61" s="779">
        <v>69000</v>
      </c>
      <c r="BK61" s="779">
        <v>143</v>
      </c>
      <c r="BL61" s="783">
        <v>1725</v>
      </c>
      <c r="BM61" s="785">
        <v>18</v>
      </c>
      <c r="BN61" s="779">
        <v>4800000</v>
      </c>
      <c r="BO61" s="779">
        <v>0</v>
      </c>
      <c r="BP61" s="779">
        <v>10</v>
      </c>
      <c r="BQ61" s="779">
        <v>0</v>
      </c>
      <c r="BR61" s="966">
        <v>2587</v>
      </c>
      <c r="BS61" s="786">
        <v>35.408695652173911</v>
      </c>
      <c r="BT61" s="787">
        <v>266666</v>
      </c>
      <c r="BU61" s="778">
        <v>767</v>
      </c>
      <c r="BV61" s="779">
        <v>134</v>
      </c>
      <c r="BW61" s="779">
        <f t="shared" si="16"/>
        <v>232</v>
      </c>
      <c r="BX61" s="783">
        <f t="shared" si="17"/>
        <v>-535</v>
      </c>
      <c r="BY61" s="784">
        <v>10</v>
      </c>
      <c r="BZ61" s="779">
        <v>7670</v>
      </c>
      <c r="CA61" s="779">
        <v>92040</v>
      </c>
      <c r="CB61" s="779">
        <v>191</v>
      </c>
      <c r="CC61" s="783">
        <v>2301</v>
      </c>
      <c r="CD61" s="785">
        <v>36</v>
      </c>
      <c r="CE61" s="779">
        <v>6400000</v>
      </c>
      <c r="CF61" s="779">
        <v>0</v>
      </c>
      <c r="CG61" s="779">
        <v>0</v>
      </c>
      <c r="CH61" s="779">
        <v>5</v>
      </c>
      <c r="CI61" s="966">
        <v>6903</v>
      </c>
      <c r="CJ61" s="786">
        <v>35.892003476749238</v>
      </c>
      <c r="CK61" s="787">
        <v>177777</v>
      </c>
      <c r="CL61" s="778">
        <v>1150</v>
      </c>
      <c r="CM61" s="779">
        <v>200</v>
      </c>
      <c r="CN61" s="779">
        <f t="shared" si="18"/>
        <v>346</v>
      </c>
      <c r="CO61" s="783">
        <f t="shared" si="19"/>
        <v>-804</v>
      </c>
      <c r="CP61" s="784">
        <v>10</v>
      </c>
      <c r="CQ61" s="779">
        <v>11500</v>
      </c>
      <c r="CR61" s="779">
        <v>138000</v>
      </c>
      <c r="CS61" s="779">
        <v>287</v>
      </c>
      <c r="CT61" s="783">
        <v>3450</v>
      </c>
      <c r="CU61" s="785">
        <v>72</v>
      </c>
      <c r="CV61" s="779">
        <v>8000000</v>
      </c>
      <c r="CW61" s="779">
        <v>0</v>
      </c>
      <c r="CX61" s="779">
        <v>0</v>
      </c>
      <c r="CY61" s="779">
        <v>10</v>
      </c>
      <c r="CZ61" s="966">
        <v>10000</v>
      </c>
      <c r="DA61" s="786">
        <v>30.986376811594202</v>
      </c>
      <c r="DB61" s="787">
        <v>111111</v>
      </c>
      <c r="DC61" s="973">
        <v>136.5</v>
      </c>
      <c r="DD61" s="966">
        <v>22400000</v>
      </c>
      <c r="DE61" s="974">
        <v>0</v>
      </c>
      <c r="DF61" s="974">
        <v>15</v>
      </c>
      <c r="DG61" s="974">
        <v>15</v>
      </c>
      <c r="DH61" s="966">
        <v>20714</v>
      </c>
      <c r="DI61" s="970">
        <v>81.159420289855078</v>
      </c>
      <c r="DJ61" s="972">
        <v>164102.56410256409</v>
      </c>
      <c r="DK61" s="790"/>
      <c r="DL61" s="791"/>
      <c r="DM61" s="792"/>
      <c r="DN61" s="793"/>
      <c r="DO61" s="794"/>
      <c r="DP61" s="794"/>
      <c r="DQ61" s="794"/>
      <c r="DR61" s="794"/>
      <c r="DS61" s="794"/>
      <c r="DT61" s="794"/>
      <c r="DU61" s="794"/>
      <c r="DV61" s="794"/>
      <c r="DW61" s="794"/>
      <c r="DX61" s="795"/>
      <c r="DY61" s="796" t="s">
        <v>43</v>
      </c>
      <c r="DZ61" s="797"/>
      <c r="EA61" s="776"/>
      <c r="EB61" s="776"/>
      <c r="EC61" s="798"/>
      <c r="ED61" s="799"/>
      <c r="EE61" s="779"/>
      <c r="EF61" s="779"/>
      <c r="EG61" s="779"/>
      <c r="EH61" s="783"/>
      <c r="EI61" s="800"/>
      <c r="EJ61" s="801"/>
    </row>
    <row r="62" spans="2:140">
      <c r="B62" s="1125" t="s">
        <v>11</v>
      </c>
      <c r="C62" s="803" t="s">
        <v>52</v>
      </c>
      <c r="D62" s="804"/>
      <c r="E62" s="805"/>
      <c r="F62" s="806" t="s">
        <v>43</v>
      </c>
      <c r="G62" s="807"/>
      <c r="H62" s="808">
        <v>1</v>
      </c>
      <c r="I62" s="809" t="s">
        <v>268</v>
      </c>
      <c r="J62" s="810">
        <v>2</v>
      </c>
      <c r="K62" s="811">
        <v>0.1</v>
      </c>
      <c r="L62" s="812">
        <v>0.86956521739130432</v>
      </c>
      <c r="M62" s="813">
        <v>30</v>
      </c>
      <c r="N62" s="806">
        <v>20</v>
      </c>
      <c r="O62" s="814" t="s">
        <v>47</v>
      </c>
      <c r="P62" s="815" t="s">
        <v>98</v>
      </c>
      <c r="Q62" s="816">
        <v>100</v>
      </c>
      <c r="R62" s="817">
        <v>115</v>
      </c>
      <c r="S62" s="818">
        <v>600</v>
      </c>
      <c r="T62" s="819" t="s">
        <v>394</v>
      </c>
      <c r="U62" s="820" t="s">
        <v>47</v>
      </c>
      <c r="V62" s="816">
        <v>100</v>
      </c>
      <c r="W62" s="817">
        <v>115</v>
      </c>
      <c r="X62" s="817">
        <f t="shared" si="10"/>
        <v>199</v>
      </c>
      <c r="Y62" s="821">
        <f t="shared" si="11"/>
        <v>99</v>
      </c>
      <c r="Z62" s="822">
        <v>3</v>
      </c>
      <c r="AA62" s="817">
        <v>300</v>
      </c>
      <c r="AB62" s="817">
        <v>600</v>
      </c>
      <c r="AC62" s="817">
        <v>30</v>
      </c>
      <c r="AD62" s="821">
        <v>60</v>
      </c>
      <c r="AE62" s="823">
        <v>8.3333333333333339E-4</v>
      </c>
      <c r="AF62" s="817">
        <v>1000</v>
      </c>
      <c r="AG62" s="817">
        <v>0</v>
      </c>
      <c r="AH62" s="817">
        <v>0</v>
      </c>
      <c r="AI62" s="817">
        <v>0</v>
      </c>
      <c r="AJ62" s="817">
        <v>25</v>
      </c>
      <c r="AK62" s="824">
        <v>0.1388888888888889</v>
      </c>
      <c r="AL62" s="825">
        <v>1200000</v>
      </c>
      <c r="AM62" s="816">
        <v>150</v>
      </c>
      <c r="AN62" s="817">
        <v>172</v>
      </c>
      <c r="AO62" s="817">
        <f t="shared" si="12"/>
        <v>297</v>
      </c>
      <c r="AP62" s="821">
        <f t="shared" si="13"/>
        <v>147</v>
      </c>
      <c r="AQ62" s="822">
        <v>3</v>
      </c>
      <c r="AR62" s="817">
        <v>450</v>
      </c>
      <c r="AS62" s="817">
        <v>900</v>
      </c>
      <c r="AT62" s="817">
        <v>45</v>
      </c>
      <c r="AU62" s="821">
        <v>90</v>
      </c>
      <c r="AV62" s="823">
        <v>8.3333333333333329E-2</v>
      </c>
      <c r="AW62" s="817">
        <v>3000</v>
      </c>
      <c r="AX62" s="817">
        <v>0</v>
      </c>
      <c r="AY62" s="817">
        <v>0</v>
      </c>
      <c r="AZ62" s="817">
        <v>0</v>
      </c>
      <c r="BA62" s="817">
        <v>7</v>
      </c>
      <c r="BB62" s="824">
        <v>0.28009259259259262</v>
      </c>
      <c r="BC62" s="825">
        <v>36000</v>
      </c>
      <c r="BD62" s="816">
        <v>175</v>
      </c>
      <c r="BE62" s="817">
        <v>201</v>
      </c>
      <c r="BF62" s="817">
        <f t="shared" si="14"/>
        <v>348</v>
      </c>
      <c r="BG62" s="821">
        <f t="shared" si="15"/>
        <v>173</v>
      </c>
      <c r="BH62" s="822">
        <v>3</v>
      </c>
      <c r="BI62" s="817">
        <v>525</v>
      </c>
      <c r="BJ62" s="817">
        <v>1050</v>
      </c>
      <c r="BK62" s="817">
        <v>52</v>
      </c>
      <c r="BL62" s="821">
        <v>105</v>
      </c>
      <c r="BM62" s="823">
        <v>0.5</v>
      </c>
      <c r="BN62" s="817">
        <v>6000</v>
      </c>
      <c r="BO62" s="817">
        <v>1</v>
      </c>
      <c r="BP62" s="817">
        <v>0</v>
      </c>
      <c r="BQ62" s="817">
        <v>0</v>
      </c>
      <c r="BR62" s="817">
        <v>26</v>
      </c>
      <c r="BS62" s="824">
        <v>0.49404761904761907</v>
      </c>
      <c r="BT62" s="825">
        <v>12000</v>
      </c>
      <c r="BU62" s="816">
        <v>190</v>
      </c>
      <c r="BV62" s="817">
        <v>218</v>
      </c>
      <c r="BW62" s="817">
        <f t="shared" si="16"/>
        <v>377</v>
      </c>
      <c r="BX62" s="821">
        <f t="shared" si="17"/>
        <v>187</v>
      </c>
      <c r="BY62" s="822">
        <v>3</v>
      </c>
      <c r="BZ62" s="817">
        <v>570</v>
      </c>
      <c r="CA62" s="817">
        <v>1140</v>
      </c>
      <c r="CB62" s="817">
        <v>57</v>
      </c>
      <c r="CC62" s="821">
        <v>114</v>
      </c>
      <c r="CD62" s="823">
        <v>1</v>
      </c>
      <c r="CE62" s="817">
        <v>9000</v>
      </c>
      <c r="CF62" s="817">
        <v>0</v>
      </c>
      <c r="CG62" s="817">
        <v>0</v>
      </c>
      <c r="CH62" s="817">
        <v>0</v>
      </c>
      <c r="CI62" s="817">
        <v>57</v>
      </c>
      <c r="CJ62" s="824">
        <v>0.69627192982456132</v>
      </c>
      <c r="CK62" s="825">
        <v>9000</v>
      </c>
      <c r="CL62" s="816">
        <v>200</v>
      </c>
      <c r="CM62" s="817">
        <v>230</v>
      </c>
      <c r="CN62" s="817">
        <f t="shared" si="18"/>
        <v>398</v>
      </c>
      <c r="CO62" s="821">
        <f t="shared" si="19"/>
        <v>198</v>
      </c>
      <c r="CP62" s="822">
        <v>3</v>
      </c>
      <c r="CQ62" s="817">
        <v>600</v>
      </c>
      <c r="CR62" s="817">
        <v>1200</v>
      </c>
      <c r="CS62" s="817">
        <v>60</v>
      </c>
      <c r="CT62" s="821">
        <v>120</v>
      </c>
      <c r="CU62" s="823">
        <v>2</v>
      </c>
      <c r="CV62" s="817">
        <v>12000</v>
      </c>
      <c r="CW62" s="817">
        <v>0</v>
      </c>
      <c r="CX62" s="817">
        <v>1</v>
      </c>
      <c r="CY62" s="817">
        <v>0</v>
      </c>
      <c r="CZ62" s="817">
        <v>80</v>
      </c>
      <c r="DA62" s="824">
        <v>0.91249999999999998</v>
      </c>
      <c r="DB62" s="825">
        <v>6000</v>
      </c>
      <c r="DC62" s="826">
        <v>3.5841666666666665</v>
      </c>
      <c r="DD62" s="817">
        <v>31000</v>
      </c>
      <c r="DE62" s="827">
        <v>1</v>
      </c>
      <c r="DF62" s="827">
        <v>1</v>
      </c>
      <c r="DG62" s="827">
        <v>0</v>
      </c>
      <c r="DH62" s="817">
        <v>195</v>
      </c>
      <c r="DI62" s="824">
        <v>2.1527777777777777</v>
      </c>
      <c r="DJ62" s="825">
        <v>8649.1513601488023</v>
      </c>
      <c r="DK62" s="828">
        <v>1</v>
      </c>
      <c r="DL62" s="829" t="s">
        <v>43</v>
      </c>
      <c r="DM62" s="830"/>
      <c r="DN62" s="831"/>
      <c r="DO62" s="832"/>
      <c r="DP62" s="832"/>
      <c r="DQ62" s="832"/>
      <c r="DR62" s="832"/>
      <c r="DS62" s="832"/>
      <c r="DT62" s="832"/>
      <c r="DU62" s="832"/>
      <c r="DV62" s="832"/>
      <c r="DW62" s="832"/>
      <c r="DX62" s="833"/>
      <c r="DY62" s="834" t="s">
        <v>43</v>
      </c>
      <c r="DZ62" s="835">
        <v>2</v>
      </c>
      <c r="EA62" s="814">
        <v>2</v>
      </c>
      <c r="EB62" s="814">
        <v>12</v>
      </c>
      <c r="EC62" s="836">
        <v>22</v>
      </c>
      <c r="ED62" s="837"/>
      <c r="EE62" s="817"/>
      <c r="EF62" s="817"/>
      <c r="EG62" s="817"/>
      <c r="EH62" s="821"/>
      <c r="EI62" s="838"/>
      <c r="EJ62" s="839"/>
    </row>
    <row r="63" spans="2:140">
      <c r="B63" s="1125" t="s">
        <v>62</v>
      </c>
      <c r="C63" s="803" t="s">
        <v>52</v>
      </c>
      <c r="D63" s="804"/>
      <c r="E63" s="805" t="s">
        <v>43</v>
      </c>
      <c r="F63" s="806"/>
      <c r="G63" s="807"/>
      <c r="H63" s="808">
        <v>1</v>
      </c>
      <c r="I63" s="809" t="s">
        <v>268</v>
      </c>
      <c r="J63" s="810">
        <v>1</v>
      </c>
      <c r="K63" s="811">
        <v>0.13250000000000001</v>
      </c>
      <c r="L63" s="812">
        <v>0.55555555555555558</v>
      </c>
      <c r="M63" s="813">
        <v>30</v>
      </c>
      <c r="N63" s="806">
        <v>8</v>
      </c>
      <c r="O63" s="814" t="s">
        <v>47</v>
      </c>
      <c r="P63" s="815" t="s">
        <v>98</v>
      </c>
      <c r="Q63" s="816">
        <v>70</v>
      </c>
      <c r="R63" s="817">
        <v>126</v>
      </c>
      <c r="S63" s="818">
        <v>420</v>
      </c>
      <c r="T63" s="819" t="s">
        <v>422</v>
      </c>
      <c r="U63" s="820" t="s">
        <v>47</v>
      </c>
      <c r="V63" s="816">
        <v>70</v>
      </c>
      <c r="W63" s="817">
        <v>126</v>
      </c>
      <c r="X63" s="817">
        <f t="shared" si="10"/>
        <v>218</v>
      </c>
      <c r="Y63" s="821">
        <f t="shared" si="11"/>
        <v>148</v>
      </c>
      <c r="Z63" s="822">
        <v>6</v>
      </c>
      <c r="AA63" s="817">
        <v>420</v>
      </c>
      <c r="AB63" s="817">
        <v>420</v>
      </c>
      <c r="AC63" s="817">
        <v>55</v>
      </c>
      <c r="AD63" s="821">
        <v>55</v>
      </c>
      <c r="AE63" s="823">
        <v>8.3333333333333339E-4</v>
      </c>
      <c r="AF63" s="817">
        <v>800</v>
      </c>
      <c r="AG63" s="817">
        <v>0</v>
      </c>
      <c r="AH63" s="817">
        <v>0</v>
      </c>
      <c r="AI63" s="817">
        <v>0</v>
      </c>
      <c r="AJ63" s="817">
        <v>25</v>
      </c>
      <c r="AK63" s="824">
        <v>7.9365079365079361E-2</v>
      </c>
      <c r="AL63" s="825">
        <v>959999</v>
      </c>
      <c r="AM63" s="816">
        <v>105</v>
      </c>
      <c r="AN63" s="817">
        <v>189</v>
      </c>
      <c r="AO63" s="817">
        <f t="shared" si="12"/>
        <v>327</v>
      </c>
      <c r="AP63" s="821">
        <f t="shared" si="13"/>
        <v>222</v>
      </c>
      <c r="AQ63" s="822">
        <v>6</v>
      </c>
      <c r="AR63" s="817">
        <v>630</v>
      </c>
      <c r="AS63" s="817">
        <v>630</v>
      </c>
      <c r="AT63" s="817">
        <v>83</v>
      </c>
      <c r="AU63" s="821">
        <v>83</v>
      </c>
      <c r="AV63" s="823">
        <v>8.3333333333333329E-2</v>
      </c>
      <c r="AW63" s="817">
        <v>3000</v>
      </c>
      <c r="AX63" s="817">
        <v>0</v>
      </c>
      <c r="AY63" s="817">
        <v>0</v>
      </c>
      <c r="AZ63" s="817">
        <v>0</v>
      </c>
      <c r="BA63" s="817">
        <v>6</v>
      </c>
      <c r="BB63" s="824">
        <v>0.20072751322751323</v>
      </c>
      <c r="BC63" s="825">
        <v>36000</v>
      </c>
      <c r="BD63" s="816">
        <v>122</v>
      </c>
      <c r="BE63" s="817">
        <v>220</v>
      </c>
      <c r="BF63" s="817">
        <f t="shared" si="14"/>
        <v>381</v>
      </c>
      <c r="BG63" s="821">
        <f t="shared" si="15"/>
        <v>259</v>
      </c>
      <c r="BH63" s="822">
        <v>6</v>
      </c>
      <c r="BI63" s="817">
        <v>732</v>
      </c>
      <c r="BJ63" s="817">
        <v>732</v>
      </c>
      <c r="BK63" s="817">
        <v>96</v>
      </c>
      <c r="BL63" s="821">
        <v>96</v>
      </c>
      <c r="BM63" s="823">
        <v>0.5</v>
      </c>
      <c r="BN63" s="817">
        <v>6000</v>
      </c>
      <c r="BO63" s="817">
        <v>1</v>
      </c>
      <c r="BP63" s="817">
        <v>0</v>
      </c>
      <c r="BQ63" s="817">
        <v>0</v>
      </c>
      <c r="BR63" s="817">
        <v>48</v>
      </c>
      <c r="BS63" s="824">
        <v>0.35946038251366125</v>
      </c>
      <c r="BT63" s="825">
        <v>12000</v>
      </c>
      <c r="BU63" s="816">
        <v>133</v>
      </c>
      <c r="BV63" s="817">
        <v>239</v>
      </c>
      <c r="BW63" s="817">
        <f t="shared" si="16"/>
        <v>414</v>
      </c>
      <c r="BX63" s="821">
        <f t="shared" si="17"/>
        <v>281</v>
      </c>
      <c r="BY63" s="822">
        <v>7</v>
      </c>
      <c r="BZ63" s="817">
        <v>931</v>
      </c>
      <c r="CA63" s="817">
        <v>931</v>
      </c>
      <c r="CB63" s="817">
        <v>123</v>
      </c>
      <c r="CC63" s="821">
        <v>123</v>
      </c>
      <c r="CD63" s="823">
        <v>1</v>
      </c>
      <c r="CE63" s="817">
        <v>9000</v>
      </c>
      <c r="CF63" s="817">
        <v>0</v>
      </c>
      <c r="CG63" s="817">
        <v>0</v>
      </c>
      <c r="CH63" s="817">
        <v>0</v>
      </c>
      <c r="CI63" s="817">
        <v>123</v>
      </c>
      <c r="CJ63" s="824">
        <v>0.4355531686358754</v>
      </c>
      <c r="CK63" s="825">
        <v>9000</v>
      </c>
      <c r="CL63" s="816">
        <v>140</v>
      </c>
      <c r="CM63" s="817">
        <v>252</v>
      </c>
      <c r="CN63" s="817">
        <f t="shared" si="18"/>
        <v>436</v>
      </c>
      <c r="CO63" s="821">
        <f t="shared" si="19"/>
        <v>296</v>
      </c>
      <c r="CP63" s="822">
        <v>7</v>
      </c>
      <c r="CQ63" s="817">
        <v>980</v>
      </c>
      <c r="CR63" s="817">
        <v>980</v>
      </c>
      <c r="CS63" s="817">
        <v>129</v>
      </c>
      <c r="CT63" s="821">
        <v>129</v>
      </c>
      <c r="CU63" s="823">
        <v>2</v>
      </c>
      <c r="CV63" s="817">
        <v>15000</v>
      </c>
      <c r="CW63" s="817">
        <v>0</v>
      </c>
      <c r="CX63" s="817">
        <v>1</v>
      </c>
      <c r="CY63" s="817">
        <v>0</v>
      </c>
      <c r="CZ63" s="817">
        <v>173</v>
      </c>
      <c r="DA63" s="824">
        <v>0.71692176870748303</v>
      </c>
      <c r="DB63" s="825">
        <v>7500</v>
      </c>
      <c r="DC63" s="826">
        <v>3.5841666666666665</v>
      </c>
      <c r="DD63" s="817">
        <v>33800</v>
      </c>
      <c r="DE63" s="827">
        <v>1</v>
      </c>
      <c r="DF63" s="827">
        <v>1</v>
      </c>
      <c r="DG63" s="827">
        <v>0</v>
      </c>
      <c r="DH63" s="817">
        <v>375</v>
      </c>
      <c r="DI63" s="824">
        <v>1.4370748299319729</v>
      </c>
      <c r="DJ63" s="825">
        <v>9430.3650313880498</v>
      </c>
      <c r="DK63" s="828">
        <v>1</v>
      </c>
      <c r="DL63" s="829" t="s">
        <v>43</v>
      </c>
      <c r="DM63" s="830"/>
      <c r="DN63" s="831"/>
      <c r="DO63" s="832"/>
      <c r="DP63" s="832"/>
      <c r="DQ63" s="832"/>
      <c r="DR63" s="832"/>
      <c r="DS63" s="832"/>
      <c r="DT63" s="832"/>
      <c r="DU63" s="832"/>
      <c r="DV63" s="832"/>
      <c r="DW63" s="832"/>
      <c r="DX63" s="833"/>
      <c r="DY63" s="834" t="s">
        <v>43</v>
      </c>
      <c r="DZ63" s="835">
        <v>3</v>
      </c>
      <c r="EA63" s="814">
        <v>3</v>
      </c>
      <c r="EB63" s="814">
        <v>10</v>
      </c>
      <c r="EC63" s="836">
        <v>21</v>
      </c>
      <c r="ED63" s="837"/>
      <c r="EE63" s="817"/>
      <c r="EF63" s="817"/>
      <c r="EG63" s="817"/>
      <c r="EH63" s="821"/>
      <c r="EI63" s="838"/>
      <c r="EJ63" s="839"/>
    </row>
    <row r="64" spans="2:140">
      <c r="B64" s="1125" t="s">
        <v>59</v>
      </c>
      <c r="C64" s="803" t="s">
        <v>52</v>
      </c>
      <c r="D64" s="804"/>
      <c r="E64" s="805" t="s">
        <v>43</v>
      </c>
      <c r="F64" s="806"/>
      <c r="G64" s="807"/>
      <c r="H64" s="808">
        <v>1</v>
      </c>
      <c r="I64" s="809" t="s">
        <v>268</v>
      </c>
      <c r="J64" s="810">
        <v>1</v>
      </c>
      <c r="K64" s="811">
        <v>0.13250000000000001</v>
      </c>
      <c r="L64" s="812">
        <v>0.56375838926174493</v>
      </c>
      <c r="M64" s="813">
        <v>30</v>
      </c>
      <c r="N64" s="806">
        <v>10</v>
      </c>
      <c r="O64" s="814" t="s">
        <v>47</v>
      </c>
      <c r="P64" s="815" t="s">
        <v>98</v>
      </c>
      <c r="Q64" s="816">
        <v>84</v>
      </c>
      <c r="R64" s="817">
        <v>149</v>
      </c>
      <c r="S64" s="818">
        <v>504</v>
      </c>
      <c r="T64" s="819" t="s">
        <v>395</v>
      </c>
      <c r="U64" s="820" t="s">
        <v>47</v>
      </c>
      <c r="V64" s="816">
        <v>84</v>
      </c>
      <c r="W64" s="817">
        <v>149</v>
      </c>
      <c r="X64" s="817">
        <f t="shared" si="10"/>
        <v>258</v>
      </c>
      <c r="Y64" s="821">
        <f t="shared" si="11"/>
        <v>174</v>
      </c>
      <c r="Z64" s="822">
        <v>6</v>
      </c>
      <c r="AA64" s="817">
        <v>504</v>
      </c>
      <c r="AB64" s="817">
        <v>504</v>
      </c>
      <c r="AC64" s="817">
        <v>66</v>
      </c>
      <c r="AD64" s="821">
        <v>66</v>
      </c>
      <c r="AE64" s="823">
        <v>8.3333333333333329E-2</v>
      </c>
      <c r="AF64" s="817">
        <v>2000</v>
      </c>
      <c r="AG64" s="817">
        <v>0</v>
      </c>
      <c r="AH64" s="817">
        <v>0</v>
      </c>
      <c r="AI64" s="817">
        <v>0</v>
      </c>
      <c r="AJ64" s="817">
        <v>5</v>
      </c>
      <c r="AK64" s="824">
        <v>0.16534391534391535</v>
      </c>
      <c r="AL64" s="825">
        <v>24000</v>
      </c>
      <c r="AM64" s="816">
        <v>126</v>
      </c>
      <c r="AN64" s="817">
        <v>223</v>
      </c>
      <c r="AO64" s="817">
        <f t="shared" si="12"/>
        <v>386</v>
      </c>
      <c r="AP64" s="821">
        <f t="shared" si="13"/>
        <v>260</v>
      </c>
      <c r="AQ64" s="822">
        <v>6</v>
      </c>
      <c r="AR64" s="817">
        <v>756</v>
      </c>
      <c r="AS64" s="817">
        <v>756</v>
      </c>
      <c r="AT64" s="817">
        <v>100</v>
      </c>
      <c r="AU64" s="821">
        <v>100</v>
      </c>
      <c r="AV64" s="823">
        <v>8.3333333333333329E-2</v>
      </c>
      <c r="AW64" s="817">
        <v>3000</v>
      </c>
      <c r="AX64" s="817">
        <v>0</v>
      </c>
      <c r="AY64" s="817">
        <v>0</v>
      </c>
      <c r="AZ64" s="817">
        <v>0</v>
      </c>
      <c r="BA64" s="817">
        <v>8</v>
      </c>
      <c r="BB64" s="824">
        <v>0.16765873015873015</v>
      </c>
      <c r="BC64" s="825">
        <v>36000</v>
      </c>
      <c r="BD64" s="816">
        <v>147</v>
      </c>
      <c r="BE64" s="817">
        <v>260</v>
      </c>
      <c r="BF64" s="817">
        <f t="shared" si="14"/>
        <v>450</v>
      </c>
      <c r="BG64" s="821">
        <f t="shared" si="15"/>
        <v>303</v>
      </c>
      <c r="BH64" s="822">
        <v>6</v>
      </c>
      <c r="BI64" s="817">
        <v>882</v>
      </c>
      <c r="BJ64" s="817">
        <v>882</v>
      </c>
      <c r="BK64" s="817">
        <v>116</v>
      </c>
      <c r="BL64" s="821">
        <v>116</v>
      </c>
      <c r="BM64" s="823">
        <v>0.5</v>
      </c>
      <c r="BN64" s="817">
        <v>6000</v>
      </c>
      <c r="BO64" s="817">
        <v>1</v>
      </c>
      <c r="BP64" s="817">
        <v>0</v>
      </c>
      <c r="BQ64" s="817">
        <v>0</v>
      </c>
      <c r="BR64" s="817">
        <v>58</v>
      </c>
      <c r="BS64" s="824">
        <v>0.30130385487528344</v>
      </c>
      <c r="BT64" s="825">
        <v>12000</v>
      </c>
      <c r="BU64" s="816">
        <v>159</v>
      </c>
      <c r="BV64" s="817">
        <v>283</v>
      </c>
      <c r="BW64" s="817">
        <f t="shared" si="16"/>
        <v>490</v>
      </c>
      <c r="BX64" s="821">
        <f t="shared" si="17"/>
        <v>331</v>
      </c>
      <c r="BY64" s="822">
        <v>7</v>
      </c>
      <c r="BZ64" s="817">
        <v>1113</v>
      </c>
      <c r="CA64" s="817">
        <v>1113</v>
      </c>
      <c r="CB64" s="817">
        <v>147</v>
      </c>
      <c r="CC64" s="821">
        <v>147</v>
      </c>
      <c r="CD64" s="823">
        <v>1</v>
      </c>
      <c r="CE64" s="817">
        <v>9000</v>
      </c>
      <c r="CF64" s="817">
        <v>0</v>
      </c>
      <c r="CG64" s="817">
        <v>0</v>
      </c>
      <c r="CH64" s="817">
        <v>0</v>
      </c>
      <c r="CI64" s="817">
        <v>147</v>
      </c>
      <c r="CJ64" s="824">
        <v>0.36994609164420483</v>
      </c>
      <c r="CK64" s="825">
        <v>9000</v>
      </c>
      <c r="CL64" s="816">
        <v>168</v>
      </c>
      <c r="CM64" s="817">
        <v>298</v>
      </c>
      <c r="CN64" s="817">
        <f t="shared" si="18"/>
        <v>516</v>
      </c>
      <c r="CO64" s="821">
        <f t="shared" si="19"/>
        <v>348</v>
      </c>
      <c r="CP64" s="822">
        <v>7</v>
      </c>
      <c r="CQ64" s="817">
        <v>1176</v>
      </c>
      <c r="CR64" s="817">
        <v>1176</v>
      </c>
      <c r="CS64" s="817">
        <v>155</v>
      </c>
      <c r="CT64" s="821">
        <v>155</v>
      </c>
      <c r="CU64" s="823">
        <v>2</v>
      </c>
      <c r="CV64" s="817">
        <v>15000</v>
      </c>
      <c r="CW64" s="817">
        <v>0</v>
      </c>
      <c r="CX64" s="817">
        <v>1</v>
      </c>
      <c r="CY64" s="817">
        <v>0</v>
      </c>
      <c r="CZ64" s="817">
        <v>207</v>
      </c>
      <c r="DA64" s="824">
        <v>0.61033163265306123</v>
      </c>
      <c r="DB64" s="825">
        <v>7500</v>
      </c>
      <c r="DC64" s="826">
        <v>3.6666666666666665</v>
      </c>
      <c r="DD64" s="817">
        <v>35000</v>
      </c>
      <c r="DE64" s="827">
        <v>1</v>
      </c>
      <c r="DF64" s="827">
        <v>1</v>
      </c>
      <c r="DG64" s="827">
        <v>0</v>
      </c>
      <c r="DH64" s="817">
        <v>425</v>
      </c>
      <c r="DI64" s="824">
        <v>1.2400793650793651</v>
      </c>
      <c r="DJ64" s="825">
        <v>9545.454545454546</v>
      </c>
      <c r="DK64" s="828">
        <v>1</v>
      </c>
      <c r="DL64" s="829" t="s">
        <v>43</v>
      </c>
      <c r="DM64" s="830"/>
      <c r="DN64" s="831"/>
      <c r="DO64" s="832"/>
      <c r="DP64" s="832"/>
      <c r="DQ64" s="832"/>
      <c r="DR64" s="832"/>
      <c r="DS64" s="832"/>
      <c r="DT64" s="832"/>
      <c r="DU64" s="832"/>
      <c r="DV64" s="832"/>
      <c r="DW64" s="832"/>
      <c r="DX64" s="833"/>
      <c r="DY64" s="834" t="s">
        <v>43</v>
      </c>
      <c r="DZ64" s="835">
        <v>4</v>
      </c>
      <c r="EA64" s="814">
        <v>4</v>
      </c>
      <c r="EB64" s="814">
        <v>10</v>
      </c>
      <c r="EC64" s="836">
        <v>24</v>
      </c>
      <c r="ED64" s="837"/>
      <c r="EE64" s="817"/>
      <c r="EF64" s="817"/>
      <c r="EG64" s="817"/>
      <c r="EH64" s="821"/>
      <c r="EI64" s="838"/>
      <c r="EJ64" s="839"/>
    </row>
    <row r="65" spans="2:140">
      <c r="B65" s="1125" t="s">
        <v>29</v>
      </c>
      <c r="C65" s="803" t="s">
        <v>52</v>
      </c>
      <c r="D65" s="804"/>
      <c r="E65" s="805" t="s">
        <v>43</v>
      </c>
      <c r="F65" s="806" t="s">
        <v>43</v>
      </c>
      <c r="G65" s="807"/>
      <c r="H65" s="808">
        <v>2</v>
      </c>
      <c r="I65" s="809" t="s">
        <v>268</v>
      </c>
      <c r="J65" s="810">
        <v>0.875</v>
      </c>
      <c r="K65" s="811">
        <v>0.13250000000000001</v>
      </c>
      <c r="L65" s="812">
        <v>0.5957446808510638</v>
      </c>
      <c r="M65" s="813">
        <v>30</v>
      </c>
      <c r="N65" s="806">
        <v>27</v>
      </c>
      <c r="O65" s="814" t="s">
        <v>47</v>
      </c>
      <c r="P65" s="815" t="s">
        <v>98</v>
      </c>
      <c r="Q65" s="816">
        <v>112</v>
      </c>
      <c r="R65" s="817">
        <v>188</v>
      </c>
      <c r="S65" s="818">
        <v>784</v>
      </c>
      <c r="T65" s="819" t="s">
        <v>396</v>
      </c>
      <c r="U65" s="820" t="s">
        <v>47</v>
      </c>
      <c r="V65" s="816">
        <v>112</v>
      </c>
      <c r="W65" s="817">
        <v>188</v>
      </c>
      <c r="X65" s="817">
        <f t="shared" si="10"/>
        <v>325</v>
      </c>
      <c r="Y65" s="821">
        <f t="shared" si="11"/>
        <v>213</v>
      </c>
      <c r="Z65" s="822">
        <v>8</v>
      </c>
      <c r="AA65" s="817">
        <v>896</v>
      </c>
      <c r="AB65" s="817">
        <v>784</v>
      </c>
      <c r="AC65" s="817">
        <v>118</v>
      </c>
      <c r="AD65" s="821">
        <v>103</v>
      </c>
      <c r="AE65" s="823">
        <v>12</v>
      </c>
      <c r="AF65" s="817">
        <v>60000</v>
      </c>
      <c r="AG65" s="817">
        <v>0</v>
      </c>
      <c r="AH65" s="817">
        <v>0</v>
      </c>
      <c r="AI65" s="817">
        <v>0</v>
      </c>
      <c r="AJ65" s="817">
        <v>1424</v>
      </c>
      <c r="AK65" s="824">
        <v>2.7901785714285712</v>
      </c>
      <c r="AL65" s="825">
        <v>5000</v>
      </c>
      <c r="AM65" s="816">
        <v>168</v>
      </c>
      <c r="AN65" s="817">
        <v>282</v>
      </c>
      <c r="AO65" s="817">
        <f t="shared" si="12"/>
        <v>488</v>
      </c>
      <c r="AP65" s="821">
        <f t="shared" si="13"/>
        <v>320</v>
      </c>
      <c r="AQ65" s="822">
        <v>8</v>
      </c>
      <c r="AR65" s="817">
        <v>1344</v>
      </c>
      <c r="AS65" s="817">
        <v>1176</v>
      </c>
      <c r="AT65" s="817">
        <v>178</v>
      </c>
      <c r="AU65" s="821">
        <v>155</v>
      </c>
      <c r="AV65" s="823">
        <v>3</v>
      </c>
      <c r="AW65" s="817">
        <v>60000</v>
      </c>
      <c r="AX65" s="817">
        <v>0</v>
      </c>
      <c r="AY65" s="817">
        <v>0</v>
      </c>
      <c r="AZ65" s="817">
        <v>0</v>
      </c>
      <c r="BA65" s="817">
        <v>534</v>
      </c>
      <c r="BB65" s="824">
        <v>1.9434523809523812</v>
      </c>
      <c r="BC65" s="825">
        <v>20000</v>
      </c>
      <c r="BD65" s="816">
        <v>196</v>
      </c>
      <c r="BE65" s="817">
        <v>329</v>
      </c>
      <c r="BF65" s="817">
        <f t="shared" si="14"/>
        <v>569</v>
      </c>
      <c r="BG65" s="821">
        <f t="shared" si="15"/>
        <v>373</v>
      </c>
      <c r="BH65" s="822">
        <v>9</v>
      </c>
      <c r="BI65" s="817">
        <v>1764</v>
      </c>
      <c r="BJ65" s="817">
        <v>1543</v>
      </c>
      <c r="BK65" s="817">
        <v>233</v>
      </c>
      <c r="BL65" s="821">
        <v>204</v>
      </c>
      <c r="BM65" s="823">
        <v>6</v>
      </c>
      <c r="BN65" s="817">
        <v>90000</v>
      </c>
      <c r="BO65" s="817">
        <v>1</v>
      </c>
      <c r="BP65" s="817">
        <v>0</v>
      </c>
      <c r="BQ65" s="817">
        <v>0</v>
      </c>
      <c r="BR65" s="817">
        <v>1402</v>
      </c>
      <c r="BS65" s="824">
        <v>2.3163265306122449</v>
      </c>
      <c r="BT65" s="825">
        <v>15000</v>
      </c>
      <c r="BU65" s="816">
        <v>212</v>
      </c>
      <c r="BV65" s="817">
        <v>357</v>
      </c>
      <c r="BW65" s="817">
        <f t="shared" si="16"/>
        <v>618</v>
      </c>
      <c r="BX65" s="821">
        <f t="shared" si="17"/>
        <v>406</v>
      </c>
      <c r="BY65" s="822">
        <v>9</v>
      </c>
      <c r="BZ65" s="817">
        <v>1908</v>
      </c>
      <c r="CA65" s="817">
        <v>1669</v>
      </c>
      <c r="CB65" s="817">
        <v>252</v>
      </c>
      <c r="CC65" s="821">
        <v>221</v>
      </c>
      <c r="CD65" s="823">
        <v>9</v>
      </c>
      <c r="CE65" s="817">
        <v>120000</v>
      </c>
      <c r="CF65" s="817">
        <v>0</v>
      </c>
      <c r="CG65" s="817">
        <v>0</v>
      </c>
      <c r="CH65" s="817">
        <v>0</v>
      </c>
      <c r="CI65" s="817">
        <v>2275</v>
      </c>
      <c r="CJ65" s="824">
        <v>2.9672431865828095</v>
      </c>
      <c r="CK65" s="825">
        <v>13333</v>
      </c>
      <c r="CL65" s="816">
        <v>224</v>
      </c>
      <c r="CM65" s="817">
        <v>376</v>
      </c>
      <c r="CN65" s="817">
        <f t="shared" si="18"/>
        <v>651</v>
      </c>
      <c r="CO65" s="821">
        <f t="shared" si="19"/>
        <v>427</v>
      </c>
      <c r="CP65" s="822">
        <v>9</v>
      </c>
      <c r="CQ65" s="817">
        <v>2016</v>
      </c>
      <c r="CR65" s="817">
        <v>1764</v>
      </c>
      <c r="CS65" s="817">
        <v>267</v>
      </c>
      <c r="CT65" s="821">
        <v>233</v>
      </c>
      <c r="CU65" s="823">
        <v>12</v>
      </c>
      <c r="CV65" s="817">
        <v>150000</v>
      </c>
      <c r="CW65" s="817">
        <v>0</v>
      </c>
      <c r="CX65" s="817">
        <v>1</v>
      </c>
      <c r="CY65" s="817">
        <v>0</v>
      </c>
      <c r="CZ65" s="817">
        <v>3205</v>
      </c>
      <c r="DA65" s="824">
        <v>3.5734126984126982</v>
      </c>
      <c r="DB65" s="825">
        <v>12500</v>
      </c>
      <c r="DC65" s="826">
        <v>42</v>
      </c>
      <c r="DD65" s="817">
        <v>480000</v>
      </c>
      <c r="DE65" s="827">
        <v>1</v>
      </c>
      <c r="DF65" s="827">
        <v>1</v>
      </c>
      <c r="DG65" s="827">
        <v>0</v>
      </c>
      <c r="DH65" s="817">
        <v>8840</v>
      </c>
      <c r="DI65" s="824">
        <v>9.9206349206349209</v>
      </c>
      <c r="DJ65" s="825">
        <v>11428.571428571429</v>
      </c>
      <c r="DK65" s="828">
        <v>11</v>
      </c>
      <c r="DL65" s="829" t="s">
        <v>43</v>
      </c>
      <c r="DM65" s="830"/>
      <c r="DN65" s="831"/>
      <c r="DO65" s="832"/>
      <c r="DP65" s="832"/>
      <c r="DQ65" s="832"/>
      <c r="DR65" s="832"/>
      <c r="DS65" s="832"/>
      <c r="DT65" s="832"/>
      <c r="DU65" s="832"/>
      <c r="DV65" s="832"/>
      <c r="DW65" s="832"/>
      <c r="DX65" s="833"/>
      <c r="DY65" s="834" t="s">
        <v>43</v>
      </c>
      <c r="DZ65" s="835">
        <v>13</v>
      </c>
      <c r="EA65" s="814">
        <v>13</v>
      </c>
      <c r="EB65" s="814">
        <v>23</v>
      </c>
      <c r="EC65" s="836">
        <v>33</v>
      </c>
      <c r="ED65" s="837"/>
      <c r="EE65" s="817"/>
      <c r="EF65" s="817"/>
      <c r="EG65" s="817"/>
      <c r="EH65" s="821"/>
      <c r="EI65" s="838"/>
      <c r="EJ65" s="839"/>
    </row>
    <row r="66" spans="2:140">
      <c r="B66" s="1125" t="s">
        <v>74</v>
      </c>
      <c r="C66" s="803" t="s">
        <v>52</v>
      </c>
      <c r="D66" s="804"/>
      <c r="E66" s="805" t="s">
        <v>43</v>
      </c>
      <c r="F66" s="806"/>
      <c r="G66" s="807"/>
      <c r="H66" s="808">
        <v>3</v>
      </c>
      <c r="I66" s="809" t="s">
        <v>268</v>
      </c>
      <c r="J66" s="810">
        <v>1.125</v>
      </c>
      <c r="K66" s="811">
        <v>0.13250000000000001</v>
      </c>
      <c r="L66" s="812">
        <v>0.7857142857142857</v>
      </c>
      <c r="M66" s="813">
        <v>30</v>
      </c>
      <c r="N66" s="806">
        <v>69</v>
      </c>
      <c r="O66" s="814" t="s">
        <v>47</v>
      </c>
      <c r="P66" s="815" t="s">
        <v>98</v>
      </c>
      <c r="Q66" s="816">
        <v>154</v>
      </c>
      <c r="R66" s="817">
        <v>196</v>
      </c>
      <c r="S66" s="818">
        <v>1559</v>
      </c>
      <c r="T66" s="819" t="s">
        <v>397</v>
      </c>
      <c r="U66" s="820" t="s">
        <v>47</v>
      </c>
      <c r="V66" s="816">
        <v>154</v>
      </c>
      <c r="W66" s="817">
        <v>196</v>
      </c>
      <c r="X66" s="817">
        <f t="shared" si="10"/>
        <v>339</v>
      </c>
      <c r="Y66" s="821">
        <f t="shared" si="11"/>
        <v>185</v>
      </c>
      <c r="Z66" s="822">
        <v>9</v>
      </c>
      <c r="AA66" s="817">
        <v>1386</v>
      </c>
      <c r="AB66" s="817">
        <v>1559</v>
      </c>
      <c r="AC66" s="817">
        <v>183</v>
      </c>
      <c r="AD66" s="821">
        <v>206</v>
      </c>
      <c r="AE66" s="823">
        <v>60</v>
      </c>
      <c r="AF66" s="817">
        <v>350000</v>
      </c>
      <c r="AG66" s="817">
        <v>0</v>
      </c>
      <c r="AH66" s="817">
        <v>0</v>
      </c>
      <c r="AI66" s="817">
        <v>0</v>
      </c>
      <c r="AJ66" s="817">
        <v>10000</v>
      </c>
      <c r="AK66" s="824">
        <v>10.521885521885521</v>
      </c>
      <c r="AL66" s="825">
        <v>5833</v>
      </c>
      <c r="AM66" s="816">
        <v>231</v>
      </c>
      <c r="AN66" s="817">
        <v>294</v>
      </c>
      <c r="AO66" s="817">
        <f t="shared" si="12"/>
        <v>509</v>
      </c>
      <c r="AP66" s="821">
        <f t="shared" si="13"/>
        <v>278</v>
      </c>
      <c r="AQ66" s="822">
        <v>9</v>
      </c>
      <c r="AR66" s="817">
        <v>2079</v>
      </c>
      <c r="AS66" s="817">
        <v>2338</v>
      </c>
      <c r="AT66" s="817">
        <v>275</v>
      </c>
      <c r="AU66" s="821">
        <v>309</v>
      </c>
      <c r="AV66" s="823">
        <v>15</v>
      </c>
      <c r="AW66" s="817">
        <v>350000</v>
      </c>
      <c r="AX66" s="817">
        <v>0</v>
      </c>
      <c r="AY66" s="817">
        <v>0</v>
      </c>
      <c r="AZ66" s="817">
        <v>0</v>
      </c>
      <c r="BA66" s="817">
        <v>4132</v>
      </c>
      <c r="BB66" s="824">
        <v>7.431257014590348</v>
      </c>
      <c r="BC66" s="825">
        <v>23333</v>
      </c>
      <c r="BD66" s="816">
        <v>269</v>
      </c>
      <c r="BE66" s="817">
        <v>343</v>
      </c>
      <c r="BF66" s="817">
        <f t="shared" si="14"/>
        <v>594</v>
      </c>
      <c r="BG66" s="821">
        <f t="shared" si="15"/>
        <v>325</v>
      </c>
      <c r="BH66" s="822">
        <v>10</v>
      </c>
      <c r="BI66" s="817">
        <v>2690</v>
      </c>
      <c r="BJ66" s="817">
        <v>3026</v>
      </c>
      <c r="BK66" s="817">
        <v>356</v>
      </c>
      <c r="BL66" s="821">
        <v>400</v>
      </c>
      <c r="BM66" s="823">
        <v>30</v>
      </c>
      <c r="BN66" s="817">
        <v>525000</v>
      </c>
      <c r="BO66" s="817">
        <v>1</v>
      </c>
      <c r="BP66" s="817">
        <v>0</v>
      </c>
      <c r="BQ66" s="817">
        <v>0</v>
      </c>
      <c r="BR66" s="817">
        <v>10000</v>
      </c>
      <c r="BS66" s="824">
        <v>9.0980483271375459</v>
      </c>
      <c r="BT66" s="825">
        <v>17500</v>
      </c>
      <c r="BU66" s="816">
        <v>292</v>
      </c>
      <c r="BV66" s="817">
        <v>372</v>
      </c>
      <c r="BW66" s="817">
        <f t="shared" si="16"/>
        <v>644</v>
      </c>
      <c r="BX66" s="821">
        <f t="shared" si="17"/>
        <v>352</v>
      </c>
      <c r="BY66" s="822">
        <v>10</v>
      </c>
      <c r="BZ66" s="817">
        <v>2920</v>
      </c>
      <c r="CA66" s="817">
        <v>3285</v>
      </c>
      <c r="CB66" s="817">
        <v>386</v>
      </c>
      <c r="CC66" s="821">
        <v>435</v>
      </c>
      <c r="CD66" s="823">
        <v>45</v>
      </c>
      <c r="CE66" s="817">
        <v>700000</v>
      </c>
      <c r="CF66" s="817">
        <v>0</v>
      </c>
      <c r="CG66" s="817">
        <v>0</v>
      </c>
      <c r="CH66" s="817">
        <v>0</v>
      </c>
      <c r="CI66" s="817">
        <v>10000</v>
      </c>
      <c r="CJ66" s="824">
        <v>11.71589611872146</v>
      </c>
      <c r="CK66" s="825">
        <v>15555</v>
      </c>
      <c r="CL66" s="816">
        <v>308</v>
      </c>
      <c r="CM66" s="817">
        <v>392</v>
      </c>
      <c r="CN66" s="817">
        <f t="shared" si="18"/>
        <v>679</v>
      </c>
      <c r="CO66" s="821">
        <f t="shared" si="19"/>
        <v>371</v>
      </c>
      <c r="CP66" s="822">
        <v>10</v>
      </c>
      <c r="CQ66" s="817">
        <v>3080</v>
      </c>
      <c r="CR66" s="817">
        <v>3465</v>
      </c>
      <c r="CS66" s="817">
        <v>408</v>
      </c>
      <c r="CT66" s="821">
        <v>459</v>
      </c>
      <c r="CU66" s="823">
        <v>60</v>
      </c>
      <c r="CV66" s="817">
        <v>875000</v>
      </c>
      <c r="CW66" s="817">
        <v>0</v>
      </c>
      <c r="CX66" s="817">
        <v>1</v>
      </c>
      <c r="CY66" s="817">
        <v>0</v>
      </c>
      <c r="CZ66" s="817">
        <v>10000</v>
      </c>
      <c r="DA66" s="824">
        <v>14.207251082251082</v>
      </c>
      <c r="DB66" s="825">
        <v>14583</v>
      </c>
      <c r="DC66" s="826">
        <v>210</v>
      </c>
      <c r="DD66" s="817">
        <v>2800000</v>
      </c>
      <c r="DE66" s="827">
        <v>1</v>
      </c>
      <c r="DF66" s="827">
        <v>1</v>
      </c>
      <c r="DG66" s="827">
        <v>0</v>
      </c>
      <c r="DH66" s="817">
        <v>44132</v>
      </c>
      <c r="DI66" s="824">
        <v>37.878787878787882</v>
      </c>
      <c r="DJ66" s="825">
        <v>13333.333333333334</v>
      </c>
      <c r="DK66" s="828">
        <v>57</v>
      </c>
      <c r="DL66" s="829" t="s">
        <v>43</v>
      </c>
      <c r="DM66" s="830"/>
      <c r="DN66" s="831"/>
      <c r="DO66" s="832"/>
      <c r="DP66" s="832"/>
      <c r="DQ66" s="832"/>
      <c r="DR66" s="832"/>
      <c r="DS66" s="832"/>
      <c r="DT66" s="832"/>
      <c r="DU66" s="832"/>
      <c r="DV66" s="832"/>
      <c r="DW66" s="832"/>
      <c r="DX66" s="833"/>
      <c r="DY66" s="834" t="s">
        <v>43</v>
      </c>
      <c r="DZ66" s="835">
        <v>22</v>
      </c>
      <c r="EA66" s="814">
        <v>22</v>
      </c>
      <c r="EB66" s="814">
        <v>32</v>
      </c>
      <c r="EC66" s="836">
        <v>42</v>
      </c>
      <c r="ED66" s="837"/>
      <c r="EE66" s="817"/>
      <c r="EF66" s="817"/>
      <c r="EG66" s="817"/>
      <c r="EH66" s="821"/>
      <c r="EI66" s="838"/>
      <c r="EJ66" s="839"/>
    </row>
    <row r="67" spans="2:140">
      <c r="B67" s="1125" t="s">
        <v>31</v>
      </c>
      <c r="C67" s="803" t="s">
        <v>52</v>
      </c>
      <c r="D67" s="804" t="s">
        <v>43</v>
      </c>
      <c r="E67" s="805" t="s">
        <v>43</v>
      </c>
      <c r="F67" s="806"/>
      <c r="G67" s="807"/>
      <c r="H67" s="808">
        <v>2</v>
      </c>
      <c r="I67" s="809" t="s">
        <v>268</v>
      </c>
      <c r="J67" s="810">
        <v>1</v>
      </c>
      <c r="K67" s="811">
        <v>0.13250000000000001</v>
      </c>
      <c r="L67" s="812">
        <v>0.69090909090909092</v>
      </c>
      <c r="M67" s="813">
        <v>30</v>
      </c>
      <c r="N67" s="806">
        <v>42</v>
      </c>
      <c r="O67" s="814" t="s">
        <v>47</v>
      </c>
      <c r="P67" s="815" t="s">
        <v>98</v>
      </c>
      <c r="Q67" s="816">
        <v>266</v>
      </c>
      <c r="R67" s="817">
        <v>385</v>
      </c>
      <c r="S67" s="818">
        <v>4522</v>
      </c>
      <c r="T67" s="819" t="s">
        <v>398</v>
      </c>
      <c r="U67" s="820" t="s">
        <v>47</v>
      </c>
      <c r="V67" s="816">
        <v>266</v>
      </c>
      <c r="W67" s="817">
        <v>385</v>
      </c>
      <c r="X67" s="817">
        <f t="shared" si="10"/>
        <v>667</v>
      </c>
      <c r="Y67" s="821">
        <f t="shared" si="11"/>
        <v>401</v>
      </c>
      <c r="Z67" s="822">
        <v>17</v>
      </c>
      <c r="AA67" s="817">
        <v>4522</v>
      </c>
      <c r="AB67" s="817">
        <v>4522</v>
      </c>
      <c r="AC67" s="817">
        <v>599</v>
      </c>
      <c r="AD67" s="821">
        <v>599</v>
      </c>
      <c r="AE67" s="823">
        <v>24</v>
      </c>
      <c r="AF67" s="817">
        <v>1000000</v>
      </c>
      <c r="AG67" s="817">
        <v>0</v>
      </c>
      <c r="AH67" s="817">
        <v>0</v>
      </c>
      <c r="AI67" s="817">
        <v>0</v>
      </c>
      <c r="AJ67" s="817">
        <v>10000</v>
      </c>
      <c r="AK67" s="824">
        <v>9.2142120005897095</v>
      </c>
      <c r="AL67" s="825">
        <v>41666</v>
      </c>
      <c r="AM67" s="816">
        <v>399</v>
      </c>
      <c r="AN67" s="817">
        <v>577</v>
      </c>
      <c r="AO67" s="817">
        <f t="shared" si="12"/>
        <v>999</v>
      </c>
      <c r="AP67" s="821">
        <f t="shared" si="13"/>
        <v>600</v>
      </c>
      <c r="AQ67" s="822">
        <v>18</v>
      </c>
      <c r="AR67" s="817">
        <v>7182</v>
      </c>
      <c r="AS67" s="817">
        <v>7182</v>
      </c>
      <c r="AT67" s="817">
        <v>951</v>
      </c>
      <c r="AU67" s="821">
        <v>951</v>
      </c>
      <c r="AV67" s="823">
        <v>6</v>
      </c>
      <c r="AW67" s="817">
        <v>1000000</v>
      </c>
      <c r="AX67" s="817">
        <v>0</v>
      </c>
      <c r="AY67" s="817">
        <v>0</v>
      </c>
      <c r="AZ67" s="817">
        <v>0</v>
      </c>
      <c r="BA67" s="817">
        <v>5709</v>
      </c>
      <c r="BB67" s="824">
        <v>5.9589482966675957</v>
      </c>
      <c r="BC67" s="825">
        <v>166666</v>
      </c>
      <c r="BD67" s="816">
        <v>465</v>
      </c>
      <c r="BE67" s="817">
        <v>673</v>
      </c>
      <c r="BF67" s="817">
        <f t="shared" si="14"/>
        <v>1165</v>
      </c>
      <c r="BG67" s="821">
        <f t="shared" si="15"/>
        <v>700</v>
      </c>
      <c r="BH67" s="822">
        <v>19</v>
      </c>
      <c r="BI67" s="817">
        <v>8835</v>
      </c>
      <c r="BJ67" s="817">
        <v>8835</v>
      </c>
      <c r="BK67" s="817">
        <v>1170</v>
      </c>
      <c r="BL67" s="821">
        <v>1170</v>
      </c>
      <c r="BM67" s="823">
        <v>12</v>
      </c>
      <c r="BN67" s="817">
        <v>1500000</v>
      </c>
      <c r="BO67" s="817">
        <v>1</v>
      </c>
      <c r="BP67" s="817">
        <v>0</v>
      </c>
      <c r="BQ67" s="817">
        <v>0</v>
      </c>
      <c r="BR67" s="817">
        <v>10000</v>
      </c>
      <c r="BS67" s="824">
        <v>7.4805885681946798</v>
      </c>
      <c r="BT67" s="825">
        <v>125000</v>
      </c>
      <c r="BU67" s="816">
        <v>505</v>
      </c>
      <c r="BV67" s="817">
        <v>731</v>
      </c>
      <c r="BW67" s="817">
        <f t="shared" si="16"/>
        <v>1266</v>
      </c>
      <c r="BX67" s="821">
        <f t="shared" si="17"/>
        <v>761</v>
      </c>
      <c r="BY67" s="822">
        <v>20</v>
      </c>
      <c r="BZ67" s="817">
        <v>10100</v>
      </c>
      <c r="CA67" s="817">
        <v>10100</v>
      </c>
      <c r="CB67" s="817">
        <v>1338</v>
      </c>
      <c r="CC67" s="821">
        <v>1338</v>
      </c>
      <c r="CD67" s="823">
        <v>18</v>
      </c>
      <c r="CE67" s="817">
        <v>2000000</v>
      </c>
      <c r="CF67" s="817">
        <v>0</v>
      </c>
      <c r="CG67" s="817">
        <v>0</v>
      </c>
      <c r="CH67" s="817">
        <v>0</v>
      </c>
      <c r="CI67" s="817">
        <v>10000</v>
      </c>
      <c r="CJ67" s="824">
        <v>8.9068894389438942</v>
      </c>
      <c r="CK67" s="825">
        <v>111111</v>
      </c>
      <c r="CL67" s="816">
        <v>532</v>
      </c>
      <c r="CM67" s="817">
        <v>770</v>
      </c>
      <c r="CN67" s="817">
        <f t="shared" si="18"/>
        <v>1334</v>
      </c>
      <c r="CO67" s="821">
        <f t="shared" si="19"/>
        <v>802</v>
      </c>
      <c r="CP67" s="822">
        <v>20</v>
      </c>
      <c r="CQ67" s="817">
        <v>10640</v>
      </c>
      <c r="CR67" s="817">
        <v>10640</v>
      </c>
      <c r="CS67" s="817">
        <v>1409</v>
      </c>
      <c r="CT67" s="821">
        <v>1409</v>
      </c>
      <c r="CU67" s="823">
        <v>24</v>
      </c>
      <c r="CV67" s="817">
        <v>2500000</v>
      </c>
      <c r="CW67" s="817">
        <v>0</v>
      </c>
      <c r="CX67" s="817">
        <v>1</v>
      </c>
      <c r="CY67" s="817">
        <v>0</v>
      </c>
      <c r="CZ67" s="817">
        <v>10000</v>
      </c>
      <c r="DA67" s="824">
        <v>10.739348370927319</v>
      </c>
      <c r="DB67" s="825">
        <v>104166</v>
      </c>
      <c r="DC67" s="826">
        <v>84</v>
      </c>
      <c r="DD67" s="817">
        <v>8000000</v>
      </c>
      <c r="DE67" s="827">
        <v>1</v>
      </c>
      <c r="DF67" s="827">
        <v>1</v>
      </c>
      <c r="DG67" s="827">
        <v>0</v>
      </c>
      <c r="DH67" s="817">
        <v>45709</v>
      </c>
      <c r="DI67" s="824">
        <v>31.328320802005013</v>
      </c>
      <c r="DJ67" s="825">
        <v>95238.095238095237</v>
      </c>
      <c r="DK67" s="828">
        <v>23</v>
      </c>
      <c r="DL67" s="829" t="s">
        <v>43</v>
      </c>
      <c r="DM67" s="830"/>
      <c r="DN67" s="831"/>
      <c r="DO67" s="832"/>
      <c r="DP67" s="832"/>
      <c r="DQ67" s="832"/>
      <c r="DR67" s="832"/>
      <c r="DS67" s="832"/>
      <c r="DT67" s="832"/>
      <c r="DU67" s="832"/>
      <c r="DV67" s="832"/>
      <c r="DW67" s="832"/>
      <c r="DX67" s="833"/>
      <c r="DY67" s="834" t="s">
        <v>43</v>
      </c>
      <c r="DZ67" s="835">
        <v>26</v>
      </c>
      <c r="EA67" s="814"/>
      <c r="EB67" s="814"/>
      <c r="EC67" s="836"/>
      <c r="ED67" s="837"/>
      <c r="EE67" s="817"/>
      <c r="EF67" s="817"/>
      <c r="EG67" s="817"/>
      <c r="EH67" s="821"/>
      <c r="EI67" s="838"/>
      <c r="EJ67" s="839"/>
    </row>
    <row r="68" spans="2:140">
      <c r="B68" s="1125" t="s">
        <v>144</v>
      </c>
      <c r="C68" s="803" t="s">
        <v>52</v>
      </c>
      <c r="D68" s="804"/>
      <c r="E68" s="805" t="s">
        <v>43</v>
      </c>
      <c r="F68" s="806"/>
      <c r="G68" s="807"/>
      <c r="H68" s="808">
        <v>3</v>
      </c>
      <c r="I68" s="809" t="s">
        <v>268</v>
      </c>
      <c r="J68" s="810">
        <v>1.25</v>
      </c>
      <c r="K68" s="811">
        <v>0.13250000000000001</v>
      </c>
      <c r="L68" s="812">
        <v>0.88383838383838387</v>
      </c>
      <c r="M68" s="813">
        <v>30</v>
      </c>
      <c r="N68" s="806">
        <v>51</v>
      </c>
      <c r="O68" s="814" t="s">
        <v>47</v>
      </c>
      <c r="P68" s="815" t="s">
        <v>98</v>
      </c>
      <c r="Q68" s="816">
        <v>175</v>
      </c>
      <c r="R68" s="817">
        <v>198</v>
      </c>
      <c r="S68" s="818">
        <v>1968</v>
      </c>
      <c r="T68" s="819" t="s">
        <v>399</v>
      </c>
      <c r="U68" s="820" t="s">
        <v>47</v>
      </c>
      <c r="V68" s="816">
        <v>175</v>
      </c>
      <c r="W68" s="817">
        <v>198</v>
      </c>
      <c r="X68" s="817">
        <f t="shared" si="10"/>
        <v>343</v>
      </c>
      <c r="Y68" s="821">
        <f t="shared" si="11"/>
        <v>168</v>
      </c>
      <c r="Z68" s="822">
        <v>9</v>
      </c>
      <c r="AA68" s="817">
        <v>1575</v>
      </c>
      <c r="AB68" s="817">
        <v>1968</v>
      </c>
      <c r="AC68" s="817">
        <v>208</v>
      </c>
      <c r="AD68" s="821">
        <v>260</v>
      </c>
      <c r="AE68" s="823">
        <v>144</v>
      </c>
      <c r="AF68" s="817">
        <v>1300000</v>
      </c>
      <c r="AG68" s="817">
        <v>0</v>
      </c>
      <c r="AH68" s="817">
        <v>0</v>
      </c>
      <c r="AI68" s="817">
        <v>0</v>
      </c>
      <c r="AJ68" s="817">
        <v>10000</v>
      </c>
      <c r="AK68" s="824">
        <v>34.391534391534393</v>
      </c>
      <c r="AL68" s="825">
        <v>9027</v>
      </c>
      <c r="AM68" s="816">
        <v>262</v>
      </c>
      <c r="AN68" s="817">
        <v>297</v>
      </c>
      <c r="AO68" s="817">
        <f t="shared" si="12"/>
        <v>514</v>
      </c>
      <c r="AP68" s="821">
        <f t="shared" si="13"/>
        <v>252</v>
      </c>
      <c r="AQ68" s="822">
        <v>9</v>
      </c>
      <c r="AR68" s="817">
        <v>2358</v>
      </c>
      <c r="AS68" s="817">
        <v>2947</v>
      </c>
      <c r="AT68" s="817">
        <v>312</v>
      </c>
      <c r="AU68" s="821">
        <v>390</v>
      </c>
      <c r="AV68" s="823">
        <v>36</v>
      </c>
      <c r="AW68" s="817">
        <v>1300000</v>
      </c>
      <c r="AX68" s="817">
        <v>0</v>
      </c>
      <c r="AY68" s="817">
        <v>0</v>
      </c>
      <c r="AZ68" s="817">
        <v>0</v>
      </c>
      <c r="BA68" s="817">
        <v>10000</v>
      </c>
      <c r="BB68" s="824">
        <v>23.973353124116482</v>
      </c>
      <c r="BC68" s="825">
        <v>36111</v>
      </c>
      <c r="BD68" s="816">
        <v>306</v>
      </c>
      <c r="BE68" s="817">
        <v>346</v>
      </c>
      <c r="BF68" s="817">
        <f t="shared" si="14"/>
        <v>599</v>
      </c>
      <c r="BG68" s="821">
        <f t="shared" si="15"/>
        <v>293</v>
      </c>
      <c r="BH68" s="822">
        <v>10</v>
      </c>
      <c r="BI68" s="817">
        <v>3060</v>
      </c>
      <c r="BJ68" s="817">
        <v>3825</v>
      </c>
      <c r="BK68" s="817">
        <v>405</v>
      </c>
      <c r="BL68" s="821">
        <v>506</v>
      </c>
      <c r="BM68" s="823">
        <v>72</v>
      </c>
      <c r="BN68" s="817">
        <v>1950000</v>
      </c>
      <c r="BO68" s="817">
        <v>1</v>
      </c>
      <c r="BP68" s="817">
        <v>0</v>
      </c>
      <c r="BQ68" s="817">
        <v>0</v>
      </c>
      <c r="BR68" s="817">
        <v>10000</v>
      </c>
      <c r="BS68" s="824">
        <v>28.8640522875817</v>
      </c>
      <c r="BT68" s="825">
        <v>27083</v>
      </c>
      <c r="BU68" s="816">
        <v>332</v>
      </c>
      <c r="BV68" s="817">
        <v>376</v>
      </c>
      <c r="BW68" s="817">
        <f t="shared" si="16"/>
        <v>651</v>
      </c>
      <c r="BX68" s="821">
        <f t="shared" si="17"/>
        <v>319</v>
      </c>
      <c r="BY68" s="822">
        <v>10</v>
      </c>
      <c r="BZ68" s="817">
        <v>3320</v>
      </c>
      <c r="CA68" s="817">
        <v>4150</v>
      </c>
      <c r="CB68" s="817">
        <v>439</v>
      </c>
      <c r="CC68" s="821">
        <v>549</v>
      </c>
      <c r="CD68" s="823">
        <v>108</v>
      </c>
      <c r="CE68" s="817">
        <v>2600000</v>
      </c>
      <c r="CF68" s="817">
        <v>0</v>
      </c>
      <c r="CG68" s="817">
        <v>0</v>
      </c>
      <c r="CH68" s="817">
        <v>0</v>
      </c>
      <c r="CI68" s="817">
        <v>10000</v>
      </c>
      <c r="CJ68" s="824">
        <v>36.778112449799195</v>
      </c>
      <c r="CK68" s="825">
        <v>24074</v>
      </c>
      <c r="CL68" s="816">
        <v>350</v>
      </c>
      <c r="CM68" s="817">
        <v>396</v>
      </c>
      <c r="CN68" s="817">
        <f t="shared" si="18"/>
        <v>686</v>
      </c>
      <c r="CO68" s="821">
        <f t="shared" si="19"/>
        <v>336</v>
      </c>
      <c r="CP68" s="822">
        <v>10</v>
      </c>
      <c r="CQ68" s="817">
        <v>3500</v>
      </c>
      <c r="CR68" s="817">
        <v>4375</v>
      </c>
      <c r="CS68" s="817">
        <v>463</v>
      </c>
      <c r="CT68" s="821">
        <v>579</v>
      </c>
      <c r="CU68" s="823">
        <v>144</v>
      </c>
      <c r="CV68" s="817">
        <v>3250000</v>
      </c>
      <c r="CW68" s="817">
        <v>0</v>
      </c>
      <c r="CX68" s="817">
        <v>1</v>
      </c>
      <c r="CY68" s="817">
        <v>0</v>
      </c>
      <c r="CZ68" s="817">
        <v>10000</v>
      </c>
      <c r="DA68" s="824">
        <v>44.381904761904764</v>
      </c>
      <c r="DB68" s="825">
        <v>22569</v>
      </c>
      <c r="DC68" s="826">
        <v>504</v>
      </c>
      <c r="DD68" s="817">
        <v>10400000</v>
      </c>
      <c r="DE68" s="827">
        <v>1</v>
      </c>
      <c r="DF68" s="827">
        <v>1</v>
      </c>
      <c r="DG68" s="827">
        <v>0</v>
      </c>
      <c r="DH68" s="817">
        <v>50000</v>
      </c>
      <c r="DI68" s="824">
        <v>123.80952380952381</v>
      </c>
      <c r="DJ68" s="825">
        <v>20634.920634920636</v>
      </c>
      <c r="DK68" s="828">
        <v>137</v>
      </c>
      <c r="DL68" s="829" t="s">
        <v>43</v>
      </c>
      <c r="DM68" s="830"/>
      <c r="DN68" s="831"/>
      <c r="DO68" s="832"/>
      <c r="DP68" s="832"/>
      <c r="DQ68" s="832"/>
      <c r="DR68" s="832"/>
      <c r="DS68" s="832"/>
      <c r="DT68" s="832"/>
      <c r="DU68" s="832"/>
      <c r="DV68" s="832"/>
      <c r="DW68" s="832"/>
      <c r="DX68" s="833"/>
      <c r="DY68" s="834" t="s">
        <v>43</v>
      </c>
      <c r="DZ68" s="835">
        <v>38</v>
      </c>
      <c r="EA68" s="814">
        <v>38</v>
      </c>
      <c r="EB68" s="814">
        <v>48</v>
      </c>
      <c r="EC68" s="836">
        <v>58</v>
      </c>
      <c r="ED68" s="837"/>
      <c r="EE68" s="817"/>
      <c r="EF68" s="817"/>
      <c r="EG68" s="817"/>
      <c r="EH68" s="821"/>
      <c r="EI68" s="838"/>
      <c r="EJ68" s="839"/>
    </row>
    <row r="69" spans="2:140">
      <c r="B69" s="1125" t="s">
        <v>86</v>
      </c>
      <c r="C69" s="803" t="s">
        <v>52</v>
      </c>
      <c r="D69" s="804"/>
      <c r="E69" s="805" t="s">
        <v>43</v>
      </c>
      <c r="F69" s="806"/>
      <c r="G69" s="807"/>
      <c r="H69" s="808">
        <v>3</v>
      </c>
      <c r="I69" s="809" t="s">
        <v>268</v>
      </c>
      <c r="J69" s="810">
        <v>1.375</v>
      </c>
      <c r="K69" s="811">
        <v>0.13250000000000001</v>
      </c>
      <c r="L69" s="812">
        <v>1.05</v>
      </c>
      <c r="M69" s="813">
        <v>30</v>
      </c>
      <c r="N69" s="806">
        <v>58</v>
      </c>
      <c r="O69" s="814" t="s">
        <v>47</v>
      </c>
      <c r="P69" s="815" t="s">
        <v>98</v>
      </c>
      <c r="Q69" s="816">
        <v>210</v>
      </c>
      <c r="R69" s="817">
        <v>200</v>
      </c>
      <c r="S69" s="818">
        <v>2887</v>
      </c>
      <c r="T69" s="819" t="s">
        <v>400</v>
      </c>
      <c r="U69" s="820" t="s">
        <v>47</v>
      </c>
      <c r="V69" s="816">
        <v>210</v>
      </c>
      <c r="W69" s="817">
        <v>200</v>
      </c>
      <c r="X69" s="817">
        <f t="shared" si="10"/>
        <v>346</v>
      </c>
      <c r="Y69" s="821">
        <f t="shared" si="11"/>
        <v>136</v>
      </c>
      <c r="Z69" s="822">
        <v>10</v>
      </c>
      <c r="AA69" s="817">
        <v>2100</v>
      </c>
      <c r="AB69" s="817">
        <v>2887</v>
      </c>
      <c r="AC69" s="817">
        <v>278</v>
      </c>
      <c r="AD69" s="821">
        <v>382</v>
      </c>
      <c r="AE69" s="823">
        <v>216</v>
      </c>
      <c r="AF69" s="817">
        <v>4500000</v>
      </c>
      <c r="AG69" s="817">
        <v>0</v>
      </c>
      <c r="AH69" s="817">
        <v>0</v>
      </c>
      <c r="AI69" s="817">
        <v>0</v>
      </c>
      <c r="AJ69" s="817">
        <v>10000</v>
      </c>
      <c r="AK69" s="824">
        <v>89.285714285714278</v>
      </c>
      <c r="AL69" s="825">
        <v>20833</v>
      </c>
      <c r="AM69" s="816">
        <v>315</v>
      </c>
      <c r="AN69" s="817">
        <v>300</v>
      </c>
      <c r="AO69" s="817">
        <f t="shared" si="12"/>
        <v>519</v>
      </c>
      <c r="AP69" s="821">
        <f t="shared" si="13"/>
        <v>204</v>
      </c>
      <c r="AQ69" s="822">
        <v>11</v>
      </c>
      <c r="AR69" s="817">
        <v>3465</v>
      </c>
      <c r="AS69" s="817">
        <v>4764</v>
      </c>
      <c r="AT69" s="817">
        <v>459</v>
      </c>
      <c r="AU69" s="821">
        <v>631</v>
      </c>
      <c r="AV69" s="823">
        <v>54</v>
      </c>
      <c r="AW69" s="817">
        <v>4500000</v>
      </c>
      <c r="AX69" s="817">
        <v>0</v>
      </c>
      <c r="AY69" s="817">
        <v>0</v>
      </c>
      <c r="AZ69" s="817">
        <v>0</v>
      </c>
      <c r="BA69" s="817">
        <v>10000</v>
      </c>
      <c r="BB69" s="824">
        <v>55.476190476190474</v>
      </c>
      <c r="BC69" s="825">
        <v>83333</v>
      </c>
      <c r="BD69" s="816">
        <v>367</v>
      </c>
      <c r="BE69" s="817">
        <v>350</v>
      </c>
      <c r="BF69" s="817">
        <f t="shared" si="14"/>
        <v>606</v>
      </c>
      <c r="BG69" s="821">
        <f t="shared" si="15"/>
        <v>239</v>
      </c>
      <c r="BH69" s="822">
        <v>11</v>
      </c>
      <c r="BI69" s="817">
        <v>4037</v>
      </c>
      <c r="BJ69" s="817">
        <v>5550</v>
      </c>
      <c r="BK69" s="817">
        <v>534</v>
      </c>
      <c r="BL69" s="821">
        <v>735</v>
      </c>
      <c r="BM69" s="823">
        <v>108</v>
      </c>
      <c r="BN69" s="817">
        <v>6750000</v>
      </c>
      <c r="BO69" s="817">
        <v>1</v>
      </c>
      <c r="BP69" s="817">
        <v>0</v>
      </c>
      <c r="BQ69" s="817">
        <v>0</v>
      </c>
      <c r="BR69" s="817">
        <v>10000</v>
      </c>
      <c r="BS69" s="824">
        <v>73.530468169432751</v>
      </c>
      <c r="BT69" s="825">
        <v>62500</v>
      </c>
      <c r="BU69" s="816">
        <v>399</v>
      </c>
      <c r="BV69" s="817">
        <v>380</v>
      </c>
      <c r="BW69" s="817">
        <f t="shared" si="16"/>
        <v>658</v>
      </c>
      <c r="BX69" s="821">
        <f t="shared" si="17"/>
        <v>259</v>
      </c>
      <c r="BY69" s="822">
        <v>11</v>
      </c>
      <c r="BZ69" s="817">
        <v>4389</v>
      </c>
      <c r="CA69" s="817">
        <v>6034</v>
      </c>
      <c r="CB69" s="817">
        <v>581</v>
      </c>
      <c r="CC69" s="821">
        <v>799</v>
      </c>
      <c r="CD69" s="823">
        <v>162</v>
      </c>
      <c r="CE69" s="817">
        <v>9000000</v>
      </c>
      <c r="CF69" s="817">
        <v>0</v>
      </c>
      <c r="CG69" s="817">
        <v>0</v>
      </c>
      <c r="CH69" s="817">
        <v>0</v>
      </c>
      <c r="CI69" s="817">
        <v>10000</v>
      </c>
      <c r="CJ69" s="824">
        <v>91.64952153110049</v>
      </c>
      <c r="CK69" s="825">
        <v>55555</v>
      </c>
      <c r="CL69" s="816">
        <v>420</v>
      </c>
      <c r="CM69" s="817">
        <v>400</v>
      </c>
      <c r="CN69" s="817">
        <f t="shared" si="18"/>
        <v>693</v>
      </c>
      <c r="CO69" s="821">
        <f t="shared" si="19"/>
        <v>273</v>
      </c>
      <c r="CP69" s="822">
        <v>12</v>
      </c>
      <c r="CQ69" s="817">
        <v>5040</v>
      </c>
      <c r="CR69" s="817">
        <v>6930</v>
      </c>
      <c r="CS69" s="817">
        <v>667</v>
      </c>
      <c r="CT69" s="821">
        <v>918</v>
      </c>
      <c r="CU69" s="823">
        <v>216</v>
      </c>
      <c r="CV69" s="817">
        <v>11250000</v>
      </c>
      <c r="CW69" s="817">
        <v>0</v>
      </c>
      <c r="CX69" s="817">
        <v>1</v>
      </c>
      <c r="CY69" s="817">
        <v>0</v>
      </c>
      <c r="CZ69" s="817">
        <v>10000</v>
      </c>
      <c r="DA69" s="824">
        <v>100.84345238095239</v>
      </c>
      <c r="DB69" s="825">
        <v>52083</v>
      </c>
      <c r="DC69" s="826">
        <v>756</v>
      </c>
      <c r="DD69" s="817">
        <v>36000000</v>
      </c>
      <c r="DE69" s="827">
        <v>1</v>
      </c>
      <c r="DF69" s="827">
        <v>1</v>
      </c>
      <c r="DG69" s="827">
        <v>0</v>
      </c>
      <c r="DH69" s="817">
        <v>50000</v>
      </c>
      <c r="DI69" s="824">
        <v>297.61904761904765</v>
      </c>
      <c r="DJ69" s="825">
        <v>47619.047619047618</v>
      </c>
      <c r="DK69" s="828">
        <v>206</v>
      </c>
      <c r="DL69" s="829" t="s">
        <v>43</v>
      </c>
      <c r="DM69" s="830"/>
      <c r="DN69" s="831"/>
      <c r="DO69" s="832"/>
      <c r="DP69" s="832"/>
      <c r="DQ69" s="832"/>
      <c r="DR69" s="832"/>
      <c r="DS69" s="832"/>
      <c r="DT69" s="832"/>
      <c r="DU69" s="832"/>
      <c r="DV69" s="832"/>
      <c r="DW69" s="832"/>
      <c r="DX69" s="833"/>
      <c r="DY69" s="834" t="s">
        <v>43</v>
      </c>
      <c r="DZ69" s="835">
        <v>58</v>
      </c>
      <c r="EA69" s="814">
        <v>58</v>
      </c>
      <c r="EB69" s="814">
        <v>68</v>
      </c>
      <c r="EC69" s="836">
        <v>78</v>
      </c>
      <c r="ED69" s="837"/>
      <c r="EE69" s="817"/>
      <c r="EF69" s="817"/>
      <c r="EG69" s="817"/>
      <c r="EH69" s="821"/>
      <c r="EI69" s="838"/>
      <c r="EJ69" s="839"/>
    </row>
    <row r="70" spans="2:140">
      <c r="B70" s="1125" t="s">
        <v>50</v>
      </c>
      <c r="C70" s="803" t="s">
        <v>52</v>
      </c>
      <c r="D70" s="804"/>
      <c r="E70" s="805" t="s">
        <v>43</v>
      </c>
      <c r="F70" s="806"/>
      <c r="G70" s="807"/>
      <c r="H70" s="808">
        <v>3</v>
      </c>
      <c r="I70" s="809" t="s">
        <v>283</v>
      </c>
      <c r="J70" s="810">
        <v>2</v>
      </c>
      <c r="K70" s="811">
        <v>0.15</v>
      </c>
      <c r="L70" s="812">
        <v>0.87301587301587302</v>
      </c>
      <c r="M70" s="813">
        <v>30</v>
      </c>
      <c r="N70" s="806">
        <v>19</v>
      </c>
      <c r="O70" s="814" t="s">
        <v>47</v>
      </c>
      <c r="P70" s="815" t="s">
        <v>98</v>
      </c>
      <c r="Q70" s="816">
        <v>110</v>
      </c>
      <c r="R70" s="817">
        <v>126</v>
      </c>
      <c r="S70" s="818">
        <v>660</v>
      </c>
      <c r="T70" s="819" t="s">
        <v>401</v>
      </c>
      <c r="U70" s="820" t="s">
        <v>47</v>
      </c>
      <c r="V70" s="816">
        <v>110</v>
      </c>
      <c r="W70" s="817">
        <v>126</v>
      </c>
      <c r="X70" s="817">
        <f t="shared" ref="X70:X101" si="20">INT(W70*$C$1/100)</f>
        <v>218</v>
      </c>
      <c r="Y70" s="821">
        <f t="shared" ref="Y70:Y101" si="21">X70-V70</f>
        <v>108</v>
      </c>
      <c r="Z70" s="822">
        <v>3</v>
      </c>
      <c r="AA70" s="817">
        <v>330</v>
      </c>
      <c r="AB70" s="817">
        <v>660</v>
      </c>
      <c r="AC70" s="817">
        <v>49</v>
      </c>
      <c r="AD70" s="821">
        <v>99</v>
      </c>
      <c r="AE70" s="823">
        <v>2.5</v>
      </c>
      <c r="AF70" s="817">
        <v>0</v>
      </c>
      <c r="AG70" s="817">
        <v>0</v>
      </c>
      <c r="AH70" s="817">
        <v>0</v>
      </c>
      <c r="AI70" s="817">
        <v>0</v>
      </c>
      <c r="AJ70" s="817">
        <v>123</v>
      </c>
      <c r="AK70" s="824">
        <v>0</v>
      </c>
      <c r="AL70" s="825">
        <v>0</v>
      </c>
      <c r="AM70" s="816">
        <v>165</v>
      </c>
      <c r="AN70" s="817">
        <v>189</v>
      </c>
      <c r="AO70" s="817">
        <f t="shared" ref="AO70:AO101" si="22">INT(AN70*$C$1/100)</f>
        <v>327</v>
      </c>
      <c r="AP70" s="821">
        <f t="shared" ref="AP70:AP101" si="23">AO70-AM70</f>
        <v>162</v>
      </c>
      <c r="AQ70" s="822">
        <v>3</v>
      </c>
      <c r="AR70" s="817">
        <v>495</v>
      </c>
      <c r="AS70" s="817">
        <v>990</v>
      </c>
      <c r="AT70" s="817">
        <v>74</v>
      </c>
      <c r="AU70" s="821">
        <v>148</v>
      </c>
      <c r="AV70" s="823">
        <v>0.75</v>
      </c>
      <c r="AW70" s="817">
        <v>10000</v>
      </c>
      <c r="AX70" s="817">
        <v>0</v>
      </c>
      <c r="AY70" s="817">
        <v>0</v>
      </c>
      <c r="AZ70" s="817">
        <v>0</v>
      </c>
      <c r="BA70" s="817">
        <v>47</v>
      </c>
      <c r="BB70" s="824">
        <v>0.86258417508417506</v>
      </c>
      <c r="BC70" s="825">
        <v>13333</v>
      </c>
      <c r="BD70" s="816">
        <v>192</v>
      </c>
      <c r="BE70" s="817">
        <v>220</v>
      </c>
      <c r="BF70" s="817">
        <f t="shared" ref="BF70:BF101" si="24">INT(BE70*$C$1/100)</f>
        <v>381</v>
      </c>
      <c r="BG70" s="821">
        <f t="shared" ref="BG70:BG101" si="25">BF70-BD70</f>
        <v>189</v>
      </c>
      <c r="BH70" s="822">
        <v>3</v>
      </c>
      <c r="BI70" s="817">
        <v>576</v>
      </c>
      <c r="BJ70" s="817">
        <v>1152</v>
      </c>
      <c r="BK70" s="817">
        <v>86</v>
      </c>
      <c r="BL70" s="821">
        <v>172</v>
      </c>
      <c r="BM70" s="823">
        <v>2</v>
      </c>
      <c r="BN70" s="817">
        <v>20000</v>
      </c>
      <c r="BO70" s="817">
        <v>0</v>
      </c>
      <c r="BP70" s="817">
        <v>1</v>
      </c>
      <c r="BQ70" s="817">
        <v>0</v>
      </c>
      <c r="BR70" s="817">
        <v>108</v>
      </c>
      <c r="BS70" s="824">
        <v>1.5183738425925926</v>
      </c>
      <c r="BT70" s="825">
        <v>10000</v>
      </c>
      <c r="BU70" s="816">
        <v>209</v>
      </c>
      <c r="BV70" s="817">
        <v>239</v>
      </c>
      <c r="BW70" s="817">
        <f t="shared" ref="BW70:BW101" si="26">INT(BV70*$C$1/100)</f>
        <v>414</v>
      </c>
      <c r="BX70" s="821">
        <f t="shared" ref="BX70:BX101" si="27">BW70-BU70</f>
        <v>205</v>
      </c>
      <c r="BY70" s="822">
        <v>3</v>
      </c>
      <c r="BZ70" s="817">
        <v>627</v>
      </c>
      <c r="CA70" s="817">
        <v>1254</v>
      </c>
      <c r="CB70" s="817">
        <v>94</v>
      </c>
      <c r="CC70" s="821">
        <v>188</v>
      </c>
      <c r="CD70" s="823">
        <v>2</v>
      </c>
      <c r="CE70" s="817">
        <v>30000</v>
      </c>
      <c r="CF70" s="817">
        <v>0</v>
      </c>
      <c r="CG70" s="817">
        <v>0</v>
      </c>
      <c r="CH70" s="817">
        <v>0</v>
      </c>
      <c r="CI70" s="817">
        <v>177</v>
      </c>
      <c r="CJ70" s="824">
        <v>2.070175438596491</v>
      </c>
      <c r="CK70" s="825">
        <v>15000</v>
      </c>
      <c r="CL70" s="816">
        <v>220</v>
      </c>
      <c r="CM70" s="817">
        <v>252</v>
      </c>
      <c r="CN70" s="817">
        <f t="shared" ref="CN70:CN101" si="28">INT(CM70*$C$1/100)</f>
        <v>436</v>
      </c>
      <c r="CO70" s="821">
        <f t="shared" ref="CO70:CO101" si="29">CN70-CL70</f>
        <v>216</v>
      </c>
      <c r="CP70" s="822">
        <v>3</v>
      </c>
      <c r="CQ70" s="817">
        <v>660</v>
      </c>
      <c r="CR70" s="817">
        <v>1320</v>
      </c>
      <c r="CS70" s="817">
        <v>99</v>
      </c>
      <c r="CT70" s="821">
        <v>198</v>
      </c>
      <c r="CU70" s="823">
        <v>3</v>
      </c>
      <c r="CV70" s="817">
        <v>40000</v>
      </c>
      <c r="CW70" s="817">
        <v>0</v>
      </c>
      <c r="CX70" s="817">
        <v>0</v>
      </c>
      <c r="CY70" s="817">
        <v>1</v>
      </c>
      <c r="CZ70" s="817">
        <v>247</v>
      </c>
      <c r="DA70" s="824">
        <v>2.644002525252525</v>
      </c>
      <c r="DB70" s="825">
        <v>13333</v>
      </c>
      <c r="DC70" s="826">
        <v>10.25</v>
      </c>
      <c r="DD70" s="817">
        <v>100000</v>
      </c>
      <c r="DE70" s="827">
        <v>0</v>
      </c>
      <c r="DF70" s="827">
        <v>1</v>
      </c>
      <c r="DG70" s="827">
        <v>1</v>
      </c>
      <c r="DH70" s="817">
        <v>702</v>
      </c>
      <c r="DI70" s="824">
        <v>6.3131313131313123</v>
      </c>
      <c r="DJ70" s="825">
        <v>9756.0975609756097</v>
      </c>
      <c r="DK70" s="828">
        <v>3</v>
      </c>
      <c r="DL70" s="829" t="s">
        <v>43</v>
      </c>
      <c r="DM70" s="830">
        <v>360</v>
      </c>
      <c r="DN70" s="831">
        <v>1100</v>
      </c>
      <c r="DO70" s="832">
        <v>3000</v>
      </c>
      <c r="DP70" s="832">
        <v>6000</v>
      </c>
      <c r="DQ70" s="832">
        <v>18000</v>
      </c>
      <c r="DR70" s="832">
        <v>36000</v>
      </c>
      <c r="DS70" s="832">
        <v>72000</v>
      </c>
      <c r="DT70" s="832">
        <v>144000</v>
      </c>
      <c r="DU70" s="832">
        <v>288000</v>
      </c>
      <c r="DV70" s="832">
        <v>576000</v>
      </c>
      <c r="DW70" s="832"/>
      <c r="DX70" s="833"/>
      <c r="DY70" s="834" t="s">
        <v>43</v>
      </c>
      <c r="DZ70" s="835"/>
      <c r="EA70" s="814"/>
      <c r="EB70" s="814"/>
      <c r="EC70" s="836"/>
      <c r="ED70" s="837"/>
      <c r="EE70" s="817"/>
      <c r="EF70" s="817"/>
      <c r="EG70" s="817"/>
      <c r="EH70" s="821"/>
      <c r="EI70" s="838"/>
      <c r="EJ70" s="839"/>
    </row>
    <row r="71" spans="2:140">
      <c r="B71" s="1125" t="s">
        <v>51</v>
      </c>
      <c r="C71" s="803" t="s">
        <v>52</v>
      </c>
      <c r="D71" s="804"/>
      <c r="E71" s="805" t="s">
        <v>43</v>
      </c>
      <c r="F71" s="806"/>
      <c r="G71" s="807"/>
      <c r="H71" s="808">
        <v>3</v>
      </c>
      <c r="I71" s="809" t="s">
        <v>283</v>
      </c>
      <c r="J71" s="810">
        <v>0.875</v>
      </c>
      <c r="K71" s="811">
        <v>0.15</v>
      </c>
      <c r="L71" s="812">
        <v>0.58974358974358976</v>
      </c>
      <c r="M71" s="813">
        <v>30</v>
      </c>
      <c r="N71" s="806">
        <v>22</v>
      </c>
      <c r="O71" s="814" t="s">
        <v>47</v>
      </c>
      <c r="P71" s="815" t="s">
        <v>98</v>
      </c>
      <c r="Q71" s="816">
        <v>115</v>
      </c>
      <c r="R71" s="817">
        <v>195</v>
      </c>
      <c r="S71" s="818">
        <v>805</v>
      </c>
      <c r="T71" s="819" t="s">
        <v>402</v>
      </c>
      <c r="U71" s="820" t="s">
        <v>47</v>
      </c>
      <c r="V71" s="816">
        <v>115</v>
      </c>
      <c r="W71" s="817">
        <v>195</v>
      </c>
      <c r="X71" s="817">
        <f t="shared" si="20"/>
        <v>337</v>
      </c>
      <c r="Y71" s="821">
        <f t="shared" si="21"/>
        <v>222</v>
      </c>
      <c r="Z71" s="822">
        <v>8</v>
      </c>
      <c r="AA71" s="817">
        <v>920</v>
      </c>
      <c r="AB71" s="817">
        <v>805</v>
      </c>
      <c r="AC71" s="817">
        <v>138</v>
      </c>
      <c r="AD71" s="821">
        <v>120</v>
      </c>
      <c r="AE71" s="823">
        <v>3</v>
      </c>
      <c r="AF71" s="817">
        <v>0</v>
      </c>
      <c r="AG71" s="817">
        <v>0</v>
      </c>
      <c r="AH71" s="817">
        <v>0</v>
      </c>
      <c r="AI71" s="817">
        <v>0</v>
      </c>
      <c r="AJ71" s="817">
        <v>414</v>
      </c>
      <c r="AK71" s="824">
        <v>0</v>
      </c>
      <c r="AL71" s="825">
        <v>0</v>
      </c>
      <c r="AM71" s="816">
        <v>172</v>
      </c>
      <c r="AN71" s="817">
        <v>292</v>
      </c>
      <c r="AO71" s="817">
        <f t="shared" si="22"/>
        <v>505</v>
      </c>
      <c r="AP71" s="821">
        <f t="shared" si="23"/>
        <v>333</v>
      </c>
      <c r="AQ71" s="822">
        <v>8</v>
      </c>
      <c r="AR71" s="817">
        <v>1376</v>
      </c>
      <c r="AS71" s="817">
        <v>1204</v>
      </c>
      <c r="AT71" s="817">
        <v>206</v>
      </c>
      <c r="AU71" s="821">
        <v>180</v>
      </c>
      <c r="AV71" s="823">
        <v>0.75</v>
      </c>
      <c r="AW71" s="817">
        <v>15000</v>
      </c>
      <c r="AX71" s="817">
        <v>0</v>
      </c>
      <c r="AY71" s="817">
        <v>0</v>
      </c>
      <c r="AZ71" s="817">
        <v>0</v>
      </c>
      <c r="BA71" s="817">
        <v>154</v>
      </c>
      <c r="BB71" s="824">
        <v>0.47510901162790703</v>
      </c>
      <c r="BC71" s="825">
        <v>20000</v>
      </c>
      <c r="BD71" s="816">
        <v>201</v>
      </c>
      <c r="BE71" s="817">
        <v>341</v>
      </c>
      <c r="BF71" s="817">
        <f t="shared" si="24"/>
        <v>590</v>
      </c>
      <c r="BG71" s="821">
        <f t="shared" si="25"/>
        <v>389</v>
      </c>
      <c r="BH71" s="822">
        <v>9</v>
      </c>
      <c r="BI71" s="817">
        <v>1809</v>
      </c>
      <c r="BJ71" s="817">
        <v>1582</v>
      </c>
      <c r="BK71" s="817">
        <v>271</v>
      </c>
      <c r="BL71" s="821">
        <v>237</v>
      </c>
      <c r="BM71" s="823">
        <v>2</v>
      </c>
      <c r="BN71" s="817">
        <v>25000</v>
      </c>
      <c r="BO71" s="817">
        <v>0</v>
      </c>
      <c r="BP71" s="817">
        <v>1</v>
      </c>
      <c r="BQ71" s="817">
        <v>0</v>
      </c>
      <c r="BR71" s="817">
        <v>407</v>
      </c>
      <c r="BS71" s="824">
        <v>0.6392113506541367</v>
      </c>
      <c r="BT71" s="825">
        <v>12500</v>
      </c>
      <c r="BU71" s="816">
        <v>218</v>
      </c>
      <c r="BV71" s="817">
        <v>370</v>
      </c>
      <c r="BW71" s="817">
        <f t="shared" si="26"/>
        <v>641</v>
      </c>
      <c r="BX71" s="821">
        <f t="shared" si="27"/>
        <v>423</v>
      </c>
      <c r="BY71" s="822">
        <v>9</v>
      </c>
      <c r="BZ71" s="817">
        <v>1962</v>
      </c>
      <c r="CA71" s="817">
        <v>1716</v>
      </c>
      <c r="CB71" s="817">
        <v>294</v>
      </c>
      <c r="CC71" s="821">
        <v>257</v>
      </c>
      <c r="CD71" s="823">
        <v>3</v>
      </c>
      <c r="CE71" s="817">
        <v>35000</v>
      </c>
      <c r="CF71" s="817">
        <v>0</v>
      </c>
      <c r="CG71" s="817">
        <v>0</v>
      </c>
      <c r="CH71" s="817">
        <v>0</v>
      </c>
      <c r="CI71" s="817">
        <v>662</v>
      </c>
      <c r="CJ71" s="824">
        <v>0.85854145429833506</v>
      </c>
      <c r="CK71" s="825">
        <v>11666</v>
      </c>
      <c r="CL71" s="816">
        <v>230</v>
      </c>
      <c r="CM71" s="817">
        <v>390</v>
      </c>
      <c r="CN71" s="817">
        <f t="shared" si="28"/>
        <v>675</v>
      </c>
      <c r="CO71" s="821">
        <f t="shared" si="29"/>
        <v>445</v>
      </c>
      <c r="CP71" s="822">
        <v>9</v>
      </c>
      <c r="CQ71" s="817">
        <v>2070</v>
      </c>
      <c r="CR71" s="817">
        <v>1811</v>
      </c>
      <c r="CS71" s="817">
        <v>310</v>
      </c>
      <c r="CT71" s="821">
        <v>271</v>
      </c>
      <c r="CU71" s="823">
        <v>3</v>
      </c>
      <c r="CV71" s="817">
        <v>45000</v>
      </c>
      <c r="CW71" s="817">
        <v>0</v>
      </c>
      <c r="CX71" s="817">
        <v>0</v>
      </c>
      <c r="CY71" s="817">
        <v>1</v>
      </c>
      <c r="CZ71" s="817">
        <v>931</v>
      </c>
      <c r="DA71" s="824">
        <v>1.0242753623188405</v>
      </c>
      <c r="DB71" s="825">
        <v>15000</v>
      </c>
      <c r="DC71" s="826">
        <v>11.75</v>
      </c>
      <c r="DD71" s="817">
        <v>120000</v>
      </c>
      <c r="DE71" s="827">
        <v>0</v>
      </c>
      <c r="DF71" s="827">
        <v>1</v>
      </c>
      <c r="DG71" s="827">
        <v>1</v>
      </c>
      <c r="DH71" s="817">
        <v>2568</v>
      </c>
      <c r="DI71" s="824">
        <v>2.4154589371980677</v>
      </c>
      <c r="DJ71" s="825">
        <v>10212.765957446809</v>
      </c>
      <c r="DK71" s="828">
        <v>3</v>
      </c>
      <c r="DL71" s="829" t="s">
        <v>43</v>
      </c>
      <c r="DM71" s="830">
        <v>600</v>
      </c>
      <c r="DN71" s="831">
        <v>1800</v>
      </c>
      <c r="DO71" s="832">
        <v>3500</v>
      </c>
      <c r="DP71" s="832">
        <v>7000</v>
      </c>
      <c r="DQ71" s="832">
        <v>21000</v>
      </c>
      <c r="DR71" s="832">
        <v>42000</v>
      </c>
      <c r="DS71" s="832">
        <v>84000</v>
      </c>
      <c r="DT71" s="832">
        <v>168000</v>
      </c>
      <c r="DU71" s="832">
        <v>336000</v>
      </c>
      <c r="DV71" s="832">
        <v>672000</v>
      </c>
      <c r="DW71" s="832"/>
      <c r="DX71" s="833"/>
      <c r="DY71" s="834" t="s">
        <v>43</v>
      </c>
      <c r="DZ71" s="835"/>
      <c r="EA71" s="814"/>
      <c r="EB71" s="814"/>
      <c r="EC71" s="836"/>
      <c r="ED71" s="837"/>
      <c r="EE71" s="817"/>
      <c r="EF71" s="817"/>
      <c r="EG71" s="817"/>
      <c r="EH71" s="821"/>
      <c r="EI71" s="838"/>
      <c r="EJ71" s="839"/>
    </row>
    <row r="72" spans="2:140">
      <c r="B72" s="1125" t="s">
        <v>73</v>
      </c>
      <c r="C72" s="803" t="s">
        <v>52</v>
      </c>
      <c r="D72" s="804"/>
      <c r="E72" s="805" t="s">
        <v>43</v>
      </c>
      <c r="F72" s="806"/>
      <c r="G72" s="807"/>
      <c r="H72" s="808">
        <v>3</v>
      </c>
      <c r="I72" s="809" t="s">
        <v>283</v>
      </c>
      <c r="J72" s="810">
        <v>0.875</v>
      </c>
      <c r="K72" s="811">
        <v>0.15</v>
      </c>
      <c r="L72" s="812">
        <v>0.59708737864077666</v>
      </c>
      <c r="M72" s="813">
        <v>30</v>
      </c>
      <c r="N72" s="806">
        <v>25</v>
      </c>
      <c r="O72" s="814" t="s">
        <v>47</v>
      </c>
      <c r="P72" s="815" t="s">
        <v>98</v>
      </c>
      <c r="Q72" s="816">
        <v>123</v>
      </c>
      <c r="R72" s="817">
        <v>206</v>
      </c>
      <c r="S72" s="818">
        <v>861</v>
      </c>
      <c r="T72" s="819" t="s">
        <v>403</v>
      </c>
      <c r="U72" s="820" t="s">
        <v>47</v>
      </c>
      <c r="V72" s="816">
        <v>123</v>
      </c>
      <c r="W72" s="817">
        <v>206</v>
      </c>
      <c r="X72" s="817">
        <f t="shared" si="20"/>
        <v>356</v>
      </c>
      <c r="Y72" s="821">
        <f t="shared" si="21"/>
        <v>233</v>
      </c>
      <c r="Z72" s="822">
        <v>8</v>
      </c>
      <c r="AA72" s="817">
        <v>984</v>
      </c>
      <c r="AB72" s="817">
        <v>861</v>
      </c>
      <c r="AC72" s="817">
        <v>147</v>
      </c>
      <c r="AD72" s="821">
        <v>129</v>
      </c>
      <c r="AE72" s="823">
        <v>3.5</v>
      </c>
      <c r="AF72" s="817">
        <v>0</v>
      </c>
      <c r="AG72" s="817">
        <v>0</v>
      </c>
      <c r="AH72" s="817">
        <v>0</v>
      </c>
      <c r="AI72" s="817">
        <v>0</v>
      </c>
      <c r="AJ72" s="817">
        <v>516</v>
      </c>
      <c r="AK72" s="824">
        <v>0</v>
      </c>
      <c r="AL72" s="825">
        <v>0</v>
      </c>
      <c r="AM72" s="816">
        <v>184</v>
      </c>
      <c r="AN72" s="817">
        <v>309</v>
      </c>
      <c r="AO72" s="817">
        <f t="shared" si="22"/>
        <v>535</v>
      </c>
      <c r="AP72" s="821">
        <f t="shared" si="23"/>
        <v>351</v>
      </c>
      <c r="AQ72" s="822">
        <v>8</v>
      </c>
      <c r="AR72" s="817">
        <v>1472</v>
      </c>
      <c r="AS72" s="817">
        <v>1288</v>
      </c>
      <c r="AT72" s="817">
        <v>220</v>
      </c>
      <c r="AU72" s="821">
        <v>193</v>
      </c>
      <c r="AV72" s="823">
        <v>1</v>
      </c>
      <c r="AW72" s="817">
        <v>20000</v>
      </c>
      <c r="AX72" s="817">
        <v>0</v>
      </c>
      <c r="AY72" s="817">
        <v>0</v>
      </c>
      <c r="AZ72" s="817">
        <v>0</v>
      </c>
      <c r="BA72" s="817">
        <v>196</v>
      </c>
      <c r="BB72" s="824">
        <v>0.59397644927536231</v>
      </c>
      <c r="BC72" s="825">
        <v>20000</v>
      </c>
      <c r="BD72" s="816">
        <v>215</v>
      </c>
      <c r="BE72" s="817">
        <v>360</v>
      </c>
      <c r="BF72" s="817">
        <f t="shared" si="24"/>
        <v>623</v>
      </c>
      <c r="BG72" s="821">
        <f t="shared" si="25"/>
        <v>408</v>
      </c>
      <c r="BH72" s="822">
        <v>9</v>
      </c>
      <c r="BI72" s="817">
        <v>1935</v>
      </c>
      <c r="BJ72" s="817">
        <v>1693</v>
      </c>
      <c r="BK72" s="817">
        <v>290</v>
      </c>
      <c r="BL72" s="821">
        <v>253</v>
      </c>
      <c r="BM72" s="823">
        <v>2</v>
      </c>
      <c r="BN72" s="817">
        <v>30000</v>
      </c>
      <c r="BO72" s="817">
        <v>0</v>
      </c>
      <c r="BP72" s="817">
        <v>1</v>
      </c>
      <c r="BQ72" s="817">
        <v>0</v>
      </c>
      <c r="BR72" s="817">
        <v>507</v>
      </c>
      <c r="BS72" s="824">
        <v>0.70938845822566743</v>
      </c>
      <c r="BT72" s="825">
        <v>15000</v>
      </c>
      <c r="BU72" s="816">
        <v>233</v>
      </c>
      <c r="BV72" s="817">
        <v>391</v>
      </c>
      <c r="BW72" s="817">
        <f t="shared" si="26"/>
        <v>677</v>
      </c>
      <c r="BX72" s="821">
        <f t="shared" si="27"/>
        <v>444</v>
      </c>
      <c r="BY72" s="822">
        <v>9</v>
      </c>
      <c r="BZ72" s="817">
        <v>2097</v>
      </c>
      <c r="CA72" s="817">
        <v>1834</v>
      </c>
      <c r="CB72" s="817">
        <v>314</v>
      </c>
      <c r="CC72" s="821">
        <v>275</v>
      </c>
      <c r="CD72" s="823">
        <v>3</v>
      </c>
      <c r="CE72" s="817">
        <v>40000</v>
      </c>
      <c r="CF72" s="817">
        <v>0</v>
      </c>
      <c r="CG72" s="817">
        <v>0</v>
      </c>
      <c r="CH72" s="817">
        <v>0</v>
      </c>
      <c r="CI72" s="817">
        <v>830</v>
      </c>
      <c r="CJ72" s="824">
        <v>0.91012955015100927</v>
      </c>
      <c r="CK72" s="825">
        <v>13333</v>
      </c>
      <c r="CL72" s="816">
        <v>246</v>
      </c>
      <c r="CM72" s="817">
        <v>412</v>
      </c>
      <c r="CN72" s="817">
        <f t="shared" si="28"/>
        <v>713</v>
      </c>
      <c r="CO72" s="821">
        <f t="shared" si="29"/>
        <v>467</v>
      </c>
      <c r="CP72" s="822">
        <v>9</v>
      </c>
      <c r="CQ72" s="817">
        <v>2214</v>
      </c>
      <c r="CR72" s="817">
        <v>1937</v>
      </c>
      <c r="CS72" s="817">
        <v>332</v>
      </c>
      <c r="CT72" s="821">
        <v>290</v>
      </c>
      <c r="CU72" s="823">
        <v>4</v>
      </c>
      <c r="CV72" s="817">
        <v>50000</v>
      </c>
      <c r="CW72" s="817">
        <v>0</v>
      </c>
      <c r="CX72" s="817">
        <v>0</v>
      </c>
      <c r="CY72" s="817">
        <v>1</v>
      </c>
      <c r="CZ72" s="817">
        <v>1162</v>
      </c>
      <c r="DA72" s="824">
        <v>1.0988407106293285</v>
      </c>
      <c r="DB72" s="825">
        <v>12500</v>
      </c>
      <c r="DC72" s="826">
        <v>13.5</v>
      </c>
      <c r="DD72" s="817">
        <v>140000</v>
      </c>
      <c r="DE72" s="827">
        <v>0</v>
      </c>
      <c r="DF72" s="827">
        <v>1</v>
      </c>
      <c r="DG72" s="827">
        <v>1</v>
      </c>
      <c r="DH72" s="817">
        <v>3211</v>
      </c>
      <c r="DI72" s="824">
        <v>2.6347485697079196</v>
      </c>
      <c r="DJ72" s="825">
        <v>10370.37037037037</v>
      </c>
      <c r="DK72" s="828">
        <v>4</v>
      </c>
      <c r="DL72" s="829" t="s">
        <v>43</v>
      </c>
      <c r="DM72" s="830">
        <v>1000</v>
      </c>
      <c r="DN72" s="831">
        <v>3000</v>
      </c>
      <c r="DO72" s="832">
        <v>6000</v>
      </c>
      <c r="DP72" s="832">
        <v>12000</v>
      </c>
      <c r="DQ72" s="832">
        <v>24000</v>
      </c>
      <c r="DR72" s="832">
        <v>48000</v>
      </c>
      <c r="DS72" s="832">
        <v>96000</v>
      </c>
      <c r="DT72" s="832">
        <v>192000</v>
      </c>
      <c r="DU72" s="832">
        <v>384000</v>
      </c>
      <c r="DV72" s="832">
        <v>768000</v>
      </c>
      <c r="DW72" s="832"/>
      <c r="DX72" s="833"/>
      <c r="DY72" s="834" t="s">
        <v>43</v>
      </c>
      <c r="DZ72" s="835"/>
      <c r="EA72" s="814"/>
      <c r="EB72" s="814"/>
      <c r="EC72" s="836"/>
      <c r="ED72" s="837"/>
      <c r="EE72" s="817"/>
      <c r="EF72" s="817"/>
      <c r="EG72" s="817"/>
      <c r="EH72" s="821"/>
      <c r="EI72" s="838"/>
      <c r="EJ72" s="839"/>
    </row>
    <row r="73" spans="2:140">
      <c r="B73" s="1125" t="s">
        <v>152</v>
      </c>
      <c r="C73" s="803" t="s">
        <v>52</v>
      </c>
      <c r="D73" s="804"/>
      <c r="E73" s="805" t="s">
        <v>43</v>
      </c>
      <c r="F73" s="806"/>
      <c r="G73" s="807"/>
      <c r="H73" s="808">
        <v>7</v>
      </c>
      <c r="I73" s="809" t="s">
        <v>269</v>
      </c>
      <c r="J73" s="810">
        <v>0.5</v>
      </c>
      <c r="K73" s="811">
        <v>0.15</v>
      </c>
      <c r="L73" s="812">
        <v>1</v>
      </c>
      <c r="M73" s="813">
        <v>30</v>
      </c>
      <c r="N73" s="806">
        <v>7003</v>
      </c>
      <c r="O73" s="840">
        <v>42184</v>
      </c>
      <c r="P73" s="815" t="s">
        <v>98</v>
      </c>
      <c r="Q73" s="816">
        <v>220</v>
      </c>
      <c r="R73" s="817">
        <v>220</v>
      </c>
      <c r="S73" s="818">
        <v>660</v>
      </c>
      <c r="T73" s="819" t="s">
        <v>404</v>
      </c>
      <c r="U73" s="820" t="s">
        <v>47</v>
      </c>
      <c r="V73" s="816">
        <v>220</v>
      </c>
      <c r="W73" s="817">
        <v>220</v>
      </c>
      <c r="X73" s="817">
        <f t="shared" si="20"/>
        <v>381</v>
      </c>
      <c r="Y73" s="821">
        <f t="shared" si="21"/>
        <v>161</v>
      </c>
      <c r="Z73" s="822">
        <v>6</v>
      </c>
      <c r="AA73" s="817">
        <v>1320</v>
      </c>
      <c r="AB73" s="817">
        <v>660</v>
      </c>
      <c r="AC73" s="817">
        <v>198</v>
      </c>
      <c r="AD73" s="821">
        <v>99</v>
      </c>
      <c r="AE73" s="823">
        <v>168</v>
      </c>
      <c r="AF73" s="817">
        <v>0</v>
      </c>
      <c r="AG73" s="817">
        <v>0</v>
      </c>
      <c r="AH73" s="817">
        <v>0</v>
      </c>
      <c r="AI73" s="817">
        <v>0</v>
      </c>
      <c r="AJ73" s="817">
        <v>10000</v>
      </c>
      <c r="AK73" s="824">
        <v>0</v>
      </c>
      <c r="AL73" s="825">
        <v>0</v>
      </c>
      <c r="AM73" s="816">
        <v>330</v>
      </c>
      <c r="AN73" s="817">
        <v>330</v>
      </c>
      <c r="AO73" s="817">
        <f t="shared" si="22"/>
        <v>571</v>
      </c>
      <c r="AP73" s="821">
        <f t="shared" si="23"/>
        <v>241</v>
      </c>
      <c r="AQ73" s="822">
        <v>6</v>
      </c>
      <c r="AR73" s="817">
        <v>1980</v>
      </c>
      <c r="AS73" s="817">
        <v>990</v>
      </c>
      <c r="AT73" s="817">
        <v>297</v>
      </c>
      <c r="AU73" s="821">
        <v>148</v>
      </c>
      <c r="AV73" s="823">
        <v>42</v>
      </c>
      <c r="AW73" s="817">
        <v>1000000</v>
      </c>
      <c r="AX73" s="817">
        <v>0</v>
      </c>
      <c r="AY73" s="817">
        <v>0</v>
      </c>
      <c r="AZ73" s="817">
        <v>1</v>
      </c>
      <c r="BA73" s="817">
        <v>10000</v>
      </c>
      <c r="BB73" s="824">
        <v>22.210437710437713</v>
      </c>
      <c r="BC73" s="825">
        <v>23809</v>
      </c>
      <c r="BD73" s="816">
        <v>385</v>
      </c>
      <c r="BE73" s="817">
        <v>385</v>
      </c>
      <c r="BF73" s="817">
        <f t="shared" si="24"/>
        <v>667</v>
      </c>
      <c r="BG73" s="821">
        <f t="shared" si="25"/>
        <v>282</v>
      </c>
      <c r="BH73" s="822">
        <v>6</v>
      </c>
      <c r="BI73" s="817">
        <v>2310</v>
      </c>
      <c r="BJ73" s="817">
        <v>1155</v>
      </c>
      <c r="BK73" s="817">
        <v>346</v>
      </c>
      <c r="BL73" s="821">
        <v>173</v>
      </c>
      <c r="BM73" s="823">
        <v>84</v>
      </c>
      <c r="BN73" s="817">
        <v>1500000</v>
      </c>
      <c r="BO73" s="817">
        <v>0</v>
      </c>
      <c r="BP73" s="817">
        <v>0</v>
      </c>
      <c r="BQ73" s="817">
        <v>2</v>
      </c>
      <c r="BR73" s="817">
        <v>10000</v>
      </c>
      <c r="BS73" s="824">
        <v>30.056277056277057</v>
      </c>
      <c r="BT73" s="825">
        <v>17857</v>
      </c>
      <c r="BU73" s="816">
        <v>418</v>
      </c>
      <c r="BV73" s="817">
        <v>418</v>
      </c>
      <c r="BW73" s="817">
        <f t="shared" si="26"/>
        <v>724</v>
      </c>
      <c r="BX73" s="821">
        <f t="shared" si="27"/>
        <v>306</v>
      </c>
      <c r="BY73" s="822">
        <v>6</v>
      </c>
      <c r="BZ73" s="817">
        <v>2508</v>
      </c>
      <c r="CA73" s="817">
        <v>1254</v>
      </c>
      <c r="CB73" s="817">
        <v>376</v>
      </c>
      <c r="CC73" s="821">
        <v>188</v>
      </c>
      <c r="CD73" s="823">
        <v>126</v>
      </c>
      <c r="CE73" s="817">
        <v>2000000</v>
      </c>
      <c r="CF73" s="817">
        <v>0</v>
      </c>
      <c r="CG73" s="817">
        <v>0</v>
      </c>
      <c r="CH73" s="817">
        <v>3</v>
      </c>
      <c r="CI73" s="817">
        <v>10000</v>
      </c>
      <c r="CJ73" s="824">
        <v>38.062533227006909</v>
      </c>
      <c r="CK73" s="825">
        <v>15873</v>
      </c>
      <c r="CL73" s="816">
        <v>440</v>
      </c>
      <c r="CM73" s="817">
        <v>440</v>
      </c>
      <c r="CN73" s="817">
        <f t="shared" si="28"/>
        <v>762</v>
      </c>
      <c r="CO73" s="821">
        <f t="shared" si="29"/>
        <v>322</v>
      </c>
      <c r="CP73" s="822">
        <v>6</v>
      </c>
      <c r="CQ73" s="817">
        <v>2640</v>
      </c>
      <c r="CR73" s="817">
        <v>1320</v>
      </c>
      <c r="CS73" s="817">
        <v>396</v>
      </c>
      <c r="CT73" s="821">
        <v>198</v>
      </c>
      <c r="CU73" s="823">
        <v>168</v>
      </c>
      <c r="CV73" s="817">
        <v>2500000</v>
      </c>
      <c r="CW73" s="817">
        <v>0</v>
      </c>
      <c r="CX73" s="817">
        <v>0</v>
      </c>
      <c r="CY73" s="817">
        <v>5</v>
      </c>
      <c r="CZ73" s="817">
        <v>10000</v>
      </c>
      <c r="DA73" s="824">
        <v>46.107070707070704</v>
      </c>
      <c r="DB73" s="825">
        <v>14880</v>
      </c>
      <c r="DC73" s="826">
        <v>588</v>
      </c>
      <c r="DD73" s="817">
        <v>7000000</v>
      </c>
      <c r="DE73" s="827">
        <v>0</v>
      </c>
      <c r="DF73" s="827">
        <v>0</v>
      </c>
      <c r="DG73" s="827">
        <v>11</v>
      </c>
      <c r="DH73" s="817">
        <v>50000</v>
      </c>
      <c r="DI73" s="824">
        <v>110.47979797979798</v>
      </c>
      <c r="DJ73" s="825">
        <v>11904.761904761905</v>
      </c>
      <c r="DK73" s="828">
        <v>160</v>
      </c>
      <c r="DL73" s="829" t="s">
        <v>43</v>
      </c>
      <c r="DM73" s="830">
        <v>10000</v>
      </c>
      <c r="DN73" s="831">
        <v>150000</v>
      </c>
      <c r="DO73" s="832">
        <v>300000</v>
      </c>
      <c r="DP73" s="832">
        <v>600000</v>
      </c>
      <c r="DQ73" s="832"/>
      <c r="DR73" s="832"/>
      <c r="DS73" s="832"/>
      <c r="DT73" s="832"/>
      <c r="DU73" s="832"/>
      <c r="DV73" s="832"/>
      <c r="DW73" s="832"/>
      <c r="DX73" s="833"/>
      <c r="DY73" s="834" t="s">
        <v>43</v>
      </c>
      <c r="DZ73" s="835"/>
      <c r="EA73" s="814"/>
      <c r="EB73" s="814"/>
      <c r="EC73" s="836"/>
      <c r="ED73" s="837"/>
      <c r="EE73" s="817"/>
      <c r="EF73" s="817"/>
      <c r="EG73" s="817"/>
      <c r="EH73" s="821"/>
      <c r="EI73" s="838"/>
      <c r="EJ73" s="839"/>
    </row>
    <row r="74" spans="2:140">
      <c r="B74" s="1125" t="s">
        <v>116</v>
      </c>
      <c r="C74" s="803" t="s">
        <v>52</v>
      </c>
      <c r="D74" s="804"/>
      <c r="E74" s="805"/>
      <c r="F74" s="806" t="s">
        <v>43</v>
      </c>
      <c r="G74" s="807"/>
      <c r="H74" s="808">
        <v>7</v>
      </c>
      <c r="I74" s="809" t="s">
        <v>269</v>
      </c>
      <c r="J74" s="810">
        <v>0.5</v>
      </c>
      <c r="K74" s="811">
        <v>0.13250000000000001</v>
      </c>
      <c r="L74" s="812">
        <v>1</v>
      </c>
      <c r="M74" s="813">
        <v>30</v>
      </c>
      <c r="N74" s="806">
        <v>7008</v>
      </c>
      <c r="O74" s="840">
        <v>42184</v>
      </c>
      <c r="P74" s="815" t="s">
        <v>98</v>
      </c>
      <c r="Q74" s="816">
        <v>242</v>
      </c>
      <c r="R74" s="817">
        <v>242</v>
      </c>
      <c r="S74" s="818">
        <v>726</v>
      </c>
      <c r="T74" s="819" t="s">
        <v>405</v>
      </c>
      <c r="U74" s="820" t="s">
        <v>47</v>
      </c>
      <c r="V74" s="816">
        <v>242</v>
      </c>
      <c r="W74" s="817">
        <v>242</v>
      </c>
      <c r="X74" s="817">
        <f t="shared" si="20"/>
        <v>419</v>
      </c>
      <c r="Y74" s="821">
        <f t="shared" si="21"/>
        <v>177</v>
      </c>
      <c r="Z74" s="822">
        <v>6</v>
      </c>
      <c r="AA74" s="817">
        <v>1452</v>
      </c>
      <c r="AB74" s="817">
        <v>726</v>
      </c>
      <c r="AC74" s="817">
        <v>192</v>
      </c>
      <c r="AD74" s="821">
        <v>96</v>
      </c>
      <c r="AE74" s="823">
        <v>192</v>
      </c>
      <c r="AF74" s="817">
        <v>0</v>
      </c>
      <c r="AG74" s="817">
        <v>0</v>
      </c>
      <c r="AH74" s="817">
        <v>0</v>
      </c>
      <c r="AI74" s="817">
        <v>0</v>
      </c>
      <c r="AJ74" s="817">
        <v>10000</v>
      </c>
      <c r="AK74" s="824">
        <v>0</v>
      </c>
      <c r="AL74" s="825">
        <v>0</v>
      </c>
      <c r="AM74" s="816">
        <v>363</v>
      </c>
      <c r="AN74" s="817">
        <v>363</v>
      </c>
      <c r="AO74" s="817">
        <f t="shared" si="22"/>
        <v>628</v>
      </c>
      <c r="AP74" s="821">
        <f t="shared" si="23"/>
        <v>265</v>
      </c>
      <c r="AQ74" s="822">
        <v>6</v>
      </c>
      <c r="AR74" s="817">
        <v>2178</v>
      </c>
      <c r="AS74" s="817">
        <v>1089</v>
      </c>
      <c r="AT74" s="817">
        <v>288</v>
      </c>
      <c r="AU74" s="821">
        <v>144</v>
      </c>
      <c r="AV74" s="823">
        <v>48</v>
      </c>
      <c r="AW74" s="817">
        <v>2300000</v>
      </c>
      <c r="AX74" s="817">
        <v>0</v>
      </c>
      <c r="AY74" s="817">
        <v>0</v>
      </c>
      <c r="AZ74" s="817">
        <v>1</v>
      </c>
      <c r="BA74" s="817">
        <v>10000</v>
      </c>
      <c r="BB74" s="824">
        <v>45.333945515763702</v>
      </c>
      <c r="BC74" s="825">
        <v>47916</v>
      </c>
      <c r="BD74" s="816">
        <v>424</v>
      </c>
      <c r="BE74" s="817">
        <v>424</v>
      </c>
      <c r="BF74" s="817">
        <f t="shared" si="24"/>
        <v>734</v>
      </c>
      <c r="BG74" s="821">
        <f t="shared" si="25"/>
        <v>310</v>
      </c>
      <c r="BH74" s="822">
        <v>6</v>
      </c>
      <c r="BI74" s="817">
        <v>2544</v>
      </c>
      <c r="BJ74" s="817">
        <v>1272</v>
      </c>
      <c r="BK74" s="817">
        <v>337</v>
      </c>
      <c r="BL74" s="821">
        <v>168</v>
      </c>
      <c r="BM74" s="823">
        <v>96</v>
      </c>
      <c r="BN74" s="817">
        <v>3500000</v>
      </c>
      <c r="BO74" s="817">
        <v>0</v>
      </c>
      <c r="BP74" s="817">
        <v>0</v>
      </c>
      <c r="BQ74" s="817">
        <v>2</v>
      </c>
      <c r="BR74" s="817">
        <v>10000</v>
      </c>
      <c r="BS74" s="824">
        <v>60.748951781970646</v>
      </c>
      <c r="BT74" s="825">
        <v>36458</v>
      </c>
      <c r="BU74" s="816">
        <v>459</v>
      </c>
      <c r="BV74" s="817">
        <v>459</v>
      </c>
      <c r="BW74" s="817">
        <f t="shared" si="26"/>
        <v>795</v>
      </c>
      <c r="BX74" s="821">
        <f t="shared" si="27"/>
        <v>336</v>
      </c>
      <c r="BY74" s="822">
        <v>6</v>
      </c>
      <c r="BZ74" s="817">
        <v>2754</v>
      </c>
      <c r="CA74" s="817">
        <v>1377</v>
      </c>
      <c r="CB74" s="817">
        <v>364</v>
      </c>
      <c r="CC74" s="821">
        <v>182</v>
      </c>
      <c r="CD74" s="823">
        <v>144</v>
      </c>
      <c r="CE74" s="817">
        <v>4700000</v>
      </c>
      <c r="CF74" s="817">
        <v>0</v>
      </c>
      <c r="CG74" s="817">
        <v>0</v>
      </c>
      <c r="CH74" s="817">
        <v>3</v>
      </c>
      <c r="CI74" s="817">
        <v>10000</v>
      </c>
      <c r="CJ74" s="824">
        <v>76.651174049866867</v>
      </c>
      <c r="CK74" s="825">
        <v>32638</v>
      </c>
      <c r="CL74" s="816">
        <v>484</v>
      </c>
      <c r="CM74" s="817">
        <v>484</v>
      </c>
      <c r="CN74" s="817">
        <f t="shared" si="28"/>
        <v>838</v>
      </c>
      <c r="CO74" s="821">
        <f t="shared" si="29"/>
        <v>354</v>
      </c>
      <c r="CP74" s="822">
        <v>6</v>
      </c>
      <c r="CQ74" s="817">
        <v>2904</v>
      </c>
      <c r="CR74" s="817">
        <v>1452</v>
      </c>
      <c r="CS74" s="817">
        <v>384</v>
      </c>
      <c r="CT74" s="821">
        <v>192</v>
      </c>
      <c r="CU74" s="823">
        <v>192</v>
      </c>
      <c r="CV74" s="817">
        <v>5800000</v>
      </c>
      <c r="CW74" s="817">
        <v>0</v>
      </c>
      <c r="CX74" s="817">
        <v>0</v>
      </c>
      <c r="CY74" s="817">
        <v>5</v>
      </c>
      <c r="CZ74" s="817">
        <v>10000</v>
      </c>
      <c r="DA74" s="824">
        <v>90.805325987144172</v>
      </c>
      <c r="DB74" s="825">
        <v>30208</v>
      </c>
      <c r="DC74" s="826">
        <v>672</v>
      </c>
      <c r="DD74" s="817">
        <v>16300000</v>
      </c>
      <c r="DE74" s="827">
        <v>0</v>
      </c>
      <c r="DF74" s="827">
        <v>0</v>
      </c>
      <c r="DG74" s="827">
        <v>11</v>
      </c>
      <c r="DH74" s="817">
        <v>50000</v>
      </c>
      <c r="DI74" s="824">
        <v>233.87281910009185</v>
      </c>
      <c r="DJ74" s="825">
        <v>24255.952380952382</v>
      </c>
      <c r="DK74" s="828">
        <v>183</v>
      </c>
      <c r="DL74" s="829" t="s">
        <v>43</v>
      </c>
      <c r="DM74" s="830">
        <v>10000</v>
      </c>
      <c r="DN74" s="831">
        <v>350000</v>
      </c>
      <c r="DO74" s="832">
        <v>700000</v>
      </c>
      <c r="DP74" s="832"/>
      <c r="DQ74" s="832"/>
      <c r="DR74" s="832"/>
      <c r="DS74" s="832"/>
      <c r="DT74" s="832"/>
      <c r="DU74" s="832"/>
      <c r="DV74" s="832"/>
      <c r="DW74" s="832"/>
      <c r="DX74" s="833"/>
      <c r="DY74" s="834" t="s">
        <v>43</v>
      </c>
      <c r="DZ74" s="835"/>
      <c r="EA74" s="814"/>
      <c r="EB74" s="814"/>
      <c r="EC74" s="836"/>
      <c r="ED74" s="837"/>
      <c r="EE74" s="817"/>
      <c r="EF74" s="817"/>
      <c r="EG74" s="817"/>
      <c r="EH74" s="821"/>
      <c r="EI74" s="838"/>
      <c r="EJ74" s="839"/>
    </row>
    <row r="75" spans="2:140">
      <c r="B75" s="1125" t="s">
        <v>215</v>
      </c>
      <c r="C75" s="803" t="s">
        <v>52</v>
      </c>
      <c r="D75" s="804"/>
      <c r="E75" s="805" t="s">
        <v>43</v>
      </c>
      <c r="F75" s="806"/>
      <c r="G75" s="807"/>
      <c r="H75" s="808">
        <v>7</v>
      </c>
      <c r="I75" s="809" t="s">
        <v>269</v>
      </c>
      <c r="J75" s="810">
        <v>3</v>
      </c>
      <c r="K75" s="811">
        <v>0.15</v>
      </c>
      <c r="L75" s="812">
        <v>2</v>
      </c>
      <c r="M75" s="813">
        <v>30</v>
      </c>
      <c r="N75" s="806">
        <v>7012</v>
      </c>
      <c r="O75" s="840">
        <v>42348</v>
      </c>
      <c r="P75" s="815" t="s">
        <v>206</v>
      </c>
      <c r="Q75" s="816">
        <v>1000</v>
      </c>
      <c r="R75" s="817">
        <v>500</v>
      </c>
      <c r="S75" s="818">
        <v>30000</v>
      </c>
      <c r="T75" s="819" t="s">
        <v>406</v>
      </c>
      <c r="U75" s="820" t="s">
        <v>47</v>
      </c>
      <c r="V75" s="816">
        <v>334</v>
      </c>
      <c r="W75" s="817">
        <v>167</v>
      </c>
      <c r="X75" s="817">
        <f t="shared" si="20"/>
        <v>289</v>
      </c>
      <c r="Y75" s="821">
        <f t="shared" si="21"/>
        <v>-45</v>
      </c>
      <c r="Z75" s="822">
        <v>9</v>
      </c>
      <c r="AA75" s="817">
        <v>3006</v>
      </c>
      <c r="AB75" s="817">
        <v>9018</v>
      </c>
      <c r="AC75" s="817">
        <v>450</v>
      </c>
      <c r="AD75" s="821">
        <v>1352</v>
      </c>
      <c r="AE75" s="823">
        <v>6</v>
      </c>
      <c r="AF75" s="817">
        <v>0</v>
      </c>
      <c r="AG75" s="817">
        <v>0</v>
      </c>
      <c r="AH75" s="817">
        <v>0</v>
      </c>
      <c r="AI75" s="817">
        <v>0</v>
      </c>
      <c r="AJ75" s="817">
        <v>10000</v>
      </c>
      <c r="AK75" s="824">
        <v>0</v>
      </c>
      <c r="AL75" s="825">
        <v>0</v>
      </c>
      <c r="AM75" s="816">
        <v>417</v>
      </c>
      <c r="AN75" s="817">
        <v>209</v>
      </c>
      <c r="AO75" s="817">
        <f t="shared" si="22"/>
        <v>362</v>
      </c>
      <c r="AP75" s="821">
        <f t="shared" si="23"/>
        <v>-55</v>
      </c>
      <c r="AQ75" s="822">
        <v>9</v>
      </c>
      <c r="AR75" s="817">
        <v>3753</v>
      </c>
      <c r="AS75" s="817">
        <v>11259</v>
      </c>
      <c r="AT75" s="817">
        <v>562</v>
      </c>
      <c r="AU75" s="821">
        <v>1688</v>
      </c>
      <c r="AV75" s="823">
        <v>48</v>
      </c>
      <c r="AW75" s="817">
        <v>2800000</v>
      </c>
      <c r="AX75" s="817">
        <v>0</v>
      </c>
      <c r="AY75" s="817">
        <v>0</v>
      </c>
      <c r="AZ75" s="817">
        <v>3</v>
      </c>
      <c r="BA75" s="976">
        <v>10000</v>
      </c>
      <c r="BB75" s="824">
        <v>32.688160582644997</v>
      </c>
      <c r="BC75" s="825">
        <v>58333</v>
      </c>
      <c r="BD75" s="977">
        <v>500</v>
      </c>
      <c r="BE75" s="976">
        <v>250</v>
      </c>
      <c r="BF75" s="976">
        <f t="shared" si="24"/>
        <v>433</v>
      </c>
      <c r="BG75" s="978">
        <f t="shared" si="25"/>
        <v>-67</v>
      </c>
      <c r="BH75" s="979">
        <v>9</v>
      </c>
      <c r="BI75" s="976">
        <v>4500</v>
      </c>
      <c r="BJ75" s="976">
        <v>13500</v>
      </c>
      <c r="BK75" s="976">
        <v>675</v>
      </c>
      <c r="BL75" s="978">
        <v>2025</v>
      </c>
      <c r="BM75" s="981">
        <v>96</v>
      </c>
      <c r="BN75" s="976">
        <v>4200000</v>
      </c>
      <c r="BO75" s="976">
        <v>0</v>
      </c>
      <c r="BP75" s="976">
        <v>0</v>
      </c>
      <c r="BQ75" s="976">
        <v>5</v>
      </c>
      <c r="BR75" s="976">
        <v>10000</v>
      </c>
      <c r="BS75" s="980">
        <v>42.224888888888891</v>
      </c>
      <c r="BT75" s="982">
        <v>43750</v>
      </c>
      <c r="BU75" s="977">
        <v>667</v>
      </c>
      <c r="BV75" s="976">
        <v>334</v>
      </c>
      <c r="BW75" s="976">
        <f t="shared" si="26"/>
        <v>578</v>
      </c>
      <c r="BX75" s="978">
        <f t="shared" si="27"/>
        <v>-89</v>
      </c>
      <c r="BY75" s="979">
        <v>9</v>
      </c>
      <c r="BZ75" s="976">
        <v>6003</v>
      </c>
      <c r="CA75" s="976">
        <v>18009</v>
      </c>
      <c r="CB75" s="976">
        <v>900</v>
      </c>
      <c r="CC75" s="978">
        <v>2701</v>
      </c>
      <c r="CD75" s="823"/>
      <c r="CE75" s="817"/>
      <c r="CF75" s="817"/>
      <c r="CG75" s="817"/>
      <c r="CH75" s="817"/>
      <c r="CI75" s="976">
        <v>10000</v>
      </c>
      <c r="CJ75" s="980">
        <v>0</v>
      </c>
      <c r="CK75" s="825">
        <v>0</v>
      </c>
      <c r="CL75" s="977">
        <v>1000</v>
      </c>
      <c r="CM75" s="976">
        <v>500</v>
      </c>
      <c r="CN75" s="976">
        <f t="shared" si="28"/>
        <v>866</v>
      </c>
      <c r="CO75" s="978">
        <f t="shared" si="29"/>
        <v>-134</v>
      </c>
      <c r="CP75" s="979">
        <v>10</v>
      </c>
      <c r="CQ75" s="976">
        <v>10000</v>
      </c>
      <c r="CR75" s="976">
        <v>30000</v>
      </c>
      <c r="CS75" s="976">
        <v>1500</v>
      </c>
      <c r="CT75" s="978">
        <v>4500</v>
      </c>
      <c r="CU75" s="823"/>
      <c r="CV75" s="817"/>
      <c r="CW75" s="817"/>
      <c r="CX75" s="817"/>
      <c r="CY75" s="817"/>
      <c r="CZ75" s="976">
        <v>10000</v>
      </c>
      <c r="DA75" s="980">
        <v>0</v>
      </c>
      <c r="DB75" s="825">
        <v>0</v>
      </c>
      <c r="DC75" s="983"/>
      <c r="DD75" s="976"/>
      <c r="DE75" s="984"/>
      <c r="DF75" s="984"/>
      <c r="DG75" s="984"/>
      <c r="DH75" s="976">
        <v>50000</v>
      </c>
      <c r="DI75" s="980"/>
      <c r="DJ75" s="982"/>
      <c r="DK75" s="828"/>
      <c r="DL75" s="829"/>
      <c r="DM75" s="830">
        <v>10000</v>
      </c>
      <c r="DN75" s="831">
        <v>1200000</v>
      </c>
      <c r="DO75" s="832"/>
      <c r="DP75" s="832"/>
      <c r="DQ75" s="832"/>
      <c r="DR75" s="832"/>
      <c r="DS75" s="832"/>
      <c r="DT75" s="832"/>
      <c r="DU75" s="832"/>
      <c r="DV75" s="832"/>
      <c r="DW75" s="832"/>
      <c r="DX75" s="833"/>
      <c r="DY75" s="834" t="s">
        <v>43</v>
      </c>
      <c r="DZ75" s="835"/>
      <c r="EA75" s="814"/>
      <c r="EB75" s="814"/>
      <c r="EC75" s="836"/>
      <c r="ED75" s="837"/>
      <c r="EE75" s="817"/>
      <c r="EF75" s="817"/>
      <c r="EG75" s="817"/>
      <c r="EH75" s="821"/>
      <c r="EI75" s="838"/>
      <c r="EJ75" s="839"/>
    </row>
    <row r="76" spans="2:140">
      <c r="B76" s="1125" t="s">
        <v>260</v>
      </c>
      <c r="C76" s="803" t="s">
        <v>52</v>
      </c>
      <c r="D76" s="804"/>
      <c r="E76" s="805" t="s">
        <v>43</v>
      </c>
      <c r="F76" s="806"/>
      <c r="G76" s="807"/>
      <c r="H76" s="808">
        <v>7</v>
      </c>
      <c r="I76" s="809" t="s">
        <v>269</v>
      </c>
      <c r="J76" s="810">
        <v>3</v>
      </c>
      <c r="K76" s="985">
        <v>0.15</v>
      </c>
      <c r="L76" s="812">
        <v>2.0238095238095237</v>
      </c>
      <c r="M76" s="813">
        <v>30</v>
      </c>
      <c r="N76" s="806">
        <v>7017</v>
      </c>
      <c r="O76" s="840">
        <v>42384</v>
      </c>
      <c r="P76" s="815" t="s">
        <v>206</v>
      </c>
      <c r="Q76" s="816">
        <v>1020</v>
      </c>
      <c r="R76" s="817">
        <v>504</v>
      </c>
      <c r="S76" s="818">
        <v>30600</v>
      </c>
      <c r="T76" s="819" t="s">
        <v>407</v>
      </c>
      <c r="U76" s="820" t="s">
        <v>47</v>
      </c>
      <c r="V76" s="816">
        <v>340</v>
      </c>
      <c r="W76" s="817">
        <v>168</v>
      </c>
      <c r="X76" s="817">
        <f t="shared" si="20"/>
        <v>291</v>
      </c>
      <c r="Y76" s="821">
        <f t="shared" si="21"/>
        <v>-49</v>
      </c>
      <c r="Z76" s="822">
        <v>9</v>
      </c>
      <c r="AA76" s="817">
        <v>3060</v>
      </c>
      <c r="AB76" s="817">
        <v>9180</v>
      </c>
      <c r="AC76" s="976">
        <v>459</v>
      </c>
      <c r="AD76" s="978">
        <v>1377</v>
      </c>
      <c r="AE76" s="823">
        <v>6</v>
      </c>
      <c r="AF76" s="817">
        <v>0</v>
      </c>
      <c r="AG76" s="817">
        <v>0</v>
      </c>
      <c r="AH76" s="817">
        <v>0</v>
      </c>
      <c r="AI76" s="817">
        <v>0</v>
      </c>
      <c r="AJ76" s="976">
        <v>10000</v>
      </c>
      <c r="AK76" s="824">
        <v>0</v>
      </c>
      <c r="AL76" s="825">
        <v>0</v>
      </c>
      <c r="AM76" s="977">
        <v>425</v>
      </c>
      <c r="AN76" s="976">
        <v>210</v>
      </c>
      <c r="AO76" s="976">
        <f t="shared" si="22"/>
        <v>363</v>
      </c>
      <c r="AP76" s="978">
        <f t="shared" si="23"/>
        <v>-62</v>
      </c>
      <c r="AQ76" s="979">
        <v>9</v>
      </c>
      <c r="AR76" s="976">
        <v>3825</v>
      </c>
      <c r="AS76" s="976">
        <v>11475</v>
      </c>
      <c r="AT76" s="976">
        <v>573</v>
      </c>
      <c r="AU76" s="978">
        <v>1721</v>
      </c>
      <c r="AV76" s="823"/>
      <c r="AW76" s="817"/>
      <c r="AX76" s="817"/>
      <c r="AY76" s="817"/>
      <c r="AZ76" s="817"/>
      <c r="BA76" s="976">
        <v>10000</v>
      </c>
      <c r="BB76" s="980">
        <v>0</v>
      </c>
      <c r="BC76" s="825">
        <v>0</v>
      </c>
      <c r="BD76" s="977">
        <v>510</v>
      </c>
      <c r="BE76" s="976">
        <v>252</v>
      </c>
      <c r="BF76" s="976">
        <f t="shared" si="24"/>
        <v>436</v>
      </c>
      <c r="BG76" s="978">
        <f t="shared" si="25"/>
        <v>-74</v>
      </c>
      <c r="BH76" s="979">
        <v>9</v>
      </c>
      <c r="BI76" s="976">
        <v>4590</v>
      </c>
      <c r="BJ76" s="976">
        <v>13770</v>
      </c>
      <c r="BK76" s="976">
        <v>688</v>
      </c>
      <c r="BL76" s="978">
        <v>2065</v>
      </c>
      <c r="BM76" s="823"/>
      <c r="BN76" s="817"/>
      <c r="BO76" s="817"/>
      <c r="BP76" s="817"/>
      <c r="BQ76" s="817"/>
      <c r="BR76" s="976">
        <v>10000</v>
      </c>
      <c r="BS76" s="980">
        <v>0</v>
      </c>
      <c r="BT76" s="825">
        <v>0</v>
      </c>
      <c r="BU76" s="977">
        <v>680</v>
      </c>
      <c r="BV76" s="976">
        <v>336</v>
      </c>
      <c r="BW76" s="976">
        <f t="shared" si="26"/>
        <v>582</v>
      </c>
      <c r="BX76" s="978">
        <f t="shared" si="27"/>
        <v>-98</v>
      </c>
      <c r="BY76" s="979">
        <v>9</v>
      </c>
      <c r="BZ76" s="976">
        <v>6120</v>
      </c>
      <c r="CA76" s="976">
        <v>18360</v>
      </c>
      <c r="CB76" s="976">
        <v>918</v>
      </c>
      <c r="CC76" s="978">
        <v>2754</v>
      </c>
      <c r="CD76" s="823"/>
      <c r="CE76" s="817"/>
      <c r="CF76" s="817"/>
      <c r="CG76" s="817"/>
      <c r="CH76" s="817"/>
      <c r="CI76" s="976">
        <v>10000</v>
      </c>
      <c r="CJ76" s="980">
        <v>0</v>
      </c>
      <c r="CK76" s="825">
        <v>0</v>
      </c>
      <c r="CL76" s="816">
        <v>1020</v>
      </c>
      <c r="CM76" s="817">
        <v>504</v>
      </c>
      <c r="CN76" s="817">
        <f t="shared" si="28"/>
        <v>873</v>
      </c>
      <c r="CO76" s="821">
        <f t="shared" si="29"/>
        <v>-147</v>
      </c>
      <c r="CP76" s="822">
        <v>10</v>
      </c>
      <c r="CQ76" s="817">
        <v>10200</v>
      </c>
      <c r="CR76" s="817">
        <v>30600</v>
      </c>
      <c r="CS76" s="976">
        <v>1530</v>
      </c>
      <c r="CT76" s="978">
        <v>4590</v>
      </c>
      <c r="CU76" s="823"/>
      <c r="CV76" s="817"/>
      <c r="CW76" s="817"/>
      <c r="CX76" s="817"/>
      <c r="CY76" s="817"/>
      <c r="CZ76" s="976">
        <v>10000</v>
      </c>
      <c r="DA76" s="824">
        <v>0</v>
      </c>
      <c r="DB76" s="825">
        <v>0</v>
      </c>
      <c r="DC76" s="826"/>
      <c r="DD76" s="817"/>
      <c r="DE76" s="827"/>
      <c r="DF76" s="827"/>
      <c r="DG76" s="827"/>
      <c r="DH76" s="976">
        <v>50000</v>
      </c>
      <c r="DI76" s="980"/>
      <c r="DJ76" s="825"/>
      <c r="DK76" s="828"/>
      <c r="DL76" s="829"/>
      <c r="DM76" s="830">
        <v>10000</v>
      </c>
      <c r="DN76" s="831">
        <v>1700000</v>
      </c>
      <c r="DO76" s="832"/>
      <c r="DP76" s="832"/>
      <c r="DQ76" s="832"/>
      <c r="DR76" s="832"/>
      <c r="DS76" s="832"/>
      <c r="DT76" s="832"/>
      <c r="DU76" s="832"/>
      <c r="DV76" s="832"/>
      <c r="DW76" s="832"/>
      <c r="DX76" s="833"/>
      <c r="DY76" s="834" t="s">
        <v>43</v>
      </c>
      <c r="DZ76" s="835"/>
      <c r="EA76" s="814"/>
      <c r="EB76" s="814"/>
      <c r="EC76" s="836"/>
      <c r="ED76" s="837"/>
      <c r="EE76" s="817"/>
      <c r="EF76" s="817"/>
      <c r="EG76" s="817"/>
      <c r="EH76" s="821"/>
      <c r="EI76" s="838"/>
      <c r="EJ76" s="839"/>
    </row>
    <row r="77" spans="2:140">
      <c r="B77" s="1125" t="s">
        <v>958</v>
      </c>
      <c r="C77" s="803" t="s">
        <v>52</v>
      </c>
      <c r="D77" s="804"/>
      <c r="E77" s="805" t="s">
        <v>43</v>
      </c>
      <c r="F77" s="806"/>
      <c r="G77" s="807"/>
      <c r="H77" s="808">
        <v>7</v>
      </c>
      <c r="I77" s="809" t="s">
        <v>269</v>
      </c>
      <c r="J77" s="810">
        <v>3</v>
      </c>
      <c r="K77" s="985">
        <v>0.15</v>
      </c>
      <c r="L77" s="812">
        <v>2.043222003929273</v>
      </c>
      <c r="M77" s="813">
        <v>30</v>
      </c>
      <c r="N77" s="806">
        <v>7022</v>
      </c>
      <c r="O77" s="840">
        <v>42415</v>
      </c>
      <c r="P77" s="815" t="s">
        <v>206</v>
      </c>
      <c r="Q77" s="816">
        <v>1040</v>
      </c>
      <c r="R77" s="817">
        <v>509</v>
      </c>
      <c r="S77" s="818">
        <v>31200</v>
      </c>
      <c r="T77" s="819" t="s">
        <v>960</v>
      </c>
      <c r="U77" s="820" t="s">
        <v>47</v>
      </c>
      <c r="V77" s="977">
        <v>347</v>
      </c>
      <c r="W77" s="976">
        <v>170</v>
      </c>
      <c r="X77" s="976">
        <f t="shared" si="20"/>
        <v>294</v>
      </c>
      <c r="Y77" s="978">
        <f t="shared" si="21"/>
        <v>-53</v>
      </c>
      <c r="Z77" s="979">
        <v>9</v>
      </c>
      <c r="AA77" s="976">
        <v>3123</v>
      </c>
      <c r="AB77" s="976">
        <v>9369</v>
      </c>
      <c r="AC77" s="976">
        <v>468</v>
      </c>
      <c r="AD77" s="978">
        <v>1405</v>
      </c>
      <c r="AE77" s="823"/>
      <c r="AF77" s="817"/>
      <c r="AG77" s="817"/>
      <c r="AH77" s="817"/>
      <c r="AI77" s="817"/>
      <c r="AJ77" s="976">
        <v>10000</v>
      </c>
      <c r="AK77" s="980">
        <v>0</v>
      </c>
      <c r="AL77" s="825">
        <v>0</v>
      </c>
      <c r="AM77" s="977">
        <v>434</v>
      </c>
      <c r="AN77" s="976">
        <v>213</v>
      </c>
      <c r="AO77" s="976">
        <f t="shared" si="22"/>
        <v>369</v>
      </c>
      <c r="AP77" s="978">
        <f t="shared" si="23"/>
        <v>-65</v>
      </c>
      <c r="AQ77" s="979">
        <v>9</v>
      </c>
      <c r="AR77" s="976">
        <v>3906</v>
      </c>
      <c r="AS77" s="976">
        <v>11718</v>
      </c>
      <c r="AT77" s="976">
        <v>585</v>
      </c>
      <c r="AU77" s="978">
        <v>1757</v>
      </c>
      <c r="AV77" s="823"/>
      <c r="AW77" s="817"/>
      <c r="AX77" s="817"/>
      <c r="AY77" s="817"/>
      <c r="AZ77" s="817"/>
      <c r="BA77" s="976">
        <v>10000</v>
      </c>
      <c r="BB77" s="980">
        <v>0</v>
      </c>
      <c r="BC77" s="825">
        <v>0</v>
      </c>
      <c r="BD77" s="977">
        <v>520</v>
      </c>
      <c r="BE77" s="976">
        <v>255</v>
      </c>
      <c r="BF77" s="976">
        <f t="shared" si="24"/>
        <v>441</v>
      </c>
      <c r="BG77" s="978">
        <f t="shared" si="25"/>
        <v>-79</v>
      </c>
      <c r="BH77" s="979">
        <v>9</v>
      </c>
      <c r="BI77" s="976">
        <v>4680</v>
      </c>
      <c r="BJ77" s="976">
        <v>14040</v>
      </c>
      <c r="BK77" s="976">
        <v>702</v>
      </c>
      <c r="BL77" s="978">
        <v>2106</v>
      </c>
      <c r="BM77" s="823"/>
      <c r="BN77" s="817"/>
      <c r="BO77" s="817"/>
      <c r="BP77" s="817"/>
      <c r="BQ77" s="817"/>
      <c r="BR77" s="976">
        <v>10000</v>
      </c>
      <c r="BS77" s="980">
        <v>0</v>
      </c>
      <c r="BT77" s="825">
        <v>0</v>
      </c>
      <c r="BU77" s="977">
        <v>694</v>
      </c>
      <c r="BV77" s="976">
        <v>340</v>
      </c>
      <c r="BW77" s="976">
        <f t="shared" si="26"/>
        <v>589</v>
      </c>
      <c r="BX77" s="978">
        <f t="shared" si="27"/>
        <v>-105</v>
      </c>
      <c r="BY77" s="979">
        <v>9</v>
      </c>
      <c r="BZ77" s="976">
        <v>6246</v>
      </c>
      <c r="CA77" s="976">
        <v>18738</v>
      </c>
      <c r="CB77" s="976">
        <v>936</v>
      </c>
      <c r="CC77" s="978">
        <v>2810</v>
      </c>
      <c r="CD77" s="823"/>
      <c r="CE77" s="817"/>
      <c r="CF77" s="817"/>
      <c r="CG77" s="817"/>
      <c r="CH77" s="817"/>
      <c r="CI77" s="976">
        <v>10000</v>
      </c>
      <c r="CJ77" s="980">
        <v>0</v>
      </c>
      <c r="CK77" s="825">
        <v>0</v>
      </c>
      <c r="CL77" s="816">
        <v>1040</v>
      </c>
      <c r="CM77" s="817">
        <v>509</v>
      </c>
      <c r="CN77" s="817">
        <f t="shared" si="28"/>
        <v>881</v>
      </c>
      <c r="CO77" s="821">
        <f t="shared" si="29"/>
        <v>-159</v>
      </c>
      <c r="CP77" s="822">
        <v>10</v>
      </c>
      <c r="CQ77" s="817">
        <v>10400</v>
      </c>
      <c r="CR77" s="817">
        <v>31200</v>
      </c>
      <c r="CS77" s="976">
        <v>1560</v>
      </c>
      <c r="CT77" s="978">
        <v>4680</v>
      </c>
      <c r="CU77" s="823"/>
      <c r="CV77" s="817"/>
      <c r="CW77" s="817"/>
      <c r="CX77" s="817"/>
      <c r="CY77" s="817"/>
      <c r="CZ77" s="976">
        <v>10000</v>
      </c>
      <c r="DA77" s="824">
        <v>0</v>
      </c>
      <c r="DB77" s="825">
        <v>0</v>
      </c>
      <c r="DC77" s="826"/>
      <c r="DD77" s="817"/>
      <c r="DE77" s="827"/>
      <c r="DF77" s="827"/>
      <c r="DG77" s="827"/>
      <c r="DH77" s="976">
        <v>50000</v>
      </c>
      <c r="DI77" s="980"/>
      <c r="DJ77" s="825"/>
      <c r="DK77" s="828"/>
      <c r="DL77" s="829"/>
      <c r="DM77" s="830">
        <v>10000</v>
      </c>
      <c r="DN77" s="831">
        <v>2200000</v>
      </c>
      <c r="DO77" s="832"/>
      <c r="DP77" s="832"/>
      <c r="DQ77" s="832"/>
      <c r="DR77" s="832"/>
      <c r="DS77" s="832"/>
      <c r="DT77" s="832"/>
      <c r="DU77" s="832"/>
      <c r="DV77" s="832"/>
      <c r="DW77" s="832"/>
      <c r="DX77" s="833"/>
      <c r="DY77" s="834" t="s">
        <v>43</v>
      </c>
      <c r="DZ77" s="835"/>
      <c r="EA77" s="814"/>
      <c r="EB77" s="814"/>
      <c r="EC77" s="836"/>
      <c r="ED77" s="837"/>
      <c r="EE77" s="817"/>
      <c r="EF77" s="817"/>
      <c r="EG77" s="817"/>
      <c r="EH77" s="821"/>
      <c r="EI77" s="838"/>
      <c r="EJ77" s="839"/>
    </row>
    <row r="78" spans="2:140">
      <c r="B78" s="1125" t="s">
        <v>128</v>
      </c>
      <c r="C78" s="803" t="s">
        <v>52</v>
      </c>
      <c r="D78" s="804"/>
      <c r="E78" s="805" t="s">
        <v>43</v>
      </c>
      <c r="F78" s="806"/>
      <c r="G78" s="807"/>
      <c r="H78" s="808">
        <v>4</v>
      </c>
      <c r="I78" s="809" t="s">
        <v>282</v>
      </c>
      <c r="J78" s="810">
        <v>2</v>
      </c>
      <c r="K78" s="811">
        <v>0.13250000000000001</v>
      </c>
      <c r="L78" s="812">
        <v>0.90909090909090906</v>
      </c>
      <c r="M78" s="813">
        <v>100</v>
      </c>
      <c r="N78" s="806">
        <v>78</v>
      </c>
      <c r="O78" s="840">
        <v>42217</v>
      </c>
      <c r="P78" s="815" t="s">
        <v>98</v>
      </c>
      <c r="Q78" s="816">
        <v>200</v>
      </c>
      <c r="R78" s="817">
        <v>220</v>
      </c>
      <c r="S78" s="818">
        <v>4000</v>
      </c>
      <c r="T78" s="819" t="s">
        <v>408</v>
      </c>
      <c r="U78" s="820" t="s">
        <v>652</v>
      </c>
      <c r="V78" s="816">
        <v>200</v>
      </c>
      <c r="W78" s="817">
        <v>220</v>
      </c>
      <c r="X78" s="817">
        <f t="shared" si="20"/>
        <v>381</v>
      </c>
      <c r="Y78" s="821">
        <f t="shared" si="21"/>
        <v>181</v>
      </c>
      <c r="Z78" s="822">
        <v>10</v>
      </c>
      <c r="AA78" s="817">
        <v>2000</v>
      </c>
      <c r="AB78" s="817">
        <v>4000</v>
      </c>
      <c r="AC78" s="817">
        <v>265</v>
      </c>
      <c r="AD78" s="821">
        <v>530</v>
      </c>
      <c r="AE78" s="823">
        <v>9</v>
      </c>
      <c r="AF78" s="817">
        <v>0</v>
      </c>
      <c r="AG78" s="817">
        <v>0</v>
      </c>
      <c r="AH78" s="817">
        <v>0</v>
      </c>
      <c r="AI78" s="817">
        <v>0</v>
      </c>
      <c r="AJ78" s="817">
        <v>2385</v>
      </c>
      <c r="AK78" s="824">
        <v>0</v>
      </c>
      <c r="AL78" s="825">
        <v>0</v>
      </c>
      <c r="AM78" s="816">
        <v>300</v>
      </c>
      <c r="AN78" s="817">
        <v>330</v>
      </c>
      <c r="AO78" s="817">
        <f t="shared" si="22"/>
        <v>571</v>
      </c>
      <c r="AP78" s="821">
        <f t="shared" si="23"/>
        <v>271</v>
      </c>
      <c r="AQ78" s="822">
        <v>10</v>
      </c>
      <c r="AR78" s="817">
        <v>3000</v>
      </c>
      <c r="AS78" s="817">
        <v>6000</v>
      </c>
      <c r="AT78" s="817">
        <v>397</v>
      </c>
      <c r="AU78" s="821">
        <v>795</v>
      </c>
      <c r="AV78" s="823">
        <v>4</v>
      </c>
      <c r="AW78" s="817">
        <v>500000</v>
      </c>
      <c r="AX78" s="817">
        <v>0</v>
      </c>
      <c r="AY78" s="817">
        <v>0</v>
      </c>
      <c r="AZ78" s="817">
        <v>0</v>
      </c>
      <c r="BA78" s="817">
        <v>1590</v>
      </c>
      <c r="BB78" s="824">
        <v>7.0555555555555562</v>
      </c>
      <c r="BC78" s="825">
        <v>125000</v>
      </c>
      <c r="BD78" s="816">
        <v>350</v>
      </c>
      <c r="BE78" s="817">
        <v>384</v>
      </c>
      <c r="BF78" s="817">
        <f t="shared" si="24"/>
        <v>665</v>
      </c>
      <c r="BG78" s="821">
        <f t="shared" si="25"/>
        <v>315</v>
      </c>
      <c r="BH78" s="822">
        <v>10</v>
      </c>
      <c r="BI78" s="817">
        <v>3500</v>
      </c>
      <c r="BJ78" s="817">
        <v>7000</v>
      </c>
      <c r="BK78" s="817">
        <v>463</v>
      </c>
      <c r="BL78" s="821">
        <v>927</v>
      </c>
      <c r="BM78" s="823">
        <v>5.5</v>
      </c>
      <c r="BN78" s="817">
        <v>750000</v>
      </c>
      <c r="BO78" s="817">
        <v>0</v>
      </c>
      <c r="BP78" s="817">
        <v>1</v>
      </c>
      <c r="BQ78" s="817">
        <v>0</v>
      </c>
      <c r="BR78" s="817">
        <v>2550</v>
      </c>
      <c r="BS78" s="824">
        <v>9.125</v>
      </c>
      <c r="BT78" s="825">
        <v>136363</v>
      </c>
      <c r="BU78" s="816">
        <v>379</v>
      </c>
      <c r="BV78" s="817">
        <v>418</v>
      </c>
      <c r="BW78" s="817">
        <f t="shared" si="26"/>
        <v>724</v>
      </c>
      <c r="BX78" s="821">
        <f t="shared" si="27"/>
        <v>345</v>
      </c>
      <c r="BY78" s="822">
        <v>10</v>
      </c>
      <c r="BZ78" s="817">
        <v>3790</v>
      </c>
      <c r="CA78" s="817">
        <v>7580</v>
      </c>
      <c r="CB78" s="817">
        <v>502</v>
      </c>
      <c r="CC78" s="821">
        <v>1004</v>
      </c>
      <c r="CD78" s="823">
        <v>7.5</v>
      </c>
      <c r="CE78" s="817">
        <v>1000000</v>
      </c>
      <c r="CF78" s="817">
        <v>0</v>
      </c>
      <c r="CG78" s="817">
        <v>0</v>
      </c>
      <c r="CH78" s="817">
        <v>0</v>
      </c>
      <c r="CI78" s="817">
        <v>3766</v>
      </c>
      <c r="CJ78" s="824">
        <v>11.282431838170623</v>
      </c>
      <c r="CK78" s="825">
        <v>133333</v>
      </c>
      <c r="CL78" s="816">
        <v>400</v>
      </c>
      <c r="CM78" s="817">
        <v>440</v>
      </c>
      <c r="CN78" s="817">
        <f t="shared" si="28"/>
        <v>762</v>
      </c>
      <c r="CO78" s="821">
        <f t="shared" si="29"/>
        <v>362</v>
      </c>
      <c r="CP78" s="822">
        <v>10</v>
      </c>
      <c r="CQ78" s="817">
        <v>4000</v>
      </c>
      <c r="CR78" s="817">
        <v>8000</v>
      </c>
      <c r="CS78" s="817">
        <v>530</v>
      </c>
      <c r="CT78" s="821">
        <v>1060</v>
      </c>
      <c r="CU78" s="823">
        <v>9</v>
      </c>
      <c r="CV78" s="817">
        <v>1250000</v>
      </c>
      <c r="CW78" s="817">
        <v>0</v>
      </c>
      <c r="CX78" s="817">
        <v>0</v>
      </c>
      <c r="CY78" s="817">
        <v>1</v>
      </c>
      <c r="CZ78" s="817">
        <v>4770</v>
      </c>
      <c r="DA78" s="824">
        <v>13.376145833333332</v>
      </c>
      <c r="DB78" s="825">
        <v>138888</v>
      </c>
      <c r="DC78" s="826">
        <v>35</v>
      </c>
      <c r="DD78" s="817">
        <v>3500000</v>
      </c>
      <c r="DE78" s="827">
        <v>0</v>
      </c>
      <c r="DF78" s="827">
        <v>1</v>
      </c>
      <c r="DG78" s="827">
        <v>1</v>
      </c>
      <c r="DH78" s="817">
        <v>15061</v>
      </c>
      <c r="DI78" s="824">
        <v>36.458333333333336</v>
      </c>
      <c r="DJ78" s="825">
        <v>100000</v>
      </c>
      <c r="DK78" s="828">
        <v>10</v>
      </c>
      <c r="DL78" s="829" t="s">
        <v>43</v>
      </c>
      <c r="DM78" s="830">
        <v>5000</v>
      </c>
      <c r="DN78" s="831">
        <v>15000</v>
      </c>
      <c r="DO78" s="832">
        <v>30000</v>
      </c>
      <c r="DP78" s="832">
        <v>60000</v>
      </c>
      <c r="DQ78" s="832">
        <v>120000</v>
      </c>
      <c r="DR78" s="832">
        <v>240000</v>
      </c>
      <c r="DS78" s="832">
        <v>480000</v>
      </c>
      <c r="DT78" s="832">
        <v>960000</v>
      </c>
      <c r="DU78" s="832"/>
      <c r="DV78" s="832"/>
      <c r="DW78" s="832"/>
      <c r="DX78" s="833"/>
      <c r="DY78" s="834" t="s">
        <v>43</v>
      </c>
      <c r="DZ78" s="835"/>
      <c r="EA78" s="814"/>
      <c r="EB78" s="814"/>
      <c r="EC78" s="836"/>
      <c r="ED78" s="837"/>
      <c r="EE78" s="817"/>
      <c r="EF78" s="817"/>
      <c r="EG78" s="817"/>
      <c r="EH78" s="821"/>
      <c r="EI78" s="838"/>
      <c r="EJ78" s="839"/>
    </row>
    <row r="79" spans="2:140">
      <c r="B79" s="1125" t="s">
        <v>166</v>
      </c>
      <c r="C79" s="803" t="s">
        <v>52</v>
      </c>
      <c r="D79" s="804"/>
      <c r="E79" s="805" t="s">
        <v>43</v>
      </c>
      <c r="F79" s="806"/>
      <c r="G79" s="807"/>
      <c r="H79" s="808">
        <v>5</v>
      </c>
      <c r="I79" s="809" t="s">
        <v>282</v>
      </c>
      <c r="J79" s="810">
        <v>5</v>
      </c>
      <c r="K79" s="811">
        <v>0.15</v>
      </c>
      <c r="L79" s="812">
        <v>1.4</v>
      </c>
      <c r="M79" s="813">
        <v>100</v>
      </c>
      <c r="N79" s="806">
        <v>86</v>
      </c>
      <c r="O79" s="840">
        <v>42278</v>
      </c>
      <c r="P79" s="815" t="s">
        <v>98</v>
      </c>
      <c r="Q79" s="816">
        <v>210</v>
      </c>
      <c r="R79" s="817">
        <v>150</v>
      </c>
      <c r="S79" s="818">
        <v>10500</v>
      </c>
      <c r="T79" s="819" t="s">
        <v>409</v>
      </c>
      <c r="U79" s="820" t="s">
        <v>653</v>
      </c>
      <c r="V79" s="816">
        <v>210</v>
      </c>
      <c r="W79" s="817">
        <v>150</v>
      </c>
      <c r="X79" s="817">
        <f t="shared" si="20"/>
        <v>259</v>
      </c>
      <c r="Y79" s="821">
        <f t="shared" si="21"/>
        <v>49</v>
      </c>
      <c r="Z79" s="822">
        <v>10</v>
      </c>
      <c r="AA79" s="817">
        <v>2100</v>
      </c>
      <c r="AB79" s="817">
        <v>10500</v>
      </c>
      <c r="AC79" s="817">
        <v>315</v>
      </c>
      <c r="AD79" s="821">
        <v>1575</v>
      </c>
      <c r="AE79" s="823">
        <v>10</v>
      </c>
      <c r="AF79" s="817">
        <v>0</v>
      </c>
      <c r="AG79" s="817">
        <v>0</v>
      </c>
      <c r="AH79" s="817">
        <v>0</v>
      </c>
      <c r="AI79" s="817">
        <v>0</v>
      </c>
      <c r="AJ79" s="817">
        <v>3150</v>
      </c>
      <c r="AK79" s="824">
        <v>0</v>
      </c>
      <c r="AL79" s="825">
        <v>0</v>
      </c>
      <c r="AM79" s="816">
        <v>315</v>
      </c>
      <c r="AN79" s="817">
        <v>225</v>
      </c>
      <c r="AO79" s="817">
        <f t="shared" si="22"/>
        <v>389</v>
      </c>
      <c r="AP79" s="821">
        <f t="shared" si="23"/>
        <v>74</v>
      </c>
      <c r="AQ79" s="822">
        <v>10</v>
      </c>
      <c r="AR79" s="817">
        <v>3150</v>
      </c>
      <c r="AS79" s="817">
        <v>15750</v>
      </c>
      <c r="AT79" s="817">
        <v>472</v>
      </c>
      <c r="AU79" s="821">
        <v>2362</v>
      </c>
      <c r="AV79" s="823">
        <v>3</v>
      </c>
      <c r="AW79" s="817">
        <v>920000</v>
      </c>
      <c r="AX79" s="817">
        <v>0</v>
      </c>
      <c r="AY79" s="817">
        <v>1</v>
      </c>
      <c r="AZ79" s="817">
        <v>0</v>
      </c>
      <c r="BA79" s="817">
        <v>1418</v>
      </c>
      <c r="BB79" s="824">
        <v>12.252645502645501</v>
      </c>
      <c r="BC79" s="825">
        <v>306666</v>
      </c>
      <c r="BD79" s="816">
        <v>367</v>
      </c>
      <c r="BE79" s="817">
        <v>262</v>
      </c>
      <c r="BF79" s="817">
        <f t="shared" si="24"/>
        <v>453</v>
      </c>
      <c r="BG79" s="821">
        <f t="shared" si="25"/>
        <v>86</v>
      </c>
      <c r="BH79" s="822">
        <v>10</v>
      </c>
      <c r="BI79" s="817">
        <v>3670</v>
      </c>
      <c r="BJ79" s="817">
        <v>18350</v>
      </c>
      <c r="BK79" s="817">
        <v>550</v>
      </c>
      <c r="BL79" s="821">
        <v>2752</v>
      </c>
      <c r="BM79" s="823">
        <v>5</v>
      </c>
      <c r="BN79" s="817">
        <v>1380000</v>
      </c>
      <c r="BO79" s="817">
        <v>0</v>
      </c>
      <c r="BP79" s="817">
        <v>2</v>
      </c>
      <c r="BQ79" s="817">
        <v>0</v>
      </c>
      <c r="BR79" s="817">
        <v>2753</v>
      </c>
      <c r="BS79" s="824">
        <v>15.846389645776567</v>
      </c>
      <c r="BT79" s="825">
        <v>276000</v>
      </c>
      <c r="BU79" s="816">
        <v>399</v>
      </c>
      <c r="BV79" s="817">
        <v>285</v>
      </c>
      <c r="BW79" s="817">
        <f t="shared" si="26"/>
        <v>493</v>
      </c>
      <c r="BX79" s="821">
        <f t="shared" si="27"/>
        <v>94</v>
      </c>
      <c r="BY79" s="822">
        <v>10</v>
      </c>
      <c r="BZ79" s="817">
        <v>3990</v>
      </c>
      <c r="CA79" s="817">
        <v>19950</v>
      </c>
      <c r="CB79" s="817">
        <v>598</v>
      </c>
      <c r="CC79" s="821">
        <v>2992</v>
      </c>
      <c r="CD79" s="823">
        <v>8</v>
      </c>
      <c r="CE79" s="817">
        <v>1840000</v>
      </c>
      <c r="CF79" s="817">
        <v>0</v>
      </c>
      <c r="CG79" s="817">
        <v>0</v>
      </c>
      <c r="CH79" s="817">
        <v>1</v>
      </c>
      <c r="CI79" s="817">
        <v>4788</v>
      </c>
      <c r="CJ79" s="824">
        <v>19.521303258145362</v>
      </c>
      <c r="CK79" s="825">
        <v>230000</v>
      </c>
      <c r="CL79" s="816">
        <v>420</v>
      </c>
      <c r="CM79" s="817">
        <v>300</v>
      </c>
      <c r="CN79" s="817">
        <f t="shared" si="28"/>
        <v>519</v>
      </c>
      <c r="CO79" s="821">
        <f t="shared" si="29"/>
        <v>99</v>
      </c>
      <c r="CP79" s="822">
        <v>11</v>
      </c>
      <c r="CQ79" s="817">
        <v>4620</v>
      </c>
      <c r="CR79" s="817">
        <v>23100</v>
      </c>
      <c r="CS79" s="817">
        <v>693</v>
      </c>
      <c r="CT79" s="821">
        <v>3465</v>
      </c>
      <c r="CU79" s="823">
        <v>10</v>
      </c>
      <c r="CV79" s="817">
        <v>2300000</v>
      </c>
      <c r="CW79" s="817">
        <v>0</v>
      </c>
      <c r="CX79" s="817">
        <v>0</v>
      </c>
      <c r="CY79" s="817">
        <v>2</v>
      </c>
      <c r="CZ79" s="817">
        <v>6930</v>
      </c>
      <c r="DA79" s="824">
        <v>21.102994227994227</v>
      </c>
      <c r="DB79" s="825">
        <v>230000</v>
      </c>
      <c r="DC79" s="826">
        <v>36</v>
      </c>
      <c r="DD79" s="817">
        <v>6440000</v>
      </c>
      <c r="DE79" s="827">
        <v>0</v>
      </c>
      <c r="DF79" s="827">
        <v>3</v>
      </c>
      <c r="DG79" s="827">
        <v>3</v>
      </c>
      <c r="DH79" s="817">
        <v>19039</v>
      </c>
      <c r="DI79" s="824">
        <v>58.080808080808083</v>
      </c>
      <c r="DJ79" s="825">
        <v>178888.88888888888</v>
      </c>
      <c r="DK79" s="828">
        <v>10</v>
      </c>
      <c r="DL79" s="829" t="s">
        <v>43</v>
      </c>
      <c r="DM79" s="830">
        <v>9900</v>
      </c>
      <c r="DN79" s="831">
        <v>29800</v>
      </c>
      <c r="DO79" s="832">
        <v>59600</v>
      </c>
      <c r="DP79" s="832">
        <v>119200</v>
      </c>
      <c r="DQ79" s="832">
        <v>238400</v>
      </c>
      <c r="DR79" s="832">
        <v>476800</v>
      </c>
      <c r="DS79" s="832">
        <v>953600</v>
      </c>
      <c r="DT79" s="832"/>
      <c r="DU79" s="832"/>
      <c r="DV79" s="832"/>
      <c r="DW79" s="832"/>
      <c r="DX79" s="833"/>
      <c r="DY79" s="834" t="s">
        <v>43</v>
      </c>
      <c r="DZ79" s="835"/>
      <c r="EA79" s="814"/>
      <c r="EB79" s="814"/>
      <c r="EC79" s="836"/>
      <c r="ED79" s="837"/>
      <c r="EE79" s="817"/>
      <c r="EF79" s="817"/>
      <c r="EG79" s="817"/>
      <c r="EH79" s="821"/>
      <c r="EI79" s="838"/>
      <c r="EJ79" s="839"/>
    </row>
    <row r="80" spans="2:140">
      <c r="B80" s="1125" t="s">
        <v>183</v>
      </c>
      <c r="C80" s="803" t="s">
        <v>52</v>
      </c>
      <c r="D80" s="804"/>
      <c r="E80" s="805" t="s">
        <v>43</v>
      </c>
      <c r="F80" s="806"/>
      <c r="G80" s="807"/>
      <c r="H80" s="808">
        <v>5</v>
      </c>
      <c r="I80" s="809" t="s">
        <v>282</v>
      </c>
      <c r="J80" s="810">
        <v>6</v>
      </c>
      <c r="K80" s="811">
        <v>0.15</v>
      </c>
      <c r="L80" s="812">
        <v>1.4193548387096775</v>
      </c>
      <c r="M80" s="813">
        <v>100</v>
      </c>
      <c r="N80" s="806">
        <v>91</v>
      </c>
      <c r="O80" s="840">
        <v>42309</v>
      </c>
      <c r="P80" s="815" t="s">
        <v>206</v>
      </c>
      <c r="Q80" s="816">
        <v>440</v>
      </c>
      <c r="R80" s="817">
        <v>310</v>
      </c>
      <c r="S80" s="818">
        <v>31680</v>
      </c>
      <c r="T80" s="819" t="s">
        <v>410</v>
      </c>
      <c r="U80" s="820" t="s">
        <v>632</v>
      </c>
      <c r="V80" s="816">
        <v>147</v>
      </c>
      <c r="W80" s="817">
        <v>104</v>
      </c>
      <c r="X80" s="817">
        <f t="shared" si="20"/>
        <v>180</v>
      </c>
      <c r="Y80" s="821">
        <f t="shared" si="21"/>
        <v>33</v>
      </c>
      <c r="Z80" s="822">
        <v>11</v>
      </c>
      <c r="AA80" s="817">
        <v>1617</v>
      </c>
      <c r="AB80" s="817">
        <v>9702</v>
      </c>
      <c r="AC80" s="817">
        <v>242</v>
      </c>
      <c r="AD80" s="821">
        <v>1455</v>
      </c>
      <c r="AE80" s="823">
        <v>3</v>
      </c>
      <c r="AF80" s="817">
        <v>0</v>
      </c>
      <c r="AG80" s="817">
        <v>0</v>
      </c>
      <c r="AH80" s="817">
        <v>0</v>
      </c>
      <c r="AI80" s="817">
        <v>0</v>
      </c>
      <c r="AJ80" s="817">
        <v>728</v>
      </c>
      <c r="AK80" s="824">
        <v>0</v>
      </c>
      <c r="AL80" s="825">
        <v>0</v>
      </c>
      <c r="AM80" s="816">
        <v>184</v>
      </c>
      <c r="AN80" s="817">
        <v>130</v>
      </c>
      <c r="AO80" s="817">
        <f t="shared" si="22"/>
        <v>225</v>
      </c>
      <c r="AP80" s="821">
        <f t="shared" si="23"/>
        <v>41</v>
      </c>
      <c r="AQ80" s="822">
        <v>11</v>
      </c>
      <c r="AR80" s="817">
        <v>2024</v>
      </c>
      <c r="AS80" s="817">
        <v>12144</v>
      </c>
      <c r="AT80" s="817">
        <v>303</v>
      </c>
      <c r="AU80" s="821">
        <v>1821</v>
      </c>
      <c r="AV80" s="823">
        <v>18</v>
      </c>
      <c r="AW80" s="817">
        <v>1080000</v>
      </c>
      <c r="AX80" s="817">
        <v>0</v>
      </c>
      <c r="AY80" s="817">
        <v>2</v>
      </c>
      <c r="AZ80" s="817">
        <v>0</v>
      </c>
      <c r="BA80" s="817">
        <v>5465</v>
      </c>
      <c r="BB80" s="824">
        <v>22.832386363636363</v>
      </c>
      <c r="BC80" s="825">
        <v>60000</v>
      </c>
      <c r="BD80" s="816">
        <v>220</v>
      </c>
      <c r="BE80" s="817">
        <v>155</v>
      </c>
      <c r="BF80" s="817">
        <f t="shared" si="24"/>
        <v>268</v>
      </c>
      <c r="BG80" s="821">
        <f t="shared" si="25"/>
        <v>48</v>
      </c>
      <c r="BH80" s="822">
        <v>11</v>
      </c>
      <c r="BI80" s="817">
        <v>2420</v>
      </c>
      <c r="BJ80" s="817">
        <v>14520</v>
      </c>
      <c r="BK80" s="817">
        <v>363</v>
      </c>
      <c r="BL80" s="821">
        <v>2178</v>
      </c>
      <c r="BM80" s="823">
        <v>36</v>
      </c>
      <c r="BN80" s="817">
        <v>1620000</v>
      </c>
      <c r="BO80" s="817">
        <v>0</v>
      </c>
      <c r="BP80" s="817">
        <v>3</v>
      </c>
      <c r="BQ80" s="817">
        <v>0</v>
      </c>
      <c r="BR80" s="817">
        <v>10000</v>
      </c>
      <c r="BS80" s="824">
        <v>29.14710743801653</v>
      </c>
      <c r="BT80" s="825">
        <v>45000</v>
      </c>
      <c r="BU80" s="816">
        <v>294</v>
      </c>
      <c r="BV80" s="817">
        <v>207</v>
      </c>
      <c r="BW80" s="817">
        <f t="shared" si="26"/>
        <v>358</v>
      </c>
      <c r="BX80" s="821">
        <f t="shared" si="27"/>
        <v>64</v>
      </c>
      <c r="BY80" s="822">
        <v>11</v>
      </c>
      <c r="BZ80" s="817">
        <v>3234</v>
      </c>
      <c r="CA80" s="817">
        <v>19404</v>
      </c>
      <c r="CB80" s="817">
        <v>485</v>
      </c>
      <c r="CC80" s="821">
        <v>2910</v>
      </c>
      <c r="CD80" s="823">
        <v>108</v>
      </c>
      <c r="CE80" s="817">
        <v>2160000</v>
      </c>
      <c r="CF80" s="817">
        <v>0</v>
      </c>
      <c r="CG80" s="817">
        <v>0</v>
      </c>
      <c r="CH80" s="817">
        <v>2</v>
      </c>
      <c r="CI80" s="817">
        <v>10000</v>
      </c>
      <c r="CJ80" s="824">
        <v>31.196660482374767</v>
      </c>
      <c r="CK80" s="825">
        <v>20000</v>
      </c>
      <c r="CL80" s="816">
        <v>440</v>
      </c>
      <c r="CM80" s="817">
        <v>310</v>
      </c>
      <c r="CN80" s="817">
        <f t="shared" si="28"/>
        <v>537</v>
      </c>
      <c r="CO80" s="821">
        <f t="shared" si="29"/>
        <v>97</v>
      </c>
      <c r="CP80" s="822">
        <v>12</v>
      </c>
      <c r="CQ80" s="817">
        <v>5280</v>
      </c>
      <c r="CR80" s="817">
        <v>31680</v>
      </c>
      <c r="CS80" s="817">
        <v>792</v>
      </c>
      <c r="CT80" s="821">
        <v>4752</v>
      </c>
      <c r="CU80" s="823">
        <v>168</v>
      </c>
      <c r="CV80" s="817">
        <v>2700000</v>
      </c>
      <c r="CW80" s="817">
        <v>0</v>
      </c>
      <c r="CX80" s="817">
        <v>0</v>
      </c>
      <c r="CY80" s="817">
        <v>3</v>
      </c>
      <c r="CZ80" s="817">
        <v>10000</v>
      </c>
      <c r="DA80" s="824">
        <v>25.594318181818181</v>
      </c>
      <c r="DB80" s="825">
        <v>16071</v>
      </c>
      <c r="DC80" s="826">
        <v>333</v>
      </c>
      <c r="DD80" s="817">
        <v>7560000</v>
      </c>
      <c r="DE80" s="827">
        <v>0</v>
      </c>
      <c r="DF80" s="827">
        <v>5</v>
      </c>
      <c r="DG80" s="827">
        <v>5</v>
      </c>
      <c r="DH80" s="817">
        <v>36193</v>
      </c>
      <c r="DI80" s="824">
        <v>59.659090909090907</v>
      </c>
      <c r="DJ80" s="825">
        <v>22702.702702702703</v>
      </c>
      <c r="DK80" s="828">
        <v>91</v>
      </c>
      <c r="DL80" s="829" t="s">
        <v>43</v>
      </c>
      <c r="DM80" s="830">
        <v>10000</v>
      </c>
      <c r="DN80" s="831">
        <v>49800</v>
      </c>
      <c r="DO80" s="832">
        <v>99600</v>
      </c>
      <c r="DP80" s="832">
        <v>199200</v>
      </c>
      <c r="DQ80" s="832">
        <v>398400</v>
      </c>
      <c r="DR80" s="832">
        <v>796800</v>
      </c>
      <c r="DS80" s="832"/>
      <c r="DT80" s="832"/>
      <c r="DU80" s="832"/>
      <c r="DV80" s="832"/>
      <c r="DW80" s="832"/>
      <c r="DX80" s="833"/>
      <c r="DY80" s="834" t="s">
        <v>43</v>
      </c>
      <c r="DZ80" s="835"/>
      <c r="EA80" s="814"/>
      <c r="EB80" s="814"/>
      <c r="EC80" s="836"/>
      <c r="ED80" s="837"/>
      <c r="EE80" s="817"/>
      <c r="EF80" s="817"/>
      <c r="EG80" s="817"/>
      <c r="EH80" s="821"/>
      <c r="EI80" s="838"/>
      <c r="EJ80" s="839"/>
    </row>
    <row r="81" spans="2:140">
      <c r="B81" s="1125" t="s">
        <v>207</v>
      </c>
      <c r="C81" s="803" t="s">
        <v>52</v>
      </c>
      <c r="D81" s="804"/>
      <c r="E81" s="805" t="s">
        <v>43</v>
      </c>
      <c r="F81" s="806"/>
      <c r="G81" s="807"/>
      <c r="H81" s="808">
        <v>4</v>
      </c>
      <c r="I81" s="809" t="s">
        <v>282</v>
      </c>
      <c r="J81" s="810">
        <v>5</v>
      </c>
      <c r="K81" s="811">
        <v>0.15</v>
      </c>
      <c r="L81" s="812">
        <v>1.3870967741935485</v>
      </c>
      <c r="M81" s="813">
        <v>100</v>
      </c>
      <c r="N81" s="806">
        <v>96</v>
      </c>
      <c r="O81" s="840">
        <v>42339</v>
      </c>
      <c r="P81" s="815" t="s">
        <v>206</v>
      </c>
      <c r="Q81" s="816">
        <v>430</v>
      </c>
      <c r="R81" s="817">
        <v>310</v>
      </c>
      <c r="S81" s="818">
        <v>23650</v>
      </c>
      <c r="T81" s="819" t="s">
        <v>411</v>
      </c>
      <c r="U81" s="820" t="s">
        <v>643</v>
      </c>
      <c r="V81" s="816">
        <v>144</v>
      </c>
      <c r="W81" s="817">
        <v>104</v>
      </c>
      <c r="X81" s="817">
        <f t="shared" si="20"/>
        <v>180</v>
      </c>
      <c r="Y81" s="821">
        <f t="shared" si="21"/>
        <v>36</v>
      </c>
      <c r="Z81" s="822">
        <v>11</v>
      </c>
      <c r="AA81" s="817">
        <v>1584</v>
      </c>
      <c r="AB81" s="817">
        <v>7920</v>
      </c>
      <c r="AC81" s="817">
        <v>237</v>
      </c>
      <c r="AD81" s="821">
        <v>1188</v>
      </c>
      <c r="AE81" s="823">
        <v>3</v>
      </c>
      <c r="AF81" s="817">
        <v>0</v>
      </c>
      <c r="AG81" s="817">
        <v>0</v>
      </c>
      <c r="AH81" s="817">
        <v>0</v>
      </c>
      <c r="AI81" s="817">
        <v>0</v>
      </c>
      <c r="AJ81" s="817">
        <v>1188</v>
      </c>
      <c r="AK81" s="824">
        <v>0</v>
      </c>
      <c r="AL81" s="825">
        <v>0</v>
      </c>
      <c r="AM81" s="816">
        <v>180</v>
      </c>
      <c r="AN81" s="817">
        <v>130</v>
      </c>
      <c r="AO81" s="817">
        <f t="shared" si="22"/>
        <v>225</v>
      </c>
      <c r="AP81" s="821">
        <f t="shared" si="23"/>
        <v>45</v>
      </c>
      <c r="AQ81" s="822">
        <v>11</v>
      </c>
      <c r="AR81" s="817">
        <v>1980</v>
      </c>
      <c r="AS81" s="817">
        <v>9900</v>
      </c>
      <c r="AT81" s="817">
        <v>297</v>
      </c>
      <c r="AU81" s="821">
        <v>1485</v>
      </c>
      <c r="AV81" s="823">
        <v>18</v>
      </c>
      <c r="AW81" s="817">
        <v>1000000</v>
      </c>
      <c r="AX81" s="817">
        <v>0</v>
      </c>
      <c r="AY81" s="817">
        <v>2</v>
      </c>
      <c r="AZ81" s="817">
        <v>0</v>
      </c>
      <c r="BA81" s="817">
        <v>10000</v>
      </c>
      <c r="BB81" s="824">
        <v>21.643771043771043</v>
      </c>
      <c r="BC81" s="825">
        <v>55555</v>
      </c>
      <c r="BD81" s="816">
        <v>215</v>
      </c>
      <c r="BE81" s="817">
        <v>155</v>
      </c>
      <c r="BF81" s="817">
        <f t="shared" si="24"/>
        <v>268</v>
      </c>
      <c r="BG81" s="821">
        <f t="shared" si="25"/>
        <v>53</v>
      </c>
      <c r="BH81" s="822">
        <v>11</v>
      </c>
      <c r="BI81" s="817">
        <v>2365</v>
      </c>
      <c r="BJ81" s="817">
        <v>11825</v>
      </c>
      <c r="BK81" s="817">
        <v>354</v>
      </c>
      <c r="BL81" s="821">
        <v>1773</v>
      </c>
      <c r="BM81" s="823">
        <v>36</v>
      </c>
      <c r="BN81" s="817">
        <v>1500000</v>
      </c>
      <c r="BO81" s="817">
        <v>0</v>
      </c>
      <c r="BP81" s="817">
        <v>4</v>
      </c>
      <c r="BQ81" s="817">
        <v>0</v>
      </c>
      <c r="BR81" s="817">
        <v>10000</v>
      </c>
      <c r="BS81" s="824">
        <v>27.68287526427061</v>
      </c>
      <c r="BT81" s="825">
        <v>41666</v>
      </c>
      <c r="BU81" s="816">
        <v>287</v>
      </c>
      <c r="BV81" s="817">
        <v>207</v>
      </c>
      <c r="BW81" s="817">
        <f t="shared" si="26"/>
        <v>358</v>
      </c>
      <c r="BX81" s="821">
        <f t="shared" si="27"/>
        <v>71</v>
      </c>
      <c r="BY81" s="822">
        <v>11</v>
      </c>
      <c r="BZ81" s="817">
        <v>3157</v>
      </c>
      <c r="CA81" s="817">
        <v>15785</v>
      </c>
      <c r="CB81" s="817">
        <v>473</v>
      </c>
      <c r="CC81" s="821">
        <v>2367</v>
      </c>
      <c r="CD81" s="823">
        <v>84</v>
      </c>
      <c r="CE81" s="817">
        <v>2000000</v>
      </c>
      <c r="CF81" s="817">
        <v>0</v>
      </c>
      <c r="CG81" s="817">
        <v>0</v>
      </c>
      <c r="CH81" s="817">
        <v>2</v>
      </c>
      <c r="CI81" s="817">
        <v>10000</v>
      </c>
      <c r="CJ81" s="824">
        <v>29.018319079294688</v>
      </c>
      <c r="CK81" s="825">
        <v>23809</v>
      </c>
      <c r="CL81" s="816">
        <v>430</v>
      </c>
      <c r="CM81" s="817">
        <v>310</v>
      </c>
      <c r="CN81" s="817">
        <f t="shared" si="28"/>
        <v>537</v>
      </c>
      <c r="CO81" s="821">
        <f t="shared" si="29"/>
        <v>107</v>
      </c>
      <c r="CP81" s="822">
        <v>11</v>
      </c>
      <c r="CQ81" s="817">
        <v>4730</v>
      </c>
      <c r="CR81" s="817">
        <v>23650</v>
      </c>
      <c r="CS81" s="817">
        <v>709</v>
      </c>
      <c r="CT81" s="821">
        <v>3547</v>
      </c>
      <c r="CU81" s="823">
        <v>156</v>
      </c>
      <c r="CV81" s="817">
        <v>2500000</v>
      </c>
      <c r="CW81" s="817">
        <v>0</v>
      </c>
      <c r="CX81" s="817">
        <v>0</v>
      </c>
      <c r="CY81" s="817">
        <v>4</v>
      </c>
      <c r="CZ81" s="817">
        <v>10000</v>
      </c>
      <c r="DA81" s="824">
        <v>26.36092318534179</v>
      </c>
      <c r="DB81" s="825">
        <v>16025</v>
      </c>
      <c r="DC81" s="826">
        <v>297</v>
      </c>
      <c r="DD81" s="817">
        <v>7000000</v>
      </c>
      <c r="DE81" s="827">
        <v>0</v>
      </c>
      <c r="DF81" s="827">
        <v>6</v>
      </c>
      <c r="DG81" s="827">
        <v>6</v>
      </c>
      <c r="DH81" s="817">
        <v>41188</v>
      </c>
      <c r="DI81" s="824">
        <v>61.663143058491897</v>
      </c>
      <c r="DJ81" s="825">
        <v>23569.023569023568</v>
      </c>
      <c r="DK81" s="828">
        <v>81</v>
      </c>
      <c r="DL81" s="829" t="s">
        <v>43</v>
      </c>
      <c r="DM81" s="830">
        <v>10000</v>
      </c>
      <c r="DN81" s="831">
        <v>33333</v>
      </c>
      <c r="DO81" s="832">
        <v>66666</v>
      </c>
      <c r="DP81" s="832">
        <v>133332</v>
      </c>
      <c r="DQ81" s="832">
        <v>266664</v>
      </c>
      <c r="DR81" s="832">
        <v>533328</v>
      </c>
      <c r="DS81" s="832"/>
      <c r="DT81" s="832"/>
      <c r="DU81" s="832"/>
      <c r="DV81" s="832"/>
      <c r="DW81" s="832"/>
      <c r="DX81" s="833"/>
      <c r="DY81" s="834" t="s">
        <v>43</v>
      </c>
      <c r="DZ81" s="835"/>
      <c r="EA81" s="814"/>
      <c r="EB81" s="814"/>
      <c r="EC81" s="836"/>
      <c r="ED81" s="837"/>
      <c r="EE81" s="817"/>
      <c r="EF81" s="817"/>
      <c r="EG81" s="817"/>
      <c r="EH81" s="821"/>
      <c r="EI81" s="838"/>
      <c r="EJ81" s="839"/>
    </row>
    <row r="82" spans="2:140">
      <c r="B82" s="1125" t="s">
        <v>222</v>
      </c>
      <c r="C82" s="803" t="s">
        <v>52</v>
      </c>
      <c r="D82" s="804"/>
      <c r="E82" s="805" t="s">
        <v>43</v>
      </c>
      <c r="F82" s="806"/>
      <c r="G82" s="807"/>
      <c r="H82" s="808">
        <v>4</v>
      </c>
      <c r="I82" s="809" t="s">
        <v>282</v>
      </c>
      <c r="J82" s="810">
        <v>5</v>
      </c>
      <c r="K82" s="811">
        <v>0.15</v>
      </c>
      <c r="L82" s="812">
        <v>1.40625</v>
      </c>
      <c r="M82" s="813">
        <v>100</v>
      </c>
      <c r="N82" s="806">
        <v>97</v>
      </c>
      <c r="O82" s="840">
        <v>42351</v>
      </c>
      <c r="P82" s="815" t="s">
        <v>206</v>
      </c>
      <c r="Q82" s="816">
        <v>450</v>
      </c>
      <c r="R82" s="817">
        <v>320</v>
      </c>
      <c r="S82" s="818">
        <v>27000</v>
      </c>
      <c r="T82" s="819" t="s">
        <v>412</v>
      </c>
      <c r="U82" s="820" t="s">
        <v>654</v>
      </c>
      <c r="V82" s="816">
        <v>150</v>
      </c>
      <c r="W82" s="817">
        <v>107</v>
      </c>
      <c r="X82" s="817">
        <f t="shared" si="20"/>
        <v>185</v>
      </c>
      <c r="Y82" s="821">
        <f t="shared" si="21"/>
        <v>35</v>
      </c>
      <c r="Z82" s="822">
        <v>12</v>
      </c>
      <c r="AA82" s="817">
        <v>1800</v>
      </c>
      <c r="AB82" s="817">
        <v>9000</v>
      </c>
      <c r="AC82" s="817">
        <v>270</v>
      </c>
      <c r="AD82" s="821">
        <v>1350</v>
      </c>
      <c r="AE82" s="823">
        <v>2</v>
      </c>
      <c r="AF82" s="817">
        <v>0</v>
      </c>
      <c r="AG82" s="817">
        <v>0</v>
      </c>
      <c r="AH82" s="817">
        <v>0</v>
      </c>
      <c r="AI82" s="817">
        <v>0</v>
      </c>
      <c r="AJ82" s="817">
        <v>540</v>
      </c>
      <c r="AK82" s="824">
        <v>0</v>
      </c>
      <c r="AL82" s="825">
        <v>0</v>
      </c>
      <c r="AM82" s="816">
        <v>188</v>
      </c>
      <c r="AN82" s="817">
        <v>134</v>
      </c>
      <c r="AO82" s="817">
        <f t="shared" si="22"/>
        <v>232</v>
      </c>
      <c r="AP82" s="821">
        <f t="shared" si="23"/>
        <v>44</v>
      </c>
      <c r="AQ82" s="822">
        <v>12</v>
      </c>
      <c r="AR82" s="817">
        <v>2256</v>
      </c>
      <c r="AS82" s="817">
        <v>11280</v>
      </c>
      <c r="AT82" s="817">
        <v>338</v>
      </c>
      <c r="AU82" s="821">
        <v>1692</v>
      </c>
      <c r="AV82" s="823">
        <v>12</v>
      </c>
      <c r="AW82" s="817">
        <v>1040000</v>
      </c>
      <c r="AX82" s="817">
        <v>0</v>
      </c>
      <c r="AY82" s="817">
        <v>2</v>
      </c>
      <c r="AZ82" s="817">
        <v>0</v>
      </c>
      <c r="BA82" s="817">
        <v>4061</v>
      </c>
      <c r="BB82" s="824">
        <v>19.606973995271868</v>
      </c>
      <c r="BC82" s="825">
        <v>86666</v>
      </c>
      <c r="BD82" s="816">
        <v>225</v>
      </c>
      <c r="BE82" s="817">
        <v>160</v>
      </c>
      <c r="BF82" s="817">
        <f t="shared" si="24"/>
        <v>277</v>
      </c>
      <c r="BG82" s="821">
        <f t="shared" si="25"/>
        <v>52</v>
      </c>
      <c r="BH82" s="822">
        <v>12</v>
      </c>
      <c r="BI82" s="817">
        <v>2700</v>
      </c>
      <c r="BJ82" s="817">
        <v>13500</v>
      </c>
      <c r="BK82" s="817">
        <v>405</v>
      </c>
      <c r="BL82" s="821">
        <v>2025</v>
      </c>
      <c r="BM82" s="823">
        <v>24</v>
      </c>
      <c r="BN82" s="817">
        <v>1560000</v>
      </c>
      <c r="BO82" s="817">
        <v>0</v>
      </c>
      <c r="BP82" s="817">
        <v>3</v>
      </c>
      <c r="BQ82" s="817">
        <v>0</v>
      </c>
      <c r="BR82" s="817">
        <v>9720</v>
      </c>
      <c r="BS82" s="824">
        <v>24.909629629629631</v>
      </c>
      <c r="BT82" s="825">
        <v>65000</v>
      </c>
      <c r="BU82" s="816">
        <v>300</v>
      </c>
      <c r="BV82" s="817">
        <v>214</v>
      </c>
      <c r="BW82" s="817">
        <f t="shared" si="26"/>
        <v>370</v>
      </c>
      <c r="BX82" s="821">
        <f t="shared" si="27"/>
        <v>70</v>
      </c>
      <c r="BY82" s="822">
        <v>12</v>
      </c>
      <c r="BZ82" s="817">
        <v>3600</v>
      </c>
      <c r="CA82" s="817">
        <v>18000</v>
      </c>
      <c r="CB82" s="817">
        <v>540</v>
      </c>
      <c r="CC82" s="821">
        <v>2700</v>
      </c>
      <c r="CD82" s="823">
        <v>72</v>
      </c>
      <c r="CE82" s="817">
        <v>2080000</v>
      </c>
      <c r="CF82" s="817">
        <v>0</v>
      </c>
      <c r="CG82" s="817">
        <v>0</v>
      </c>
      <c r="CH82" s="817">
        <v>2</v>
      </c>
      <c r="CI82" s="817">
        <v>10000</v>
      </c>
      <c r="CJ82" s="824">
        <v>26.324074074074076</v>
      </c>
      <c r="CK82" s="825">
        <v>28888</v>
      </c>
      <c r="CL82" s="816">
        <v>450</v>
      </c>
      <c r="CM82" s="817">
        <v>320</v>
      </c>
      <c r="CN82" s="817">
        <f t="shared" si="28"/>
        <v>554</v>
      </c>
      <c r="CO82" s="821">
        <f t="shared" si="29"/>
        <v>104</v>
      </c>
      <c r="CP82" s="822">
        <v>12</v>
      </c>
      <c r="CQ82" s="817">
        <v>5400</v>
      </c>
      <c r="CR82" s="817">
        <v>27000</v>
      </c>
      <c r="CS82" s="817">
        <v>810</v>
      </c>
      <c r="CT82" s="821">
        <v>4050</v>
      </c>
      <c r="CU82" s="823">
        <v>120</v>
      </c>
      <c r="CV82" s="817">
        <v>2600000</v>
      </c>
      <c r="CW82" s="817">
        <v>0</v>
      </c>
      <c r="CX82" s="817">
        <v>0</v>
      </c>
      <c r="CY82" s="817">
        <v>3</v>
      </c>
      <c r="CZ82" s="817">
        <v>10000</v>
      </c>
      <c r="DA82" s="824">
        <v>23.395061728395063</v>
      </c>
      <c r="DB82" s="825">
        <v>21666</v>
      </c>
      <c r="DC82" s="826">
        <v>230</v>
      </c>
      <c r="DD82" s="817">
        <v>7280000</v>
      </c>
      <c r="DE82" s="827">
        <v>0</v>
      </c>
      <c r="DF82" s="827">
        <v>5</v>
      </c>
      <c r="DG82" s="827">
        <v>5</v>
      </c>
      <c r="DH82" s="817">
        <v>34321</v>
      </c>
      <c r="DI82" s="824">
        <v>56.172839506172835</v>
      </c>
      <c r="DJ82" s="825">
        <v>31652.17391304348</v>
      </c>
      <c r="DK82" s="828">
        <v>63</v>
      </c>
      <c r="DL82" s="829" t="s">
        <v>43</v>
      </c>
      <c r="DM82" s="830">
        <v>10000</v>
      </c>
      <c r="DN82" s="831">
        <v>39800</v>
      </c>
      <c r="DO82" s="832">
        <v>79600</v>
      </c>
      <c r="DP82" s="832">
        <v>159200</v>
      </c>
      <c r="DQ82" s="832">
        <v>318400</v>
      </c>
      <c r="DR82" s="832">
        <v>636800</v>
      </c>
      <c r="DS82" s="832"/>
      <c r="DT82" s="832"/>
      <c r="DU82" s="832"/>
      <c r="DV82" s="832"/>
      <c r="DW82" s="832"/>
      <c r="DX82" s="833"/>
      <c r="DY82" s="834" t="s">
        <v>43</v>
      </c>
      <c r="DZ82" s="835"/>
      <c r="EA82" s="814"/>
      <c r="EB82" s="814"/>
      <c r="EC82" s="836"/>
      <c r="ED82" s="837"/>
      <c r="EE82" s="817"/>
      <c r="EF82" s="817"/>
      <c r="EG82" s="817"/>
      <c r="EH82" s="821"/>
      <c r="EI82" s="838"/>
      <c r="EJ82" s="839"/>
    </row>
    <row r="83" spans="2:140">
      <c r="B83" s="1125" t="s">
        <v>146</v>
      </c>
      <c r="C83" s="803" t="s">
        <v>52</v>
      </c>
      <c r="D83" s="804"/>
      <c r="E83" s="805" t="s">
        <v>43</v>
      </c>
      <c r="F83" s="806"/>
      <c r="G83" s="807"/>
      <c r="H83" s="808">
        <v>6</v>
      </c>
      <c r="I83" s="809" t="s">
        <v>270</v>
      </c>
      <c r="J83" s="810">
        <v>6</v>
      </c>
      <c r="K83" s="811">
        <v>0.15</v>
      </c>
      <c r="L83" s="812">
        <v>1.3333333333333333</v>
      </c>
      <c r="M83" s="813">
        <v>30</v>
      </c>
      <c r="N83" s="806">
        <v>6004</v>
      </c>
      <c r="O83" s="840">
        <v>42252</v>
      </c>
      <c r="P83" s="815" t="s">
        <v>98</v>
      </c>
      <c r="Q83" s="816">
        <v>400</v>
      </c>
      <c r="R83" s="817">
        <v>300</v>
      </c>
      <c r="S83" s="818">
        <v>21600</v>
      </c>
      <c r="T83" s="819" t="s">
        <v>413</v>
      </c>
      <c r="U83" s="820" t="s">
        <v>655</v>
      </c>
      <c r="V83" s="816">
        <v>400</v>
      </c>
      <c r="W83" s="817">
        <v>300</v>
      </c>
      <c r="X83" s="817">
        <f t="shared" si="20"/>
        <v>519</v>
      </c>
      <c r="Y83" s="821">
        <f t="shared" si="21"/>
        <v>119</v>
      </c>
      <c r="Z83" s="822">
        <v>9</v>
      </c>
      <c r="AA83" s="817">
        <v>3600</v>
      </c>
      <c r="AB83" s="817">
        <v>21600</v>
      </c>
      <c r="AC83" s="817">
        <v>540</v>
      </c>
      <c r="AD83" s="821">
        <v>3240</v>
      </c>
      <c r="AE83" s="823">
        <v>6</v>
      </c>
      <c r="AF83" s="817">
        <v>0</v>
      </c>
      <c r="AG83" s="817">
        <v>0</v>
      </c>
      <c r="AH83" s="817">
        <v>0</v>
      </c>
      <c r="AI83" s="817">
        <v>0</v>
      </c>
      <c r="AJ83" s="817">
        <v>10000</v>
      </c>
      <c r="AK83" s="824">
        <v>0</v>
      </c>
      <c r="AL83" s="825">
        <v>0</v>
      </c>
      <c r="AM83" s="816">
        <v>600</v>
      </c>
      <c r="AN83" s="817">
        <v>450</v>
      </c>
      <c r="AO83" s="817">
        <f t="shared" si="22"/>
        <v>779</v>
      </c>
      <c r="AP83" s="821">
        <f t="shared" si="23"/>
        <v>179</v>
      </c>
      <c r="AQ83" s="822">
        <v>9</v>
      </c>
      <c r="AR83" s="817">
        <v>5400</v>
      </c>
      <c r="AS83" s="817">
        <v>32400</v>
      </c>
      <c r="AT83" s="817">
        <v>810</v>
      </c>
      <c r="AU83" s="821">
        <v>4860</v>
      </c>
      <c r="AV83" s="823">
        <v>22</v>
      </c>
      <c r="AW83" s="817">
        <v>2200000</v>
      </c>
      <c r="AX83" s="817">
        <v>0</v>
      </c>
      <c r="AY83" s="817">
        <v>1</v>
      </c>
      <c r="AZ83" s="817">
        <v>0</v>
      </c>
      <c r="BA83" s="817">
        <v>10000</v>
      </c>
      <c r="BB83" s="824">
        <v>17.586419753086421</v>
      </c>
      <c r="BC83" s="825">
        <v>100000</v>
      </c>
      <c r="BD83" s="816">
        <v>697</v>
      </c>
      <c r="BE83" s="817">
        <v>523</v>
      </c>
      <c r="BF83" s="817">
        <f t="shared" si="24"/>
        <v>906</v>
      </c>
      <c r="BG83" s="821">
        <f t="shared" si="25"/>
        <v>209</v>
      </c>
      <c r="BH83" s="822">
        <v>9</v>
      </c>
      <c r="BI83" s="817">
        <v>6273</v>
      </c>
      <c r="BJ83" s="817">
        <v>37638</v>
      </c>
      <c r="BK83" s="817">
        <v>940</v>
      </c>
      <c r="BL83" s="821">
        <v>5645</v>
      </c>
      <c r="BM83" s="823">
        <v>52</v>
      </c>
      <c r="BN83" s="817">
        <v>3200000</v>
      </c>
      <c r="BO83" s="817">
        <v>0</v>
      </c>
      <c r="BP83" s="817">
        <v>3</v>
      </c>
      <c r="BQ83" s="817">
        <v>0</v>
      </c>
      <c r="BR83" s="817">
        <v>10000</v>
      </c>
      <c r="BS83" s="824">
        <v>23.120250810351241</v>
      </c>
      <c r="BT83" s="825">
        <v>61538</v>
      </c>
      <c r="BU83" s="816">
        <v>760</v>
      </c>
      <c r="BV83" s="817">
        <v>570</v>
      </c>
      <c r="BW83" s="817">
        <f t="shared" si="26"/>
        <v>987</v>
      </c>
      <c r="BX83" s="821">
        <f t="shared" si="27"/>
        <v>227</v>
      </c>
      <c r="BY83" s="822">
        <v>9</v>
      </c>
      <c r="BZ83" s="817">
        <v>6840</v>
      </c>
      <c r="CA83" s="817">
        <v>41040</v>
      </c>
      <c r="CB83" s="817">
        <v>1026</v>
      </c>
      <c r="CC83" s="821">
        <v>6156</v>
      </c>
      <c r="CD83" s="823">
        <v>100</v>
      </c>
      <c r="CE83" s="817">
        <v>4200000</v>
      </c>
      <c r="CF83" s="817">
        <v>0</v>
      </c>
      <c r="CG83" s="817">
        <v>5</v>
      </c>
      <c r="CH83" s="817">
        <v>0</v>
      </c>
      <c r="CI83" s="817">
        <v>10000</v>
      </c>
      <c r="CJ83" s="824">
        <v>29.406067251461987</v>
      </c>
      <c r="CK83" s="825">
        <v>42000</v>
      </c>
      <c r="CL83" s="816">
        <v>800</v>
      </c>
      <c r="CM83" s="817">
        <v>600</v>
      </c>
      <c r="CN83" s="817">
        <f t="shared" si="28"/>
        <v>1039</v>
      </c>
      <c r="CO83" s="821">
        <f t="shared" si="29"/>
        <v>239</v>
      </c>
      <c r="CP83" s="822">
        <v>9</v>
      </c>
      <c r="CQ83" s="817">
        <v>7200</v>
      </c>
      <c r="CR83" s="817">
        <v>43200</v>
      </c>
      <c r="CS83" s="817">
        <v>1080</v>
      </c>
      <c r="CT83" s="821">
        <v>6480</v>
      </c>
      <c r="CU83" s="823">
        <v>172</v>
      </c>
      <c r="CV83" s="817">
        <v>5200000</v>
      </c>
      <c r="CW83" s="817">
        <v>0</v>
      </c>
      <c r="CX83" s="817">
        <v>10</v>
      </c>
      <c r="CY83" s="817">
        <v>0</v>
      </c>
      <c r="CZ83" s="817">
        <v>10000</v>
      </c>
      <c r="DA83" s="824">
        <v>36.900925925925925</v>
      </c>
      <c r="DB83" s="825">
        <v>30232</v>
      </c>
      <c r="DC83" s="826">
        <v>352</v>
      </c>
      <c r="DD83" s="817">
        <v>14800000</v>
      </c>
      <c r="DE83" s="827">
        <v>0</v>
      </c>
      <c r="DF83" s="827">
        <v>19</v>
      </c>
      <c r="DG83" s="827">
        <v>0</v>
      </c>
      <c r="DH83" s="817">
        <v>50000</v>
      </c>
      <c r="DI83" s="824">
        <v>85.648148148148152</v>
      </c>
      <c r="DJ83" s="825">
        <v>42045.454545454544</v>
      </c>
      <c r="DK83" s="828">
        <v>96</v>
      </c>
      <c r="DL83" s="829" t="s">
        <v>43</v>
      </c>
      <c r="DM83" s="830">
        <v>10000</v>
      </c>
      <c r="DN83" s="831">
        <v>130000</v>
      </c>
      <c r="DO83" s="832">
        <v>260000</v>
      </c>
      <c r="DP83" s="832">
        <v>520000</v>
      </c>
      <c r="DQ83" s="832"/>
      <c r="DR83" s="832"/>
      <c r="DS83" s="832"/>
      <c r="DT83" s="832"/>
      <c r="DU83" s="832"/>
      <c r="DV83" s="832"/>
      <c r="DW83" s="832"/>
      <c r="DX83" s="833"/>
      <c r="DY83" s="834" t="s">
        <v>43</v>
      </c>
      <c r="DZ83" s="835"/>
      <c r="EA83" s="814"/>
      <c r="EB83" s="814"/>
      <c r="EC83" s="836"/>
      <c r="ED83" s="837"/>
      <c r="EE83" s="817"/>
      <c r="EF83" s="817"/>
      <c r="EG83" s="817"/>
      <c r="EH83" s="821"/>
      <c r="EI83" s="838"/>
      <c r="EJ83" s="839"/>
    </row>
    <row r="84" spans="2:140">
      <c r="B84" s="1125" t="s">
        <v>157</v>
      </c>
      <c r="C84" s="803" t="s">
        <v>52</v>
      </c>
      <c r="D84" s="804" t="s">
        <v>43</v>
      </c>
      <c r="E84" s="805" t="s">
        <v>43</v>
      </c>
      <c r="F84" s="806"/>
      <c r="G84" s="807"/>
      <c r="H84" s="808">
        <v>6</v>
      </c>
      <c r="I84" s="809" t="s">
        <v>270</v>
      </c>
      <c r="J84" s="810">
        <v>4</v>
      </c>
      <c r="K84" s="811">
        <v>0.15</v>
      </c>
      <c r="L84" s="812">
        <v>1</v>
      </c>
      <c r="M84" s="813">
        <v>30</v>
      </c>
      <c r="N84" s="806">
        <v>6007</v>
      </c>
      <c r="O84" s="840">
        <v>42267</v>
      </c>
      <c r="P84" s="815" t="s">
        <v>98</v>
      </c>
      <c r="Q84" s="816">
        <v>600</v>
      </c>
      <c r="R84" s="817">
        <v>600</v>
      </c>
      <c r="S84" s="818">
        <v>43200</v>
      </c>
      <c r="T84" s="819" t="s">
        <v>414</v>
      </c>
      <c r="U84" s="820" t="s">
        <v>656</v>
      </c>
      <c r="V84" s="816">
        <v>600</v>
      </c>
      <c r="W84" s="817">
        <v>600</v>
      </c>
      <c r="X84" s="817">
        <f t="shared" si="20"/>
        <v>1039</v>
      </c>
      <c r="Y84" s="821">
        <f t="shared" si="21"/>
        <v>439</v>
      </c>
      <c r="Z84" s="822">
        <v>18</v>
      </c>
      <c r="AA84" s="817">
        <v>10800</v>
      </c>
      <c r="AB84" s="817">
        <v>43200</v>
      </c>
      <c r="AC84" s="817">
        <v>1620</v>
      </c>
      <c r="AD84" s="821">
        <v>6480</v>
      </c>
      <c r="AE84" s="823">
        <v>4</v>
      </c>
      <c r="AF84" s="817">
        <v>0</v>
      </c>
      <c r="AG84" s="817">
        <v>0</v>
      </c>
      <c r="AH84" s="817">
        <v>0</v>
      </c>
      <c r="AI84" s="817">
        <v>0</v>
      </c>
      <c r="AJ84" s="817">
        <v>10000</v>
      </c>
      <c r="AK84" s="824">
        <v>0</v>
      </c>
      <c r="AL84" s="825">
        <v>0</v>
      </c>
      <c r="AM84" s="816">
        <v>900</v>
      </c>
      <c r="AN84" s="817">
        <v>900</v>
      </c>
      <c r="AO84" s="817">
        <f t="shared" si="22"/>
        <v>1559</v>
      </c>
      <c r="AP84" s="821">
        <f t="shared" si="23"/>
        <v>659</v>
      </c>
      <c r="AQ84" s="822">
        <v>18</v>
      </c>
      <c r="AR84" s="817">
        <v>16200</v>
      </c>
      <c r="AS84" s="817">
        <v>64800</v>
      </c>
      <c r="AT84" s="817">
        <v>2430</v>
      </c>
      <c r="AU84" s="821">
        <v>9720</v>
      </c>
      <c r="AV84" s="823">
        <v>24</v>
      </c>
      <c r="AW84" s="817">
        <v>3000000</v>
      </c>
      <c r="AX84" s="817">
        <v>0</v>
      </c>
      <c r="AY84" s="817">
        <v>3</v>
      </c>
      <c r="AZ84" s="817">
        <v>0</v>
      </c>
      <c r="BA84" s="817">
        <v>10000</v>
      </c>
      <c r="BB84" s="824">
        <v>8.3827160493827169</v>
      </c>
      <c r="BC84" s="825">
        <v>125000</v>
      </c>
      <c r="BD84" s="816">
        <v>1046</v>
      </c>
      <c r="BE84" s="817">
        <v>1046</v>
      </c>
      <c r="BF84" s="817">
        <f t="shared" si="24"/>
        <v>1812</v>
      </c>
      <c r="BG84" s="821">
        <f t="shared" si="25"/>
        <v>766</v>
      </c>
      <c r="BH84" s="822">
        <v>19</v>
      </c>
      <c r="BI84" s="817">
        <v>19874</v>
      </c>
      <c r="BJ84" s="817">
        <v>79496</v>
      </c>
      <c r="BK84" s="817">
        <v>2981</v>
      </c>
      <c r="BL84" s="821">
        <v>11924</v>
      </c>
      <c r="BM84" s="823">
        <v>54</v>
      </c>
      <c r="BN84" s="817">
        <v>4500000</v>
      </c>
      <c r="BO84" s="817">
        <v>0</v>
      </c>
      <c r="BP84" s="817">
        <v>5</v>
      </c>
      <c r="BQ84" s="817">
        <v>0</v>
      </c>
      <c r="BR84" s="817">
        <v>10000</v>
      </c>
      <c r="BS84" s="824">
        <v>11.268491496427494</v>
      </c>
      <c r="BT84" s="825">
        <v>83333</v>
      </c>
      <c r="BU84" s="816">
        <v>1140</v>
      </c>
      <c r="BV84" s="817">
        <v>1140</v>
      </c>
      <c r="BW84" s="817">
        <f t="shared" si="26"/>
        <v>1975</v>
      </c>
      <c r="BX84" s="821">
        <f t="shared" si="27"/>
        <v>835</v>
      </c>
      <c r="BY84" s="822">
        <v>19</v>
      </c>
      <c r="BZ84" s="817">
        <v>21660</v>
      </c>
      <c r="CA84" s="817">
        <v>86640</v>
      </c>
      <c r="CB84" s="817">
        <v>3249</v>
      </c>
      <c r="CC84" s="821">
        <v>12996</v>
      </c>
      <c r="CD84" s="823">
        <v>102</v>
      </c>
      <c r="CE84" s="817">
        <v>6000000</v>
      </c>
      <c r="CF84" s="817">
        <v>0</v>
      </c>
      <c r="CG84" s="817">
        <v>10</v>
      </c>
      <c r="CH84" s="817">
        <v>0</v>
      </c>
      <c r="CI84" s="817">
        <v>10000</v>
      </c>
      <c r="CJ84" s="824">
        <v>15.441574330563251</v>
      </c>
      <c r="CK84" s="825">
        <v>58823</v>
      </c>
      <c r="CL84" s="816">
        <v>1200</v>
      </c>
      <c r="CM84" s="817">
        <v>1200</v>
      </c>
      <c r="CN84" s="817">
        <f t="shared" si="28"/>
        <v>2079</v>
      </c>
      <c r="CO84" s="821">
        <f t="shared" si="29"/>
        <v>879</v>
      </c>
      <c r="CP84" s="822">
        <v>20</v>
      </c>
      <c r="CQ84" s="817">
        <v>24000</v>
      </c>
      <c r="CR84" s="817">
        <v>96000</v>
      </c>
      <c r="CS84" s="817">
        <v>3600</v>
      </c>
      <c r="CT84" s="821">
        <v>14400</v>
      </c>
      <c r="CU84" s="823">
        <v>192</v>
      </c>
      <c r="CV84" s="817">
        <v>7500000</v>
      </c>
      <c r="CW84" s="817">
        <v>0</v>
      </c>
      <c r="CX84" s="817">
        <v>15</v>
      </c>
      <c r="CY84" s="817">
        <v>0</v>
      </c>
      <c r="CZ84" s="817">
        <v>10000</v>
      </c>
      <c r="DA84" s="824">
        <v>20.240833333333331</v>
      </c>
      <c r="DB84" s="825">
        <v>39062</v>
      </c>
      <c r="DC84" s="826">
        <v>376</v>
      </c>
      <c r="DD84" s="817">
        <v>21000000</v>
      </c>
      <c r="DE84" s="827">
        <v>0</v>
      </c>
      <c r="DF84" s="827">
        <v>33</v>
      </c>
      <c r="DG84" s="827">
        <v>0</v>
      </c>
      <c r="DH84" s="817">
        <v>50000</v>
      </c>
      <c r="DI84" s="824">
        <v>36.458333333333336</v>
      </c>
      <c r="DJ84" s="825">
        <v>55851.063829787236</v>
      </c>
      <c r="DK84" s="828">
        <v>103</v>
      </c>
      <c r="DL84" s="829" t="s">
        <v>43</v>
      </c>
      <c r="DM84" s="830">
        <v>10000</v>
      </c>
      <c r="DN84" s="831">
        <v>250000</v>
      </c>
      <c r="DO84" s="832">
        <v>500000</v>
      </c>
      <c r="DP84" s="832">
        <v>1000000</v>
      </c>
      <c r="DQ84" s="832"/>
      <c r="DR84" s="832"/>
      <c r="DS84" s="832"/>
      <c r="DT84" s="832"/>
      <c r="DU84" s="832"/>
      <c r="DV84" s="832"/>
      <c r="DW84" s="832"/>
      <c r="DX84" s="833"/>
      <c r="DY84" s="834" t="s">
        <v>43</v>
      </c>
      <c r="DZ84" s="835"/>
      <c r="EA84" s="814"/>
      <c r="EB84" s="814"/>
      <c r="EC84" s="836"/>
      <c r="ED84" s="837"/>
      <c r="EE84" s="817"/>
      <c r="EF84" s="817"/>
      <c r="EG84" s="817"/>
      <c r="EH84" s="821"/>
      <c r="EI84" s="838"/>
      <c r="EJ84" s="839"/>
    </row>
    <row r="85" spans="2:140">
      <c r="B85" s="1125" t="s">
        <v>174</v>
      </c>
      <c r="C85" s="803" t="s">
        <v>52</v>
      </c>
      <c r="D85" s="804"/>
      <c r="E85" s="805" t="s">
        <v>43</v>
      </c>
      <c r="F85" s="806"/>
      <c r="G85" s="807"/>
      <c r="H85" s="808">
        <v>6</v>
      </c>
      <c r="I85" s="809" t="s">
        <v>270</v>
      </c>
      <c r="J85" s="810">
        <v>6</v>
      </c>
      <c r="K85" s="811">
        <v>0.15</v>
      </c>
      <c r="L85" s="812">
        <v>1.3442622950819672</v>
      </c>
      <c r="M85" s="813">
        <v>30</v>
      </c>
      <c r="N85" s="806">
        <v>6013</v>
      </c>
      <c r="O85" s="840">
        <v>42288</v>
      </c>
      <c r="P85" s="815" t="s">
        <v>98</v>
      </c>
      <c r="Q85" s="816">
        <v>410</v>
      </c>
      <c r="R85" s="817">
        <v>305</v>
      </c>
      <c r="S85" s="818">
        <v>22140</v>
      </c>
      <c r="T85" s="819" t="s">
        <v>415</v>
      </c>
      <c r="U85" s="820" t="s">
        <v>657</v>
      </c>
      <c r="V85" s="816">
        <v>410</v>
      </c>
      <c r="W85" s="817">
        <v>305</v>
      </c>
      <c r="X85" s="817">
        <f t="shared" si="20"/>
        <v>528</v>
      </c>
      <c r="Y85" s="821">
        <f t="shared" si="21"/>
        <v>118</v>
      </c>
      <c r="Z85" s="822">
        <v>9</v>
      </c>
      <c r="AA85" s="817">
        <v>3690</v>
      </c>
      <c r="AB85" s="817">
        <v>22140</v>
      </c>
      <c r="AC85" s="817">
        <v>553</v>
      </c>
      <c r="AD85" s="821">
        <v>3321</v>
      </c>
      <c r="AE85" s="823">
        <v>2</v>
      </c>
      <c r="AF85" s="817">
        <v>0</v>
      </c>
      <c r="AG85" s="817">
        <v>0</v>
      </c>
      <c r="AH85" s="817">
        <v>0</v>
      </c>
      <c r="AI85" s="817">
        <v>0</v>
      </c>
      <c r="AJ85" s="817">
        <v>10000</v>
      </c>
      <c r="AK85" s="824">
        <v>0</v>
      </c>
      <c r="AL85" s="825">
        <v>0</v>
      </c>
      <c r="AM85" s="816">
        <v>615</v>
      </c>
      <c r="AN85" s="817">
        <v>458</v>
      </c>
      <c r="AO85" s="817">
        <f t="shared" si="22"/>
        <v>793</v>
      </c>
      <c r="AP85" s="821">
        <f t="shared" si="23"/>
        <v>178</v>
      </c>
      <c r="AQ85" s="822">
        <v>9</v>
      </c>
      <c r="AR85" s="817">
        <v>5535</v>
      </c>
      <c r="AS85" s="817">
        <v>33210</v>
      </c>
      <c r="AT85" s="817">
        <v>830</v>
      </c>
      <c r="AU85" s="821">
        <v>4981</v>
      </c>
      <c r="AV85" s="823">
        <v>24</v>
      </c>
      <c r="AW85" s="817">
        <v>2200000</v>
      </c>
      <c r="AX85" s="817">
        <v>0</v>
      </c>
      <c r="AY85" s="817">
        <v>2</v>
      </c>
      <c r="AZ85" s="817">
        <v>0</v>
      </c>
      <c r="BA85" s="976">
        <v>10000</v>
      </c>
      <c r="BB85" s="824">
        <v>17.227943390545018</v>
      </c>
      <c r="BC85" s="825">
        <v>91666</v>
      </c>
      <c r="BD85" s="977">
        <v>717</v>
      </c>
      <c r="BE85" s="976">
        <v>533</v>
      </c>
      <c r="BF85" s="976">
        <f t="shared" si="24"/>
        <v>923</v>
      </c>
      <c r="BG85" s="978">
        <f t="shared" si="25"/>
        <v>206</v>
      </c>
      <c r="BH85" s="822">
        <v>9</v>
      </c>
      <c r="BI85" s="976">
        <v>6453</v>
      </c>
      <c r="BJ85" s="976">
        <v>38718</v>
      </c>
      <c r="BK85" s="976">
        <v>967</v>
      </c>
      <c r="BL85" s="978">
        <v>5807</v>
      </c>
      <c r="BM85" s="981">
        <v>56</v>
      </c>
      <c r="BN85" s="976">
        <v>3300000</v>
      </c>
      <c r="BO85" s="976">
        <v>0</v>
      </c>
      <c r="BP85" s="976">
        <v>4</v>
      </c>
      <c r="BQ85" s="976">
        <v>0</v>
      </c>
      <c r="BR85" s="976">
        <v>10000</v>
      </c>
      <c r="BS85" s="980">
        <v>23.309313497598016</v>
      </c>
      <c r="BT85" s="982">
        <v>58928</v>
      </c>
      <c r="BU85" s="816">
        <v>779</v>
      </c>
      <c r="BV85" s="817">
        <v>580</v>
      </c>
      <c r="BW85" s="817">
        <f t="shared" si="26"/>
        <v>1004</v>
      </c>
      <c r="BX85" s="821">
        <f t="shared" si="27"/>
        <v>225</v>
      </c>
      <c r="BY85" s="822">
        <v>9</v>
      </c>
      <c r="BZ85" s="817">
        <v>7011</v>
      </c>
      <c r="CA85" s="817">
        <v>42066</v>
      </c>
      <c r="CB85" s="817">
        <v>1051</v>
      </c>
      <c r="CC85" s="821">
        <v>6309</v>
      </c>
      <c r="CD85" s="981">
        <v>102</v>
      </c>
      <c r="CE85" s="976">
        <v>4400000</v>
      </c>
      <c r="CF85" s="976">
        <v>0</v>
      </c>
      <c r="CG85" s="976">
        <v>6</v>
      </c>
      <c r="CH85" s="976">
        <v>0</v>
      </c>
      <c r="CI85" s="976">
        <v>10000</v>
      </c>
      <c r="CJ85" s="980">
        <v>30.06113012884515</v>
      </c>
      <c r="CK85" s="982">
        <v>43137</v>
      </c>
      <c r="CL85" s="816">
        <v>820</v>
      </c>
      <c r="CM85" s="817">
        <v>610</v>
      </c>
      <c r="CN85" s="817">
        <f t="shared" si="28"/>
        <v>1056</v>
      </c>
      <c r="CO85" s="821">
        <f t="shared" si="29"/>
        <v>236</v>
      </c>
      <c r="CP85" s="822">
        <v>9</v>
      </c>
      <c r="CQ85" s="817">
        <v>7380</v>
      </c>
      <c r="CR85" s="817">
        <v>44280</v>
      </c>
      <c r="CS85" s="817">
        <v>1107</v>
      </c>
      <c r="CT85" s="821">
        <v>6642</v>
      </c>
      <c r="CU85" s="823">
        <v>192</v>
      </c>
      <c r="CV85" s="817">
        <v>5500000</v>
      </c>
      <c r="CW85" s="817">
        <v>0</v>
      </c>
      <c r="CX85" s="817">
        <v>12</v>
      </c>
      <c r="CY85" s="817">
        <v>0</v>
      </c>
      <c r="CZ85" s="976">
        <v>10000</v>
      </c>
      <c r="DA85" s="824">
        <v>38.65239385727191</v>
      </c>
      <c r="DB85" s="825">
        <v>28645</v>
      </c>
      <c r="DC85" s="983">
        <v>376</v>
      </c>
      <c r="DD85" s="976">
        <v>15400000</v>
      </c>
      <c r="DE85" s="984">
        <v>0</v>
      </c>
      <c r="DF85" s="984">
        <v>24</v>
      </c>
      <c r="DG85" s="984">
        <v>0</v>
      </c>
      <c r="DH85" s="976">
        <v>50000</v>
      </c>
      <c r="DI85" s="980">
        <v>86.946702800361336</v>
      </c>
      <c r="DJ85" s="982">
        <v>40957.446808510642</v>
      </c>
      <c r="DK85" s="986">
        <v>103</v>
      </c>
      <c r="DL85" s="829" t="s">
        <v>43</v>
      </c>
      <c r="DM85" s="830">
        <v>10000</v>
      </c>
      <c r="DN85" s="831">
        <v>140000</v>
      </c>
      <c r="DO85" s="832">
        <v>280000</v>
      </c>
      <c r="DP85" s="832">
        <v>560000</v>
      </c>
      <c r="DQ85" s="832"/>
      <c r="DR85" s="832"/>
      <c r="DS85" s="832"/>
      <c r="DT85" s="832"/>
      <c r="DU85" s="832"/>
      <c r="DV85" s="832"/>
      <c r="DW85" s="832"/>
      <c r="DX85" s="833"/>
      <c r="DY85" s="834" t="s">
        <v>43</v>
      </c>
      <c r="DZ85" s="835"/>
      <c r="EA85" s="814"/>
      <c r="EB85" s="814"/>
      <c r="EC85" s="836"/>
      <c r="ED85" s="837"/>
      <c r="EE85" s="817"/>
      <c r="EF85" s="817"/>
      <c r="EG85" s="817"/>
      <c r="EH85" s="821"/>
      <c r="EI85" s="838"/>
      <c r="EJ85" s="839"/>
    </row>
    <row r="86" spans="2:140">
      <c r="B86" s="1125" t="s">
        <v>198</v>
      </c>
      <c r="C86" s="803" t="s">
        <v>52</v>
      </c>
      <c r="D86" s="804"/>
      <c r="E86" s="805"/>
      <c r="F86" s="806" t="s">
        <v>43</v>
      </c>
      <c r="G86" s="807"/>
      <c r="H86" s="808">
        <v>6</v>
      </c>
      <c r="I86" s="809" t="s">
        <v>270</v>
      </c>
      <c r="J86" s="810">
        <v>6</v>
      </c>
      <c r="K86" s="811">
        <v>0.15</v>
      </c>
      <c r="L86" s="812">
        <v>1.3440000000000001</v>
      </c>
      <c r="M86" s="813">
        <v>30</v>
      </c>
      <c r="N86" s="806">
        <v>6019</v>
      </c>
      <c r="O86" s="840">
        <v>42330</v>
      </c>
      <c r="P86" s="815" t="s">
        <v>206</v>
      </c>
      <c r="Q86" s="816">
        <v>840</v>
      </c>
      <c r="R86" s="817">
        <v>625</v>
      </c>
      <c r="S86" s="818">
        <v>50400</v>
      </c>
      <c r="T86" s="819" t="s">
        <v>416</v>
      </c>
      <c r="U86" s="820" t="s">
        <v>658</v>
      </c>
      <c r="V86" s="816">
        <v>280</v>
      </c>
      <c r="W86" s="817">
        <v>209</v>
      </c>
      <c r="X86" s="817">
        <f t="shared" si="20"/>
        <v>362</v>
      </c>
      <c r="Y86" s="821">
        <f t="shared" si="21"/>
        <v>82</v>
      </c>
      <c r="Z86" s="822">
        <v>9</v>
      </c>
      <c r="AA86" s="817">
        <v>2520</v>
      </c>
      <c r="AB86" s="817">
        <v>15120</v>
      </c>
      <c r="AC86" s="817">
        <v>378</v>
      </c>
      <c r="AD86" s="821">
        <v>2268</v>
      </c>
      <c r="AE86" s="823">
        <v>2.5</v>
      </c>
      <c r="AF86" s="817">
        <v>0</v>
      </c>
      <c r="AG86" s="817">
        <v>0</v>
      </c>
      <c r="AH86" s="817">
        <v>0</v>
      </c>
      <c r="AI86" s="817">
        <v>0</v>
      </c>
      <c r="AJ86" s="817">
        <v>10000</v>
      </c>
      <c r="AK86" s="824">
        <v>0</v>
      </c>
      <c r="AL86" s="825">
        <v>0</v>
      </c>
      <c r="AM86" s="816">
        <v>350</v>
      </c>
      <c r="AN86" s="817">
        <v>261</v>
      </c>
      <c r="AO86" s="817">
        <f t="shared" si="22"/>
        <v>452</v>
      </c>
      <c r="AP86" s="821">
        <f t="shared" si="23"/>
        <v>102</v>
      </c>
      <c r="AQ86" s="822">
        <v>9</v>
      </c>
      <c r="AR86" s="817">
        <v>3150</v>
      </c>
      <c r="AS86" s="817">
        <v>18900</v>
      </c>
      <c r="AT86" s="817">
        <v>472</v>
      </c>
      <c r="AU86" s="821">
        <v>2835</v>
      </c>
      <c r="AV86" s="823">
        <v>32</v>
      </c>
      <c r="AW86" s="817">
        <v>2240000</v>
      </c>
      <c r="AX86" s="817">
        <v>0</v>
      </c>
      <c r="AY86" s="817">
        <v>2</v>
      </c>
      <c r="AZ86" s="817">
        <v>0</v>
      </c>
      <c r="BA86" s="817">
        <v>10000</v>
      </c>
      <c r="BB86" s="824">
        <v>30.696296296296296</v>
      </c>
      <c r="BC86" s="825">
        <v>70000</v>
      </c>
      <c r="BD86" s="816">
        <v>420</v>
      </c>
      <c r="BE86" s="817">
        <v>313</v>
      </c>
      <c r="BF86" s="817">
        <f t="shared" si="24"/>
        <v>542</v>
      </c>
      <c r="BG86" s="821">
        <f t="shared" si="25"/>
        <v>122</v>
      </c>
      <c r="BH86" s="822">
        <v>9</v>
      </c>
      <c r="BI86" s="817">
        <v>3780</v>
      </c>
      <c r="BJ86" s="817">
        <v>22680</v>
      </c>
      <c r="BK86" s="817">
        <v>567</v>
      </c>
      <c r="BL86" s="821">
        <v>3402</v>
      </c>
      <c r="BM86" s="823">
        <v>72</v>
      </c>
      <c r="BN86" s="817">
        <v>3360000</v>
      </c>
      <c r="BO86" s="817">
        <v>0</v>
      </c>
      <c r="BP86" s="817">
        <v>4</v>
      </c>
      <c r="BQ86" s="817">
        <v>0</v>
      </c>
      <c r="BR86" s="817">
        <v>10000</v>
      </c>
      <c r="BS86" s="824">
        <v>39.537037037037038</v>
      </c>
      <c r="BT86" s="825">
        <v>46666</v>
      </c>
      <c r="BU86" s="816">
        <v>560</v>
      </c>
      <c r="BV86" s="817">
        <v>417</v>
      </c>
      <c r="BW86" s="817">
        <f t="shared" si="26"/>
        <v>722</v>
      </c>
      <c r="BX86" s="821">
        <f t="shared" si="27"/>
        <v>162</v>
      </c>
      <c r="BY86" s="822">
        <v>9</v>
      </c>
      <c r="BZ86" s="817">
        <v>5040</v>
      </c>
      <c r="CA86" s="817">
        <v>30240</v>
      </c>
      <c r="CB86" s="817">
        <v>756</v>
      </c>
      <c r="CC86" s="821">
        <v>4536</v>
      </c>
      <c r="CD86" s="823">
        <v>120</v>
      </c>
      <c r="CE86" s="817">
        <v>4480000</v>
      </c>
      <c r="CF86" s="817">
        <v>0</v>
      </c>
      <c r="CG86" s="817">
        <v>6</v>
      </c>
      <c r="CH86" s="817">
        <v>0</v>
      </c>
      <c r="CI86" s="817">
        <v>10000</v>
      </c>
      <c r="CJ86" s="824">
        <v>40.787037037037038</v>
      </c>
      <c r="CK86" s="825">
        <v>37333</v>
      </c>
      <c r="CL86" s="816">
        <v>840</v>
      </c>
      <c r="CM86" s="817">
        <v>625</v>
      </c>
      <c r="CN86" s="817">
        <f t="shared" si="28"/>
        <v>1082</v>
      </c>
      <c r="CO86" s="821">
        <f t="shared" si="29"/>
        <v>242</v>
      </c>
      <c r="CP86" s="822">
        <v>10</v>
      </c>
      <c r="CQ86" s="817">
        <v>8400</v>
      </c>
      <c r="CR86" s="817">
        <v>50400</v>
      </c>
      <c r="CS86" s="817">
        <v>1260</v>
      </c>
      <c r="CT86" s="821">
        <v>7560</v>
      </c>
      <c r="CU86" s="823">
        <v>216</v>
      </c>
      <c r="CV86" s="817">
        <v>5600000</v>
      </c>
      <c r="CW86" s="817">
        <v>0</v>
      </c>
      <c r="CX86" s="817">
        <v>12</v>
      </c>
      <c r="CY86" s="817">
        <v>0</v>
      </c>
      <c r="CZ86" s="976">
        <v>10000</v>
      </c>
      <c r="DA86" s="824">
        <v>33.177777777777777</v>
      </c>
      <c r="DB86" s="825">
        <v>25925</v>
      </c>
      <c r="DC86" s="826">
        <v>442.5</v>
      </c>
      <c r="DD86" s="817">
        <v>15680000</v>
      </c>
      <c r="DE86" s="827">
        <v>0</v>
      </c>
      <c r="DF86" s="827">
        <v>24</v>
      </c>
      <c r="DG86" s="827">
        <v>0</v>
      </c>
      <c r="DH86" s="976">
        <v>50000</v>
      </c>
      <c r="DI86" s="824">
        <v>77.777777777777786</v>
      </c>
      <c r="DJ86" s="825">
        <v>35435.028248587572</v>
      </c>
      <c r="DK86" s="828"/>
      <c r="DL86" s="829"/>
      <c r="DM86" s="830">
        <v>10000</v>
      </c>
      <c r="DN86" s="831">
        <v>240000</v>
      </c>
      <c r="DO86" s="832">
        <v>480000</v>
      </c>
      <c r="DP86" s="832">
        <v>960000</v>
      </c>
      <c r="DQ86" s="832"/>
      <c r="DR86" s="832"/>
      <c r="DS86" s="832"/>
      <c r="DT86" s="832"/>
      <c r="DU86" s="832"/>
      <c r="DV86" s="832"/>
      <c r="DW86" s="832"/>
      <c r="DX86" s="833"/>
      <c r="DY86" s="834" t="s">
        <v>43</v>
      </c>
      <c r="DZ86" s="835"/>
      <c r="EA86" s="814"/>
      <c r="EB86" s="814"/>
      <c r="EC86" s="836"/>
      <c r="ED86" s="837"/>
      <c r="EE86" s="817"/>
      <c r="EF86" s="817"/>
      <c r="EG86" s="817"/>
      <c r="EH86" s="821"/>
      <c r="EI86" s="838"/>
      <c r="EJ86" s="839"/>
    </row>
    <row r="87" spans="2:140">
      <c r="B87" s="1125" t="s">
        <v>226</v>
      </c>
      <c r="C87" s="803" t="s">
        <v>52</v>
      </c>
      <c r="D87" s="804"/>
      <c r="E87" s="805" t="s">
        <v>43</v>
      </c>
      <c r="F87" s="806"/>
      <c r="G87" s="807"/>
      <c r="H87" s="808">
        <v>6</v>
      </c>
      <c r="I87" s="809" t="s">
        <v>270</v>
      </c>
      <c r="J87" s="810">
        <v>6</v>
      </c>
      <c r="K87" s="811">
        <v>0.15</v>
      </c>
      <c r="L87" s="812">
        <v>1.3481717011128775</v>
      </c>
      <c r="M87" s="813">
        <v>30</v>
      </c>
      <c r="N87" s="806">
        <v>6023</v>
      </c>
      <c r="O87" s="840">
        <v>42357</v>
      </c>
      <c r="P87" s="815" t="s">
        <v>206</v>
      </c>
      <c r="Q87" s="816">
        <v>848</v>
      </c>
      <c r="R87" s="817">
        <v>629</v>
      </c>
      <c r="S87" s="818">
        <v>50880</v>
      </c>
      <c r="T87" s="819" t="s">
        <v>417</v>
      </c>
      <c r="U87" s="820" t="s">
        <v>659</v>
      </c>
      <c r="V87" s="816">
        <v>283</v>
      </c>
      <c r="W87" s="817">
        <v>210</v>
      </c>
      <c r="X87" s="817">
        <f t="shared" si="20"/>
        <v>363</v>
      </c>
      <c r="Y87" s="821">
        <f t="shared" si="21"/>
        <v>80</v>
      </c>
      <c r="Z87" s="822">
        <v>10</v>
      </c>
      <c r="AA87" s="817">
        <v>2830</v>
      </c>
      <c r="AB87" s="817">
        <v>16980</v>
      </c>
      <c r="AC87" s="817">
        <v>424</v>
      </c>
      <c r="AD87" s="821">
        <v>2547</v>
      </c>
      <c r="AE87" s="823">
        <v>3</v>
      </c>
      <c r="AF87" s="817">
        <v>0</v>
      </c>
      <c r="AG87" s="817">
        <v>0</v>
      </c>
      <c r="AH87" s="817">
        <v>0</v>
      </c>
      <c r="AI87" s="817">
        <v>0</v>
      </c>
      <c r="AJ87" s="817">
        <v>10000</v>
      </c>
      <c r="AK87" s="824">
        <v>0</v>
      </c>
      <c r="AL87" s="825">
        <v>0</v>
      </c>
      <c r="AM87" s="816">
        <v>354</v>
      </c>
      <c r="AN87" s="817">
        <v>263</v>
      </c>
      <c r="AO87" s="817">
        <f t="shared" si="22"/>
        <v>455</v>
      </c>
      <c r="AP87" s="821">
        <f t="shared" si="23"/>
        <v>101</v>
      </c>
      <c r="AQ87" s="822">
        <v>10</v>
      </c>
      <c r="AR87" s="817">
        <v>3540</v>
      </c>
      <c r="AS87" s="817">
        <v>21240</v>
      </c>
      <c r="AT87" s="817">
        <v>531</v>
      </c>
      <c r="AU87" s="821">
        <v>3186</v>
      </c>
      <c r="AV87" s="823">
        <v>36</v>
      </c>
      <c r="AW87" s="817">
        <v>2280000</v>
      </c>
      <c r="AX87" s="817">
        <v>0</v>
      </c>
      <c r="AY87" s="817">
        <v>3</v>
      </c>
      <c r="AZ87" s="817">
        <v>0</v>
      </c>
      <c r="BA87" s="817">
        <v>10000</v>
      </c>
      <c r="BB87" s="824">
        <v>28.035310734463277</v>
      </c>
      <c r="BC87" s="825">
        <v>63333</v>
      </c>
      <c r="BD87" s="816">
        <v>424</v>
      </c>
      <c r="BE87" s="817">
        <v>315</v>
      </c>
      <c r="BF87" s="817">
        <f t="shared" si="24"/>
        <v>545</v>
      </c>
      <c r="BG87" s="821">
        <f t="shared" si="25"/>
        <v>121</v>
      </c>
      <c r="BH87" s="822">
        <v>10</v>
      </c>
      <c r="BI87" s="817">
        <v>4240</v>
      </c>
      <c r="BJ87" s="817">
        <v>25440</v>
      </c>
      <c r="BK87" s="817">
        <v>636</v>
      </c>
      <c r="BL87" s="821">
        <v>3816</v>
      </c>
      <c r="BM87" s="823">
        <v>96</v>
      </c>
      <c r="BN87" s="817">
        <v>3420000</v>
      </c>
      <c r="BO87" s="817">
        <v>0</v>
      </c>
      <c r="BP87" s="817">
        <v>5</v>
      </c>
      <c r="BQ87" s="817">
        <v>0</v>
      </c>
      <c r="BR87" s="817">
        <v>10000</v>
      </c>
      <c r="BS87" s="824">
        <v>36.948113207547173</v>
      </c>
      <c r="BT87" s="825">
        <v>35625</v>
      </c>
      <c r="BU87" s="816">
        <v>566</v>
      </c>
      <c r="BV87" s="817">
        <v>420</v>
      </c>
      <c r="BW87" s="817">
        <f t="shared" si="26"/>
        <v>727</v>
      </c>
      <c r="BX87" s="821">
        <f t="shared" si="27"/>
        <v>161</v>
      </c>
      <c r="BY87" s="822">
        <v>10</v>
      </c>
      <c r="BZ87" s="817">
        <v>5660</v>
      </c>
      <c r="CA87" s="817">
        <v>33960</v>
      </c>
      <c r="CB87" s="817">
        <v>849</v>
      </c>
      <c r="CC87" s="821">
        <v>5094</v>
      </c>
      <c r="CD87" s="823">
        <v>144</v>
      </c>
      <c r="CE87" s="817">
        <v>4560000</v>
      </c>
      <c r="CF87" s="817">
        <v>0</v>
      </c>
      <c r="CG87" s="817">
        <v>8</v>
      </c>
      <c r="CH87" s="817">
        <v>0</v>
      </c>
      <c r="CI87" s="817">
        <v>10000</v>
      </c>
      <c r="CJ87" s="824">
        <v>38.063604240282686</v>
      </c>
      <c r="CK87" s="825">
        <v>31666</v>
      </c>
      <c r="CL87" s="816">
        <v>848</v>
      </c>
      <c r="CM87" s="817">
        <v>629</v>
      </c>
      <c r="CN87" s="817">
        <f t="shared" si="28"/>
        <v>1089</v>
      </c>
      <c r="CO87" s="821">
        <f t="shared" si="29"/>
        <v>241</v>
      </c>
      <c r="CP87" s="822">
        <v>10</v>
      </c>
      <c r="CQ87" s="817">
        <v>8480</v>
      </c>
      <c r="CR87" s="817">
        <v>50880</v>
      </c>
      <c r="CS87" s="817">
        <v>1272</v>
      </c>
      <c r="CT87" s="821">
        <v>7632</v>
      </c>
      <c r="CU87" s="823">
        <v>216</v>
      </c>
      <c r="CV87" s="817">
        <v>5700000</v>
      </c>
      <c r="CW87" s="817">
        <v>0</v>
      </c>
      <c r="CX87" s="817">
        <v>10</v>
      </c>
      <c r="CY87" s="817">
        <v>0</v>
      </c>
      <c r="CZ87" s="976">
        <v>10000</v>
      </c>
      <c r="DA87" s="824">
        <v>34.014150943396224</v>
      </c>
      <c r="DB87" s="825">
        <v>26388</v>
      </c>
      <c r="DC87" s="826">
        <v>495</v>
      </c>
      <c r="DD87" s="817">
        <v>15960000</v>
      </c>
      <c r="DE87" s="827">
        <v>0</v>
      </c>
      <c r="DF87" s="827">
        <v>26</v>
      </c>
      <c r="DG87" s="827">
        <v>0</v>
      </c>
      <c r="DH87" s="976">
        <v>50000</v>
      </c>
      <c r="DI87" s="824">
        <v>78.419811320754718</v>
      </c>
      <c r="DJ87" s="825">
        <v>32242.424242424244</v>
      </c>
      <c r="DK87" s="986">
        <v>135</v>
      </c>
      <c r="DL87" s="829" t="s">
        <v>43</v>
      </c>
      <c r="DM87" s="830">
        <v>10000</v>
      </c>
      <c r="DN87" s="831">
        <v>290000</v>
      </c>
      <c r="DO87" s="832">
        <v>580000</v>
      </c>
      <c r="DP87" s="832"/>
      <c r="DQ87" s="832"/>
      <c r="DR87" s="832"/>
      <c r="DS87" s="832"/>
      <c r="DT87" s="832"/>
      <c r="DU87" s="832"/>
      <c r="DV87" s="832"/>
      <c r="DW87" s="832"/>
      <c r="DX87" s="833"/>
      <c r="DY87" s="834" t="s">
        <v>43</v>
      </c>
      <c r="DZ87" s="835"/>
      <c r="EA87" s="814"/>
      <c r="EB87" s="814"/>
      <c r="EC87" s="836"/>
      <c r="ED87" s="837"/>
      <c r="EE87" s="817"/>
      <c r="EF87" s="817"/>
      <c r="EG87" s="817"/>
      <c r="EH87" s="821"/>
      <c r="EI87" s="838"/>
      <c r="EJ87" s="839"/>
    </row>
    <row r="88" spans="2:140">
      <c r="B88" s="1125" t="s">
        <v>234</v>
      </c>
      <c r="C88" s="803" t="s">
        <v>52</v>
      </c>
      <c r="D88" s="804"/>
      <c r="E88" s="805" t="s">
        <v>43</v>
      </c>
      <c r="F88" s="806"/>
      <c r="G88" s="807"/>
      <c r="H88" s="808">
        <v>6</v>
      </c>
      <c r="I88" s="809" t="s">
        <v>270</v>
      </c>
      <c r="J88" s="810">
        <v>6</v>
      </c>
      <c r="K88" s="985">
        <v>0.15</v>
      </c>
      <c r="L88" s="812">
        <v>1.3522906793048972</v>
      </c>
      <c r="M88" s="813">
        <v>30</v>
      </c>
      <c r="N88" s="806">
        <v>6027</v>
      </c>
      <c r="O88" s="840">
        <v>42366</v>
      </c>
      <c r="P88" s="815" t="s">
        <v>206</v>
      </c>
      <c r="Q88" s="816">
        <v>856</v>
      </c>
      <c r="R88" s="817">
        <v>633</v>
      </c>
      <c r="S88" s="818">
        <v>51360</v>
      </c>
      <c r="T88" s="819" t="s">
        <v>418</v>
      </c>
      <c r="U88" s="820" t="s">
        <v>524</v>
      </c>
      <c r="V88" s="816">
        <v>286</v>
      </c>
      <c r="W88" s="817">
        <v>211</v>
      </c>
      <c r="X88" s="817">
        <f t="shared" si="20"/>
        <v>365</v>
      </c>
      <c r="Y88" s="821">
        <f t="shared" si="21"/>
        <v>79</v>
      </c>
      <c r="Z88" s="822">
        <v>10</v>
      </c>
      <c r="AA88" s="817">
        <v>2860</v>
      </c>
      <c r="AB88" s="817">
        <v>17160</v>
      </c>
      <c r="AC88" s="976">
        <v>429</v>
      </c>
      <c r="AD88" s="978">
        <v>2574</v>
      </c>
      <c r="AE88" s="823">
        <v>3</v>
      </c>
      <c r="AF88" s="817">
        <v>0</v>
      </c>
      <c r="AG88" s="817">
        <v>0</v>
      </c>
      <c r="AH88" s="817">
        <v>0</v>
      </c>
      <c r="AI88" s="817">
        <v>0</v>
      </c>
      <c r="AJ88" s="817">
        <v>10000</v>
      </c>
      <c r="AK88" s="824">
        <v>0</v>
      </c>
      <c r="AL88" s="825">
        <v>0</v>
      </c>
      <c r="AM88" s="816">
        <v>357</v>
      </c>
      <c r="AN88" s="817">
        <v>264</v>
      </c>
      <c r="AO88" s="817">
        <f t="shared" si="22"/>
        <v>457</v>
      </c>
      <c r="AP88" s="821">
        <f t="shared" si="23"/>
        <v>100</v>
      </c>
      <c r="AQ88" s="822">
        <v>10</v>
      </c>
      <c r="AR88" s="817">
        <v>3570</v>
      </c>
      <c r="AS88" s="817">
        <v>21420</v>
      </c>
      <c r="AT88" s="976">
        <v>535</v>
      </c>
      <c r="AU88" s="978">
        <v>3213</v>
      </c>
      <c r="AV88" s="823">
        <v>36</v>
      </c>
      <c r="AW88" s="817">
        <v>2320000</v>
      </c>
      <c r="AX88" s="817">
        <v>0</v>
      </c>
      <c r="AY88" s="817">
        <v>4</v>
      </c>
      <c r="AZ88" s="817">
        <v>0</v>
      </c>
      <c r="BA88" s="817">
        <v>10000</v>
      </c>
      <c r="BB88" s="824">
        <v>28.279178338001866</v>
      </c>
      <c r="BC88" s="825">
        <v>64444</v>
      </c>
      <c r="BD88" s="816">
        <v>428</v>
      </c>
      <c r="BE88" s="817">
        <v>317</v>
      </c>
      <c r="BF88" s="817">
        <f t="shared" si="24"/>
        <v>549</v>
      </c>
      <c r="BG88" s="821">
        <f t="shared" si="25"/>
        <v>121</v>
      </c>
      <c r="BH88" s="822">
        <v>10</v>
      </c>
      <c r="BI88" s="817">
        <v>4280</v>
      </c>
      <c r="BJ88" s="817">
        <v>25680</v>
      </c>
      <c r="BK88" s="976">
        <v>642</v>
      </c>
      <c r="BL88" s="978">
        <v>3852</v>
      </c>
      <c r="BM88" s="823">
        <v>96</v>
      </c>
      <c r="BN88" s="817">
        <v>3480000</v>
      </c>
      <c r="BO88" s="817">
        <v>0</v>
      </c>
      <c r="BP88" s="817">
        <v>6</v>
      </c>
      <c r="BQ88" s="817">
        <v>0</v>
      </c>
      <c r="BR88" s="817">
        <v>10000</v>
      </c>
      <c r="BS88" s="824">
        <v>37.214953271028037</v>
      </c>
      <c r="BT88" s="825">
        <v>36250</v>
      </c>
      <c r="BU88" s="816">
        <v>571</v>
      </c>
      <c r="BV88" s="817">
        <v>422</v>
      </c>
      <c r="BW88" s="817">
        <f t="shared" si="26"/>
        <v>731</v>
      </c>
      <c r="BX88" s="821">
        <f t="shared" si="27"/>
        <v>160</v>
      </c>
      <c r="BY88" s="822">
        <v>10</v>
      </c>
      <c r="BZ88" s="817">
        <v>5710</v>
      </c>
      <c r="CA88" s="817">
        <v>34260</v>
      </c>
      <c r="CB88" s="976">
        <v>856</v>
      </c>
      <c r="CC88" s="978">
        <v>5139</v>
      </c>
      <c r="CD88" s="823">
        <v>144</v>
      </c>
      <c r="CE88" s="817">
        <v>4640000</v>
      </c>
      <c r="CF88" s="817">
        <v>0</v>
      </c>
      <c r="CG88" s="817">
        <v>9</v>
      </c>
      <c r="CH88" s="817">
        <v>0</v>
      </c>
      <c r="CI88" s="817">
        <v>10000</v>
      </c>
      <c r="CJ88" s="824">
        <v>38.356100408639811</v>
      </c>
      <c r="CK88" s="825">
        <v>32222</v>
      </c>
      <c r="CL88" s="816">
        <v>856</v>
      </c>
      <c r="CM88" s="817">
        <v>633</v>
      </c>
      <c r="CN88" s="817">
        <f t="shared" si="28"/>
        <v>1096</v>
      </c>
      <c r="CO88" s="821">
        <f t="shared" si="29"/>
        <v>240</v>
      </c>
      <c r="CP88" s="822">
        <v>10</v>
      </c>
      <c r="CQ88" s="817">
        <v>8560</v>
      </c>
      <c r="CR88" s="817">
        <v>51360</v>
      </c>
      <c r="CS88" s="976">
        <v>1284</v>
      </c>
      <c r="CT88" s="978">
        <v>7704</v>
      </c>
      <c r="CU88" s="823">
        <v>216</v>
      </c>
      <c r="CV88" s="817">
        <v>5800000</v>
      </c>
      <c r="CW88" s="817">
        <v>0</v>
      </c>
      <c r="CX88" s="817">
        <v>11</v>
      </c>
      <c r="CY88" s="817">
        <v>0</v>
      </c>
      <c r="CZ88" s="976">
        <v>10000</v>
      </c>
      <c r="DA88" s="824">
        <v>34.235591900311526</v>
      </c>
      <c r="DB88" s="825">
        <v>26851</v>
      </c>
      <c r="DC88" s="826">
        <v>495</v>
      </c>
      <c r="DD88" s="817">
        <v>16240000</v>
      </c>
      <c r="DE88" s="827">
        <v>0</v>
      </c>
      <c r="DF88" s="827">
        <v>30</v>
      </c>
      <c r="DG88" s="827">
        <v>0</v>
      </c>
      <c r="DH88" s="976">
        <v>50000</v>
      </c>
      <c r="DI88" s="824">
        <v>79.049844236760123</v>
      </c>
      <c r="DJ88" s="825">
        <v>32808.080808080806</v>
      </c>
      <c r="DK88" s="986">
        <v>135</v>
      </c>
      <c r="DL88" s="829" t="s">
        <v>43</v>
      </c>
      <c r="DM88" s="830">
        <v>10000</v>
      </c>
      <c r="DN88" s="831">
        <v>320000</v>
      </c>
      <c r="DO88" s="832">
        <v>640000</v>
      </c>
      <c r="DP88" s="832"/>
      <c r="DQ88" s="832"/>
      <c r="DR88" s="832"/>
      <c r="DS88" s="832"/>
      <c r="DT88" s="832"/>
      <c r="DU88" s="832"/>
      <c r="DV88" s="832"/>
      <c r="DW88" s="832"/>
      <c r="DX88" s="833"/>
      <c r="DY88" s="834" t="s">
        <v>43</v>
      </c>
      <c r="DZ88" s="835"/>
      <c r="EA88" s="814"/>
      <c r="EB88" s="814"/>
      <c r="EC88" s="836"/>
      <c r="ED88" s="837"/>
      <c r="EE88" s="817"/>
      <c r="EF88" s="817"/>
      <c r="EG88" s="817"/>
      <c r="EH88" s="821"/>
      <c r="EI88" s="838"/>
      <c r="EJ88" s="839"/>
    </row>
    <row r="89" spans="2:140">
      <c r="B89" s="1125" t="s">
        <v>237</v>
      </c>
      <c r="C89" s="803" t="s">
        <v>52</v>
      </c>
      <c r="D89" s="804"/>
      <c r="E89" s="805" t="s">
        <v>43</v>
      </c>
      <c r="F89" s="806" t="s">
        <v>43</v>
      </c>
      <c r="G89" s="807"/>
      <c r="H89" s="808">
        <v>6</v>
      </c>
      <c r="I89" s="809" t="s">
        <v>270</v>
      </c>
      <c r="J89" s="810">
        <v>6</v>
      </c>
      <c r="K89" s="985">
        <v>0.15</v>
      </c>
      <c r="L89" s="812">
        <v>1.3563579277864992</v>
      </c>
      <c r="M89" s="813">
        <v>30</v>
      </c>
      <c r="N89" s="806">
        <v>6030</v>
      </c>
      <c r="O89" s="840">
        <v>42369</v>
      </c>
      <c r="P89" s="815" t="s">
        <v>206</v>
      </c>
      <c r="Q89" s="816">
        <v>864</v>
      </c>
      <c r="R89" s="817">
        <v>637</v>
      </c>
      <c r="S89" s="818">
        <v>51840</v>
      </c>
      <c r="T89" s="819" t="s">
        <v>419</v>
      </c>
      <c r="U89" s="820" t="s">
        <v>522</v>
      </c>
      <c r="V89" s="816">
        <v>288</v>
      </c>
      <c r="W89" s="817">
        <v>213</v>
      </c>
      <c r="X89" s="817">
        <f t="shared" si="20"/>
        <v>369</v>
      </c>
      <c r="Y89" s="821">
        <f t="shared" si="21"/>
        <v>81</v>
      </c>
      <c r="Z89" s="822">
        <v>10</v>
      </c>
      <c r="AA89" s="817">
        <v>2880</v>
      </c>
      <c r="AB89" s="817">
        <v>17280</v>
      </c>
      <c r="AC89" s="976">
        <v>432</v>
      </c>
      <c r="AD89" s="978">
        <v>2592</v>
      </c>
      <c r="AE89" s="823">
        <v>3</v>
      </c>
      <c r="AF89" s="817">
        <v>0</v>
      </c>
      <c r="AG89" s="817">
        <v>0</v>
      </c>
      <c r="AH89" s="817">
        <v>0</v>
      </c>
      <c r="AI89" s="817">
        <v>0</v>
      </c>
      <c r="AJ89" s="817">
        <v>10000</v>
      </c>
      <c r="AK89" s="824">
        <v>0</v>
      </c>
      <c r="AL89" s="825">
        <v>0</v>
      </c>
      <c r="AM89" s="816">
        <v>360</v>
      </c>
      <c r="AN89" s="817">
        <v>266</v>
      </c>
      <c r="AO89" s="817">
        <f t="shared" si="22"/>
        <v>460</v>
      </c>
      <c r="AP89" s="821">
        <f t="shared" si="23"/>
        <v>100</v>
      </c>
      <c r="AQ89" s="822">
        <v>10</v>
      </c>
      <c r="AR89" s="817">
        <v>3600</v>
      </c>
      <c r="AS89" s="817">
        <v>21600</v>
      </c>
      <c r="AT89" s="976">
        <v>540</v>
      </c>
      <c r="AU89" s="978">
        <v>3240</v>
      </c>
      <c r="AV89" s="823">
        <v>36</v>
      </c>
      <c r="AW89" s="817">
        <v>2360000</v>
      </c>
      <c r="AX89" s="817">
        <v>0</v>
      </c>
      <c r="AY89" s="817">
        <v>4</v>
      </c>
      <c r="AZ89" s="817">
        <v>0</v>
      </c>
      <c r="BA89" s="817">
        <v>10000</v>
      </c>
      <c r="BB89" s="824">
        <v>28.514814814814816</v>
      </c>
      <c r="BC89" s="825">
        <v>65555</v>
      </c>
      <c r="BD89" s="816">
        <v>432</v>
      </c>
      <c r="BE89" s="817">
        <v>319</v>
      </c>
      <c r="BF89" s="817">
        <f t="shared" si="24"/>
        <v>552</v>
      </c>
      <c r="BG89" s="821">
        <f t="shared" si="25"/>
        <v>120</v>
      </c>
      <c r="BH89" s="822">
        <v>10</v>
      </c>
      <c r="BI89" s="817">
        <v>4320</v>
      </c>
      <c r="BJ89" s="817">
        <v>25920</v>
      </c>
      <c r="BK89" s="976">
        <v>648</v>
      </c>
      <c r="BL89" s="978">
        <v>3888</v>
      </c>
      <c r="BM89" s="823">
        <v>96</v>
      </c>
      <c r="BN89" s="817">
        <v>3540000</v>
      </c>
      <c r="BO89" s="817">
        <v>0</v>
      </c>
      <c r="BP89" s="817">
        <v>6</v>
      </c>
      <c r="BQ89" s="817">
        <v>0</v>
      </c>
      <c r="BR89" s="976">
        <v>10000</v>
      </c>
      <c r="BS89" s="824">
        <v>37.476851851851855</v>
      </c>
      <c r="BT89" s="825">
        <v>36875</v>
      </c>
      <c r="BU89" s="977">
        <v>576</v>
      </c>
      <c r="BV89" s="976">
        <v>425</v>
      </c>
      <c r="BW89" s="976">
        <f t="shared" si="26"/>
        <v>736</v>
      </c>
      <c r="BX89" s="978">
        <f t="shared" si="27"/>
        <v>160</v>
      </c>
      <c r="BY89" s="822">
        <v>10</v>
      </c>
      <c r="BZ89" s="976">
        <v>5760</v>
      </c>
      <c r="CA89" s="976">
        <v>34560</v>
      </c>
      <c r="CB89" s="976">
        <v>864</v>
      </c>
      <c r="CC89" s="978">
        <v>5184</v>
      </c>
      <c r="CD89" s="981">
        <v>144</v>
      </c>
      <c r="CE89" s="976">
        <v>4720000</v>
      </c>
      <c r="CF89" s="976">
        <v>0</v>
      </c>
      <c r="CG89" s="976">
        <v>9</v>
      </c>
      <c r="CH89" s="976">
        <v>0</v>
      </c>
      <c r="CI89" s="976">
        <v>10000</v>
      </c>
      <c r="CJ89" s="980">
        <v>38.643518518518519</v>
      </c>
      <c r="CK89" s="982">
        <v>32777</v>
      </c>
      <c r="CL89" s="816">
        <v>864</v>
      </c>
      <c r="CM89" s="817">
        <v>637</v>
      </c>
      <c r="CN89" s="817">
        <f t="shared" si="28"/>
        <v>1103</v>
      </c>
      <c r="CO89" s="821">
        <f t="shared" si="29"/>
        <v>239</v>
      </c>
      <c r="CP89" s="822">
        <v>10</v>
      </c>
      <c r="CQ89" s="817">
        <v>8640</v>
      </c>
      <c r="CR89" s="817">
        <v>51840</v>
      </c>
      <c r="CS89" s="976">
        <v>1296</v>
      </c>
      <c r="CT89" s="978">
        <v>7776</v>
      </c>
      <c r="CU89" s="981">
        <v>216</v>
      </c>
      <c r="CV89" s="976">
        <v>5900000</v>
      </c>
      <c r="CW89" s="976">
        <v>0</v>
      </c>
      <c r="CX89" s="976">
        <v>11</v>
      </c>
      <c r="CY89" s="976">
        <v>0</v>
      </c>
      <c r="CZ89" s="976">
        <v>10000</v>
      </c>
      <c r="DA89" s="980">
        <v>34.45293209876543</v>
      </c>
      <c r="DB89" s="982">
        <v>27314</v>
      </c>
      <c r="DC89" s="983">
        <v>495</v>
      </c>
      <c r="DD89" s="976">
        <v>16520000</v>
      </c>
      <c r="DE89" s="984">
        <v>0</v>
      </c>
      <c r="DF89" s="984">
        <v>30</v>
      </c>
      <c r="DG89" s="984">
        <v>0</v>
      </c>
      <c r="DH89" s="976">
        <v>50000</v>
      </c>
      <c r="DI89" s="980">
        <v>79.668209876543202</v>
      </c>
      <c r="DJ89" s="982">
        <v>33373.737373737371</v>
      </c>
      <c r="DK89" s="986">
        <v>135</v>
      </c>
      <c r="DL89" s="829" t="s">
        <v>43</v>
      </c>
      <c r="DM89" s="830">
        <v>10000</v>
      </c>
      <c r="DN89" s="831">
        <v>350000</v>
      </c>
      <c r="DO89" s="832">
        <v>700000</v>
      </c>
      <c r="DP89" s="832"/>
      <c r="DQ89" s="832"/>
      <c r="DR89" s="832"/>
      <c r="DS89" s="832"/>
      <c r="DT89" s="832"/>
      <c r="DU89" s="832"/>
      <c r="DV89" s="832"/>
      <c r="DW89" s="832"/>
      <c r="DX89" s="833"/>
      <c r="DY89" s="834" t="s">
        <v>43</v>
      </c>
      <c r="DZ89" s="835"/>
      <c r="EA89" s="814"/>
      <c r="EB89" s="814"/>
      <c r="EC89" s="836"/>
      <c r="ED89" s="837"/>
      <c r="EE89" s="817"/>
      <c r="EF89" s="817"/>
      <c r="EG89" s="817"/>
      <c r="EH89" s="821"/>
      <c r="EI89" s="838"/>
      <c r="EJ89" s="839"/>
    </row>
    <row r="90" spans="2:140">
      <c r="B90" s="1125" t="s">
        <v>251</v>
      </c>
      <c r="C90" s="803" t="s">
        <v>52</v>
      </c>
      <c r="D90" s="804"/>
      <c r="E90" s="805" t="s">
        <v>43</v>
      </c>
      <c r="F90" s="806"/>
      <c r="G90" s="807"/>
      <c r="H90" s="808">
        <v>6</v>
      </c>
      <c r="I90" s="809" t="s">
        <v>270</v>
      </c>
      <c r="J90" s="810">
        <v>6</v>
      </c>
      <c r="K90" s="985">
        <v>0.15</v>
      </c>
      <c r="L90" s="812">
        <v>1.3603744149765991</v>
      </c>
      <c r="M90" s="813">
        <v>30</v>
      </c>
      <c r="N90" s="806">
        <v>6036</v>
      </c>
      <c r="O90" s="840">
        <v>42378</v>
      </c>
      <c r="P90" s="815" t="s">
        <v>206</v>
      </c>
      <c r="Q90" s="816">
        <v>872</v>
      </c>
      <c r="R90" s="817">
        <v>641</v>
      </c>
      <c r="S90" s="818">
        <v>52320</v>
      </c>
      <c r="T90" s="819" t="s">
        <v>420</v>
      </c>
      <c r="U90" s="820" t="s">
        <v>660</v>
      </c>
      <c r="V90" s="816">
        <v>291</v>
      </c>
      <c r="W90" s="817">
        <v>214</v>
      </c>
      <c r="X90" s="817">
        <f t="shared" si="20"/>
        <v>370</v>
      </c>
      <c r="Y90" s="821">
        <f t="shared" si="21"/>
        <v>79</v>
      </c>
      <c r="Z90" s="822">
        <v>10</v>
      </c>
      <c r="AA90" s="817">
        <v>2910</v>
      </c>
      <c r="AB90" s="817">
        <v>17460</v>
      </c>
      <c r="AC90" s="976">
        <v>436</v>
      </c>
      <c r="AD90" s="978">
        <v>2619</v>
      </c>
      <c r="AE90" s="823">
        <v>3</v>
      </c>
      <c r="AF90" s="817">
        <v>0</v>
      </c>
      <c r="AG90" s="817">
        <v>0</v>
      </c>
      <c r="AH90" s="817">
        <v>0</v>
      </c>
      <c r="AI90" s="817">
        <v>0</v>
      </c>
      <c r="AJ90" s="817">
        <v>10000</v>
      </c>
      <c r="AK90" s="824">
        <v>0</v>
      </c>
      <c r="AL90" s="825">
        <v>0</v>
      </c>
      <c r="AM90" s="816">
        <v>364</v>
      </c>
      <c r="AN90" s="817">
        <v>268</v>
      </c>
      <c r="AO90" s="817">
        <f t="shared" si="22"/>
        <v>464</v>
      </c>
      <c r="AP90" s="821">
        <f t="shared" si="23"/>
        <v>100</v>
      </c>
      <c r="AQ90" s="822">
        <v>10</v>
      </c>
      <c r="AR90" s="817">
        <v>3640</v>
      </c>
      <c r="AS90" s="817">
        <v>21840</v>
      </c>
      <c r="AT90" s="976">
        <v>546</v>
      </c>
      <c r="AU90" s="978">
        <v>3276</v>
      </c>
      <c r="AV90" s="823">
        <v>36</v>
      </c>
      <c r="AW90" s="817">
        <v>2400000</v>
      </c>
      <c r="AX90" s="817">
        <v>0</v>
      </c>
      <c r="AY90" s="817">
        <v>5</v>
      </c>
      <c r="AZ90" s="817">
        <v>0</v>
      </c>
      <c r="BA90" s="817">
        <v>10000</v>
      </c>
      <c r="BB90" s="824">
        <v>28.671703296703296</v>
      </c>
      <c r="BC90" s="825">
        <v>66666</v>
      </c>
      <c r="BD90" s="816">
        <v>436</v>
      </c>
      <c r="BE90" s="817">
        <v>321</v>
      </c>
      <c r="BF90" s="817">
        <f t="shared" si="24"/>
        <v>556</v>
      </c>
      <c r="BG90" s="821">
        <f t="shared" si="25"/>
        <v>120</v>
      </c>
      <c r="BH90" s="822">
        <v>10</v>
      </c>
      <c r="BI90" s="817">
        <v>4360</v>
      </c>
      <c r="BJ90" s="817">
        <v>26160</v>
      </c>
      <c r="BK90" s="976">
        <v>654</v>
      </c>
      <c r="BL90" s="978">
        <v>3924</v>
      </c>
      <c r="BM90" s="823">
        <v>96</v>
      </c>
      <c r="BN90" s="817">
        <v>3600000</v>
      </c>
      <c r="BO90" s="817">
        <v>0</v>
      </c>
      <c r="BP90" s="817">
        <v>7</v>
      </c>
      <c r="BQ90" s="817">
        <v>0</v>
      </c>
      <c r="BR90" s="817">
        <v>10000</v>
      </c>
      <c r="BS90" s="824">
        <v>37.743119266055047</v>
      </c>
      <c r="BT90" s="825">
        <v>37500</v>
      </c>
      <c r="BU90" s="816">
        <v>582</v>
      </c>
      <c r="BV90" s="817">
        <v>428</v>
      </c>
      <c r="BW90" s="817">
        <f t="shared" si="26"/>
        <v>741</v>
      </c>
      <c r="BX90" s="821">
        <f t="shared" si="27"/>
        <v>159</v>
      </c>
      <c r="BY90" s="822">
        <v>10</v>
      </c>
      <c r="BZ90" s="817">
        <v>5820</v>
      </c>
      <c r="CA90" s="817">
        <v>34920</v>
      </c>
      <c r="CB90" s="976">
        <v>873</v>
      </c>
      <c r="CC90" s="978">
        <v>5238</v>
      </c>
      <c r="CD90" s="823">
        <v>144</v>
      </c>
      <c r="CE90" s="817">
        <v>4800000</v>
      </c>
      <c r="CF90" s="817">
        <v>0</v>
      </c>
      <c r="CG90" s="817">
        <v>10</v>
      </c>
      <c r="CH90" s="817">
        <v>0</v>
      </c>
      <c r="CI90" s="976">
        <v>10000</v>
      </c>
      <c r="CJ90" s="824">
        <v>38.859106529209619</v>
      </c>
      <c r="CK90" s="825">
        <v>33333</v>
      </c>
      <c r="CL90" s="816">
        <v>872</v>
      </c>
      <c r="CM90" s="817">
        <v>641</v>
      </c>
      <c r="CN90" s="817">
        <f t="shared" si="28"/>
        <v>1110</v>
      </c>
      <c r="CO90" s="821">
        <f t="shared" si="29"/>
        <v>238</v>
      </c>
      <c r="CP90" s="822">
        <v>10</v>
      </c>
      <c r="CQ90" s="817">
        <v>8720</v>
      </c>
      <c r="CR90" s="817">
        <v>52320</v>
      </c>
      <c r="CS90" s="976">
        <v>1308</v>
      </c>
      <c r="CT90" s="978">
        <v>7848</v>
      </c>
      <c r="CU90" s="981">
        <v>216</v>
      </c>
      <c r="CV90" s="976">
        <v>6000000</v>
      </c>
      <c r="CW90" s="976">
        <v>0</v>
      </c>
      <c r="CX90" s="976">
        <v>12</v>
      </c>
      <c r="CY90" s="976">
        <v>0</v>
      </c>
      <c r="CZ90" s="976">
        <v>10000</v>
      </c>
      <c r="DA90" s="980">
        <v>34.676605504587158</v>
      </c>
      <c r="DB90" s="982">
        <v>27777</v>
      </c>
      <c r="DC90" s="983">
        <v>495</v>
      </c>
      <c r="DD90" s="976">
        <v>16800000</v>
      </c>
      <c r="DE90" s="984">
        <v>0</v>
      </c>
      <c r="DF90" s="984">
        <v>34</v>
      </c>
      <c r="DG90" s="984">
        <v>0</v>
      </c>
      <c r="DH90" s="976">
        <v>50000</v>
      </c>
      <c r="DI90" s="980">
        <v>80.275229357798167</v>
      </c>
      <c r="DJ90" s="982">
        <v>33939.393939393936</v>
      </c>
      <c r="DK90" s="828"/>
      <c r="DL90" s="829"/>
      <c r="DM90" s="830">
        <v>10000</v>
      </c>
      <c r="DN90" s="831">
        <v>400000</v>
      </c>
      <c r="DO90" s="832">
        <v>800000</v>
      </c>
      <c r="DP90" s="832"/>
      <c r="DQ90" s="832"/>
      <c r="DR90" s="832"/>
      <c r="DS90" s="832"/>
      <c r="DT90" s="832"/>
      <c r="DU90" s="832"/>
      <c r="DV90" s="832"/>
      <c r="DW90" s="832"/>
      <c r="DX90" s="833"/>
      <c r="DY90" s="834" t="s">
        <v>43</v>
      </c>
      <c r="DZ90" s="835"/>
      <c r="EA90" s="814"/>
      <c r="EB90" s="814"/>
      <c r="EC90" s="836"/>
      <c r="ED90" s="837"/>
      <c r="EE90" s="817"/>
      <c r="EF90" s="817"/>
      <c r="EG90" s="817"/>
      <c r="EH90" s="821"/>
      <c r="EI90" s="838"/>
      <c r="EJ90" s="839"/>
    </row>
    <row r="91" spans="2:140">
      <c r="B91" s="1125" t="s">
        <v>393</v>
      </c>
      <c r="C91" s="803" t="s">
        <v>52</v>
      </c>
      <c r="D91" s="804"/>
      <c r="E91" s="805" t="s">
        <v>43</v>
      </c>
      <c r="F91" s="806"/>
      <c r="G91" s="807"/>
      <c r="H91" s="808">
        <v>6</v>
      </c>
      <c r="I91" s="809" t="s">
        <v>270</v>
      </c>
      <c r="J91" s="810">
        <v>6</v>
      </c>
      <c r="K91" s="985">
        <v>0.15</v>
      </c>
      <c r="L91" s="812">
        <v>1.3643410852713178</v>
      </c>
      <c r="M91" s="813">
        <v>30</v>
      </c>
      <c r="N91" s="806">
        <v>6039</v>
      </c>
      <c r="O91" s="840">
        <v>42392</v>
      </c>
      <c r="P91" s="815" t="s">
        <v>206</v>
      </c>
      <c r="Q91" s="816">
        <v>880</v>
      </c>
      <c r="R91" s="817">
        <v>645</v>
      </c>
      <c r="S91" s="818">
        <v>52800</v>
      </c>
      <c r="T91" s="819" t="s">
        <v>421</v>
      </c>
      <c r="U91" s="820" t="s">
        <v>661</v>
      </c>
      <c r="V91" s="816">
        <v>294</v>
      </c>
      <c r="W91" s="817">
        <v>215</v>
      </c>
      <c r="X91" s="817">
        <f t="shared" si="20"/>
        <v>372</v>
      </c>
      <c r="Y91" s="821">
        <f t="shared" si="21"/>
        <v>78</v>
      </c>
      <c r="Z91" s="822">
        <v>10</v>
      </c>
      <c r="AA91" s="817">
        <v>2940</v>
      </c>
      <c r="AB91" s="817">
        <v>17640</v>
      </c>
      <c r="AC91" s="976">
        <v>441</v>
      </c>
      <c r="AD91" s="978">
        <v>2646</v>
      </c>
      <c r="AE91" s="823">
        <v>3</v>
      </c>
      <c r="AF91" s="817">
        <v>0</v>
      </c>
      <c r="AG91" s="817">
        <v>0</v>
      </c>
      <c r="AH91" s="817">
        <v>0</v>
      </c>
      <c r="AI91" s="817">
        <v>0</v>
      </c>
      <c r="AJ91" s="976">
        <v>10000</v>
      </c>
      <c r="AK91" s="824">
        <v>0</v>
      </c>
      <c r="AL91" s="825">
        <v>0</v>
      </c>
      <c r="AM91" s="977">
        <v>367</v>
      </c>
      <c r="AN91" s="976">
        <v>269</v>
      </c>
      <c r="AO91" s="976">
        <f t="shared" si="22"/>
        <v>466</v>
      </c>
      <c r="AP91" s="978">
        <f t="shared" si="23"/>
        <v>99</v>
      </c>
      <c r="AQ91" s="822">
        <v>10</v>
      </c>
      <c r="AR91" s="976">
        <v>3670</v>
      </c>
      <c r="AS91" s="976">
        <v>22020</v>
      </c>
      <c r="AT91" s="976">
        <v>550</v>
      </c>
      <c r="AU91" s="978">
        <v>3303</v>
      </c>
      <c r="AV91" s="981">
        <v>36</v>
      </c>
      <c r="AW91" s="976">
        <v>2440000</v>
      </c>
      <c r="AX91" s="976">
        <v>0</v>
      </c>
      <c r="AY91" s="976">
        <v>5</v>
      </c>
      <c r="AZ91" s="976">
        <v>0</v>
      </c>
      <c r="BA91" s="976">
        <v>10000</v>
      </c>
      <c r="BB91" s="980">
        <v>28.903723887375111</v>
      </c>
      <c r="BC91" s="982">
        <v>67777</v>
      </c>
      <c r="BD91" s="977">
        <v>440</v>
      </c>
      <c r="BE91" s="976">
        <v>323</v>
      </c>
      <c r="BF91" s="976">
        <f t="shared" si="24"/>
        <v>559</v>
      </c>
      <c r="BG91" s="978">
        <f t="shared" si="25"/>
        <v>119</v>
      </c>
      <c r="BH91" s="822">
        <v>10</v>
      </c>
      <c r="BI91" s="976">
        <v>4400</v>
      </c>
      <c r="BJ91" s="976">
        <v>26400</v>
      </c>
      <c r="BK91" s="976">
        <v>660</v>
      </c>
      <c r="BL91" s="978">
        <v>3960</v>
      </c>
      <c r="BM91" s="981">
        <v>96</v>
      </c>
      <c r="BN91" s="976">
        <v>3660000</v>
      </c>
      <c r="BO91" s="976">
        <v>0</v>
      </c>
      <c r="BP91" s="976">
        <v>7</v>
      </c>
      <c r="BQ91" s="976">
        <v>0</v>
      </c>
      <c r="BR91" s="976">
        <v>10000</v>
      </c>
      <c r="BS91" s="980">
        <v>37.995454545454542</v>
      </c>
      <c r="BT91" s="982">
        <v>38125</v>
      </c>
      <c r="BU91" s="816">
        <v>587</v>
      </c>
      <c r="BV91" s="817">
        <v>430</v>
      </c>
      <c r="BW91" s="817">
        <f t="shared" si="26"/>
        <v>744</v>
      </c>
      <c r="BX91" s="821">
        <f t="shared" si="27"/>
        <v>157</v>
      </c>
      <c r="BY91" s="822">
        <v>10</v>
      </c>
      <c r="BZ91" s="817">
        <v>5870</v>
      </c>
      <c r="CA91" s="817">
        <v>35220</v>
      </c>
      <c r="CB91" s="976">
        <v>880</v>
      </c>
      <c r="CC91" s="978">
        <v>5283</v>
      </c>
      <c r="CD91" s="823">
        <v>144</v>
      </c>
      <c r="CE91" s="817">
        <v>4880000</v>
      </c>
      <c r="CF91" s="817">
        <v>0</v>
      </c>
      <c r="CG91" s="817">
        <v>10</v>
      </c>
      <c r="CH91" s="817">
        <v>0</v>
      </c>
      <c r="CI91" s="976">
        <v>10000</v>
      </c>
      <c r="CJ91" s="824">
        <v>39.136854060193073</v>
      </c>
      <c r="CK91" s="825">
        <v>33888</v>
      </c>
      <c r="CL91" s="816">
        <v>880</v>
      </c>
      <c r="CM91" s="817">
        <v>645</v>
      </c>
      <c r="CN91" s="817">
        <f t="shared" si="28"/>
        <v>1117</v>
      </c>
      <c r="CO91" s="821">
        <f t="shared" si="29"/>
        <v>237</v>
      </c>
      <c r="CP91" s="822">
        <v>10</v>
      </c>
      <c r="CQ91" s="817">
        <v>8800</v>
      </c>
      <c r="CR91" s="817">
        <v>52800</v>
      </c>
      <c r="CS91" s="976">
        <v>1320</v>
      </c>
      <c r="CT91" s="978">
        <v>7920</v>
      </c>
      <c r="CU91" s="823">
        <v>216</v>
      </c>
      <c r="CV91" s="817">
        <v>6100000</v>
      </c>
      <c r="CW91" s="817">
        <v>0</v>
      </c>
      <c r="CX91" s="817">
        <v>12</v>
      </c>
      <c r="CY91" s="817">
        <v>0</v>
      </c>
      <c r="CZ91" s="976">
        <v>10000</v>
      </c>
      <c r="DA91" s="824">
        <v>34.885984848484846</v>
      </c>
      <c r="DB91" s="825">
        <v>28240</v>
      </c>
      <c r="DC91" s="983">
        <v>495</v>
      </c>
      <c r="DD91" s="976">
        <v>17080000</v>
      </c>
      <c r="DE91" s="984">
        <v>0</v>
      </c>
      <c r="DF91" s="984">
        <v>34</v>
      </c>
      <c r="DG91" s="984">
        <v>0</v>
      </c>
      <c r="DH91" s="976">
        <v>50000</v>
      </c>
      <c r="DI91" s="980">
        <v>80.871212121212125</v>
      </c>
      <c r="DJ91" s="982">
        <v>34505.050505050502</v>
      </c>
      <c r="DK91" s="828"/>
      <c r="DL91" s="829"/>
      <c r="DM91" s="830">
        <v>10000</v>
      </c>
      <c r="DN91" s="831">
        <v>480000</v>
      </c>
      <c r="DO91" s="832">
        <v>960000</v>
      </c>
      <c r="DP91" s="832">
        <v>1920000</v>
      </c>
      <c r="DQ91" s="832"/>
      <c r="DR91" s="832"/>
      <c r="DS91" s="832"/>
      <c r="DT91" s="832"/>
      <c r="DU91" s="832"/>
      <c r="DV91" s="832"/>
      <c r="DW91" s="832"/>
      <c r="DX91" s="833"/>
      <c r="DY91" s="834" t="s">
        <v>43</v>
      </c>
      <c r="DZ91" s="835"/>
      <c r="EA91" s="814"/>
      <c r="EB91" s="814"/>
      <c r="EC91" s="836"/>
      <c r="ED91" s="837"/>
      <c r="EE91" s="817"/>
      <c r="EF91" s="817"/>
      <c r="EG91" s="817"/>
      <c r="EH91" s="821"/>
      <c r="EI91" s="838"/>
      <c r="EJ91" s="839"/>
    </row>
    <row r="92" spans="2:140">
      <c r="B92" s="1125" t="s">
        <v>738</v>
      </c>
      <c r="C92" s="803" t="s">
        <v>52</v>
      </c>
      <c r="D92" s="804"/>
      <c r="E92" s="805" t="s">
        <v>43</v>
      </c>
      <c r="F92" s="806"/>
      <c r="G92" s="807"/>
      <c r="H92" s="808">
        <v>6</v>
      </c>
      <c r="I92" s="809" t="s">
        <v>270</v>
      </c>
      <c r="J92" s="810">
        <v>6</v>
      </c>
      <c r="K92" s="985">
        <v>0.15</v>
      </c>
      <c r="L92" s="812">
        <v>1.3713405238828968</v>
      </c>
      <c r="M92" s="813">
        <v>30</v>
      </c>
      <c r="N92" s="806">
        <v>6042</v>
      </c>
      <c r="O92" s="840">
        <v>42413</v>
      </c>
      <c r="P92" s="815" t="s">
        <v>206</v>
      </c>
      <c r="Q92" s="816">
        <v>890</v>
      </c>
      <c r="R92" s="817">
        <v>649</v>
      </c>
      <c r="S92" s="818">
        <v>53400</v>
      </c>
      <c r="T92" s="819" t="s">
        <v>740</v>
      </c>
      <c r="U92" s="820" t="s">
        <v>742</v>
      </c>
      <c r="V92" s="816">
        <v>297</v>
      </c>
      <c r="W92" s="817">
        <v>217</v>
      </c>
      <c r="X92" s="817">
        <f t="shared" si="20"/>
        <v>375</v>
      </c>
      <c r="Y92" s="821">
        <f t="shared" si="21"/>
        <v>78</v>
      </c>
      <c r="Z92" s="822">
        <v>10</v>
      </c>
      <c r="AA92" s="817">
        <v>2970</v>
      </c>
      <c r="AB92" s="817">
        <v>17820</v>
      </c>
      <c r="AC92" s="976">
        <v>445</v>
      </c>
      <c r="AD92" s="978">
        <v>2673</v>
      </c>
      <c r="AE92" s="823">
        <v>3</v>
      </c>
      <c r="AF92" s="817">
        <v>0</v>
      </c>
      <c r="AG92" s="817">
        <v>0</v>
      </c>
      <c r="AH92" s="817">
        <v>0</v>
      </c>
      <c r="AI92" s="817">
        <v>0</v>
      </c>
      <c r="AJ92" s="817">
        <v>10000</v>
      </c>
      <c r="AK92" s="824">
        <v>0</v>
      </c>
      <c r="AL92" s="825">
        <v>0</v>
      </c>
      <c r="AM92" s="816">
        <v>371</v>
      </c>
      <c r="AN92" s="817">
        <v>271</v>
      </c>
      <c r="AO92" s="817">
        <f t="shared" si="22"/>
        <v>469</v>
      </c>
      <c r="AP92" s="821">
        <f t="shared" si="23"/>
        <v>98</v>
      </c>
      <c r="AQ92" s="822">
        <v>10</v>
      </c>
      <c r="AR92" s="817">
        <v>3710</v>
      </c>
      <c r="AS92" s="817">
        <v>22260</v>
      </c>
      <c r="AT92" s="976">
        <v>556</v>
      </c>
      <c r="AU92" s="978">
        <v>3339</v>
      </c>
      <c r="AV92" s="823">
        <v>36</v>
      </c>
      <c r="AW92" s="817">
        <v>2600000</v>
      </c>
      <c r="AX92" s="817">
        <v>0</v>
      </c>
      <c r="AY92" s="817">
        <v>6</v>
      </c>
      <c r="AZ92" s="817">
        <v>0</v>
      </c>
      <c r="BA92" s="817">
        <v>10000</v>
      </c>
      <c r="BB92" s="824">
        <v>30.40116801437556</v>
      </c>
      <c r="BC92" s="825">
        <v>72222</v>
      </c>
      <c r="BD92" s="816">
        <v>445</v>
      </c>
      <c r="BE92" s="817">
        <v>325</v>
      </c>
      <c r="BF92" s="817">
        <f t="shared" si="24"/>
        <v>563</v>
      </c>
      <c r="BG92" s="821">
        <f t="shared" si="25"/>
        <v>118</v>
      </c>
      <c r="BH92" s="822">
        <v>10</v>
      </c>
      <c r="BI92" s="817">
        <v>4450</v>
      </c>
      <c r="BJ92" s="817">
        <v>26700</v>
      </c>
      <c r="BK92" s="976">
        <v>667</v>
      </c>
      <c r="BL92" s="978">
        <v>4005</v>
      </c>
      <c r="BM92" s="823">
        <v>96</v>
      </c>
      <c r="BN92" s="817">
        <v>3900000</v>
      </c>
      <c r="BO92" s="817">
        <v>0</v>
      </c>
      <c r="BP92" s="817">
        <v>9</v>
      </c>
      <c r="BQ92" s="817">
        <v>0</v>
      </c>
      <c r="BR92" s="976">
        <v>10000</v>
      </c>
      <c r="BS92" s="824">
        <v>39.851685393258428</v>
      </c>
      <c r="BT92" s="825">
        <v>40625</v>
      </c>
      <c r="BU92" s="977">
        <v>594</v>
      </c>
      <c r="BV92" s="976">
        <v>433</v>
      </c>
      <c r="BW92" s="976">
        <f t="shared" si="26"/>
        <v>750</v>
      </c>
      <c r="BX92" s="978">
        <f t="shared" si="27"/>
        <v>156</v>
      </c>
      <c r="BY92" s="822">
        <v>10</v>
      </c>
      <c r="BZ92" s="976">
        <v>5940</v>
      </c>
      <c r="CA92" s="976">
        <v>35640</v>
      </c>
      <c r="CB92" s="976">
        <v>891</v>
      </c>
      <c r="CC92" s="978">
        <v>5346</v>
      </c>
      <c r="CD92" s="823"/>
      <c r="CE92" s="817"/>
      <c r="CF92" s="817"/>
      <c r="CG92" s="817"/>
      <c r="CH92" s="817"/>
      <c r="CI92" s="976">
        <v>10000</v>
      </c>
      <c r="CJ92" s="980">
        <v>0</v>
      </c>
      <c r="CK92" s="825">
        <v>0</v>
      </c>
      <c r="CL92" s="816">
        <v>890</v>
      </c>
      <c r="CM92" s="817">
        <v>649</v>
      </c>
      <c r="CN92" s="817">
        <f t="shared" si="28"/>
        <v>1124</v>
      </c>
      <c r="CO92" s="821">
        <f t="shared" si="29"/>
        <v>234</v>
      </c>
      <c r="CP92" s="822">
        <v>10</v>
      </c>
      <c r="CQ92" s="817">
        <v>8900</v>
      </c>
      <c r="CR92" s="817">
        <v>53400</v>
      </c>
      <c r="CS92" s="976">
        <v>1335</v>
      </c>
      <c r="CT92" s="978">
        <v>8010</v>
      </c>
      <c r="CU92" s="823"/>
      <c r="CV92" s="817"/>
      <c r="CW92" s="817"/>
      <c r="CX92" s="817"/>
      <c r="CY92" s="817"/>
      <c r="CZ92" s="976">
        <v>10000</v>
      </c>
      <c r="DA92" s="824">
        <v>0</v>
      </c>
      <c r="DB92" s="825">
        <v>0</v>
      </c>
      <c r="DC92" s="826"/>
      <c r="DD92" s="817"/>
      <c r="DE92" s="827"/>
      <c r="DF92" s="827"/>
      <c r="DG92" s="827"/>
      <c r="DH92" s="976">
        <v>50000</v>
      </c>
      <c r="DI92" s="980"/>
      <c r="DJ92" s="825"/>
      <c r="DK92" s="828"/>
      <c r="DL92" s="829"/>
      <c r="DM92" s="830">
        <v>10000</v>
      </c>
      <c r="DN92" s="831">
        <v>600000</v>
      </c>
      <c r="DO92" s="832">
        <v>1200000</v>
      </c>
      <c r="DP92" s="832"/>
      <c r="DQ92" s="832"/>
      <c r="DR92" s="832"/>
      <c r="DS92" s="832"/>
      <c r="DT92" s="832"/>
      <c r="DU92" s="832"/>
      <c r="DV92" s="832"/>
      <c r="DW92" s="832"/>
      <c r="DX92" s="833"/>
      <c r="DY92" s="834" t="s">
        <v>43</v>
      </c>
      <c r="DZ92" s="835"/>
      <c r="EA92" s="814"/>
      <c r="EB92" s="814"/>
      <c r="EC92" s="836"/>
      <c r="ED92" s="837"/>
      <c r="EE92" s="817"/>
      <c r="EF92" s="817"/>
      <c r="EG92" s="817"/>
      <c r="EH92" s="821"/>
      <c r="EI92" s="838"/>
      <c r="EJ92" s="839"/>
    </row>
    <row r="93" spans="2:140">
      <c r="B93" s="1125" t="s">
        <v>713</v>
      </c>
      <c r="C93" s="803" t="s">
        <v>52</v>
      </c>
      <c r="D93" s="804"/>
      <c r="E93" s="805" t="s">
        <v>43</v>
      </c>
      <c r="F93" s="806"/>
      <c r="G93" s="807"/>
      <c r="H93" s="808">
        <v>7</v>
      </c>
      <c r="I93" s="809" t="s">
        <v>271</v>
      </c>
      <c r="J93" s="810">
        <v>12</v>
      </c>
      <c r="K93" s="811">
        <v>0.15</v>
      </c>
      <c r="L93" s="812">
        <v>3.5</v>
      </c>
      <c r="M93" s="813">
        <v>100</v>
      </c>
      <c r="N93" s="806">
        <v>535</v>
      </c>
      <c r="O93" s="840">
        <v>42411</v>
      </c>
      <c r="P93" s="815" t="s">
        <v>206</v>
      </c>
      <c r="Q93" s="816">
        <v>1050</v>
      </c>
      <c r="R93" s="817">
        <v>300</v>
      </c>
      <c r="S93" s="818">
        <v>151200</v>
      </c>
      <c r="T93" s="819" t="s">
        <v>714</v>
      </c>
      <c r="U93" s="820" t="s">
        <v>710</v>
      </c>
      <c r="V93" s="816">
        <v>350</v>
      </c>
      <c r="W93" s="817">
        <v>100</v>
      </c>
      <c r="X93" s="817">
        <f t="shared" si="20"/>
        <v>173</v>
      </c>
      <c r="Y93" s="821">
        <f t="shared" si="21"/>
        <v>-177</v>
      </c>
      <c r="Z93" s="979">
        <v>12</v>
      </c>
      <c r="AA93" s="976">
        <v>4200</v>
      </c>
      <c r="AB93" s="976">
        <v>50400</v>
      </c>
      <c r="AC93" s="976">
        <v>630</v>
      </c>
      <c r="AD93" s="978">
        <v>7560</v>
      </c>
      <c r="AE93" s="981">
        <v>1.5</v>
      </c>
      <c r="AF93" s="976">
        <v>0</v>
      </c>
      <c r="AG93" s="976">
        <v>0</v>
      </c>
      <c r="AH93" s="976">
        <v>0</v>
      </c>
      <c r="AI93" s="976">
        <v>0</v>
      </c>
      <c r="AJ93" s="976">
        <v>945</v>
      </c>
      <c r="AK93" s="980">
        <v>0</v>
      </c>
      <c r="AL93" s="982">
        <v>0</v>
      </c>
      <c r="AM93" s="816">
        <v>438</v>
      </c>
      <c r="AN93" s="817">
        <v>125</v>
      </c>
      <c r="AO93" s="817">
        <f t="shared" si="22"/>
        <v>216</v>
      </c>
      <c r="AP93" s="821">
        <f t="shared" si="23"/>
        <v>-222</v>
      </c>
      <c r="AQ93" s="979">
        <v>12</v>
      </c>
      <c r="AR93" s="976">
        <v>5256</v>
      </c>
      <c r="AS93" s="976">
        <v>63072</v>
      </c>
      <c r="AT93" s="976">
        <v>788</v>
      </c>
      <c r="AU93" s="978">
        <v>9460</v>
      </c>
      <c r="AV93" s="823">
        <v>9</v>
      </c>
      <c r="AW93" s="817">
        <v>3600000</v>
      </c>
      <c r="AX93" s="817">
        <v>0</v>
      </c>
      <c r="AY93" s="817">
        <v>5</v>
      </c>
      <c r="AZ93" s="817">
        <v>0</v>
      </c>
      <c r="BA93" s="976">
        <v>7095</v>
      </c>
      <c r="BB93" s="980">
        <v>28.838470319634705</v>
      </c>
      <c r="BC93" s="825">
        <v>400000</v>
      </c>
      <c r="BD93" s="816">
        <v>525</v>
      </c>
      <c r="BE93" s="817">
        <v>150</v>
      </c>
      <c r="BF93" s="817">
        <f t="shared" si="24"/>
        <v>259</v>
      </c>
      <c r="BG93" s="821">
        <f t="shared" si="25"/>
        <v>-266</v>
      </c>
      <c r="BH93" s="979">
        <v>12</v>
      </c>
      <c r="BI93" s="976">
        <v>6300</v>
      </c>
      <c r="BJ93" s="976">
        <v>75600</v>
      </c>
      <c r="BK93" s="976">
        <v>945</v>
      </c>
      <c r="BL93" s="978">
        <v>11340</v>
      </c>
      <c r="BM93" s="981">
        <v>18</v>
      </c>
      <c r="BN93" s="976">
        <v>5400000</v>
      </c>
      <c r="BO93" s="976">
        <v>0</v>
      </c>
      <c r="BP93" s="976">
        <v>10</v>
      </c>
      <c r="BQ93" s="976">
        <v>0</v>
      </c>
      <c r="BR93" s="976">
        <v>10000</v>
      </c>
      <c r="BS93" s="980">
        <v>36.339999999999996</v>
      </c>
      <c r="BT93" s="982">
        <v>300000</v>
      </c>
      <c r="BU93" s="816">
        <v>700</v>
      </c>
      <c r="BV93" s="817">
        <v>200</v>
      </c>
      <c r="BW93" s="817">
        <f t="shared" si="26"/>
        <v>346</v>
      </c>
      <c r="BX93" s="821">
        <f t="shared" si="27"/>
        <v>-354</v>
      </c>
      <c r="BY93" s="979">
        <v>12</v>
      </c>
      <c r="BZ93" s="976">
        <v>8400</v>
      </c>
      <c r="CA93" s="976">
        <v>100800</v>
      </c>
      <c r="CB93" s="976">
        <v>1260</v>
      </c>
      <c r="CC93" s="978">
        <v>15120</v>
      </c>
      <c r="CD93" s="823">
        <v>36</v>
      </c>
      <c r="CE93" s="817">
        <v>7200000</v>
      </c>
      <c r="CF93" s="817">
        <v>0</v>
      </c>
      <c r="CG93" s="817">
        <v>0</v>
      </c>
      <c r="CH93" s="817">
        <v>5</v>
      </c>
      <c r="CI93" s="976">
        <v>10000</v>
      </c>
      <c r="CJ93" s="980">
        <v>36.839285714285715</v>
      </c>
      <c r="CK93" s="825">
        <v>200000</v>
      </c>
      <c r="CL93" s="816">
        <v>1050</v>
      </c>
      <c r="CM93" s="817">
        <v>300</v>
      </c>
      <c r="CN93" s="817">
        <f t="shared" si="28"/>
        <v>519</v>
      </c>
      <c r="CO93" s="821">
        <f t="shared" si="29"/>
        <v>-531</v>
      </c>
      <c r="CP93" s="822">
        <v>12</v>
      </c>
      <c r="CQ93" s="817">
        <v>12600</v>
      </c>
      <c r="CR93" s="817">
        <v>151200</v>
      </c>
      <c r="CS93" s="817">
        <v>1890</v>
      </c>
      <c r="CT93" s="821">
        <v>22680</v>
      </c>
      <c r="CU93" s="981">
        <v>72</v>
      </c>
      <c r="CV93" s="976">
        <v>9000000</v>
      </c>
      <c r="CW93" s="976">
        <v>0</v>
      </c>
      <c r="CX93" s="976">
        <v>0</v>
      </c>
      <c r="CY93" s="976">
        <v>10</v>
      </c>
      <c r="CZ93" s="976">
        <v>10000</v>
      </c>
      <c r="DA93" s="980">
        <v>31.761904761904763</v>
      </c>
      <c r="DB93" s="982">
        <v>125000</v>
      </c>
      <c r="DC93" s="983">
        <v>136.5</v>
      </c>
      <c r="DD93" s="976">
        <v>25200000</v>
      </c>
      <c r="DE93" s="984">
        <v>0</v>
      </c>
      <c r="DF93" s="984">
        <v>15</v>
      </c>
      <c r="DG93" s="984">
        <v>15</v>
      </c>
      <c r="DH93" s="976">
        <v>38040</v>
      </c>
      <c r="DI93" s="980">
        <v>83.333333333333329</v>
      </c>
      <c r="DJ93" s="982">
        <v>184615.38461538462</v>
      </c>
      <c r="DK93" s="828"/>
      <c r="DL93" s="829"/>
      <c r="DM93" s="830"/>
      <c r="DN93" s="831"/>
      <c r="DO93" s="832"/>
      <c r="DP93" s="832"/>
      <c r="DQ93" s="832"/>
      <c r="DR93" s="832"/>
      <c r="DS93" s="832"/>
      <c r="DT93" s="832"/>
      <c r="DU93" s="832"/>
      <c r="DV93" s="832"/>
      <c r="DW93" s="832"/>
      <c r="DX93" s="833"/>
      <c r="DY93" s="834"/>
      <c r="DZ93" s="835"/>
      <c r="EA93" s="814"/>
      <c r="EB93" s="814"/>
      <c r="EC93" s="836"/>
      <c r="ED93" s="837"/>
      <c r="EE93" s="817"/>
      <c r="EF93" s="817"/>
      <c r="EG93" s="817"/>
      <c r="EH93" s="821"/>
      <c r="EI93" s="838"/>
      <c r="EJ93" s="839"/>
    </row>
    <row r="94" spans="2:140">
      <c r="B94" s="1124" t="s">
        <v>87</v>
      </c>
      <c r="C94" s="841" t="s">
        <v>77</v>
      </c>
      <c r="D94" s="842"/>
      <c r="E94" s="843" t="s">
        <v>43</v>
      </c>
      <c r="F94" s="844"/>
      <c r="G94" s="845"/>
      <c r="H94" s="846">
        <v>1</v>
      </c>
      <c r="I94" s="847" t="s">
        <v>268</v>
      </c>
      <c r="J94" s="848">
        <v>1.5</v>
      </c>
      <c r="K94" s="849">
        <v>0.22500000000000001</v>
      </c>
      <c r="L94" s="850">
        <v>0.4854368932038835</v>
      </c>
      <c r="M94" s="851">
        <v>30</v>
      </c>
      <c r="N94" s="844">
        <v>7</v>
      </c>
      <c r="O94" s="852" t="s">
        <v>47</v>
      </c>
      <c r="P94" s="853" t="s">
        <v>98</v>
      </c>
      <c r="Q94" s="854">
        <v>50</v>
      </c>
      <c r="R94" s="855">
        <v>103</v>
      </c>
      <c r="S94" s="856">
        <v>225</v>
      </c>
      <c r="T94" s="857" t="s">
        <v>437</v>
      </c>
      <c r="U94" s="858" t="s">
        <v>47</v>
      </c>
      <c r="V94" s="854">
        <v>50</v>
      </c>
      <c r="W94" s="855">
        <v>103</v>
      </c>
      <c r="X94" s="855">
        <f t="shared" si="20"/>
        <v>178</v>
      </c>
      <c r="Y94" s="859">
        <f t="shared" si="21"/>
        <v>128</v>
      </c>
      <c r="Z94" s="860">
        <v>3</v>
      </c>
      <c r="AA94" s="855">
        <v>150</v>
      </c>
      <c r="AB94" s="855">
        <v>225</v>
      </c>
      <c r="AC94" s="855">
        <v>33</v>
      </c>
      <c r="AD94" s="859">
        <v>50</v>
      </c>
      <c r="AE94" s="861">
        <v>8.3333333333333339E-4</v>
      </c>
      <c r="AF94" s="855">
        <v>700</v>
      </c>
      <c r="AG94" s="855">
        <v>0</v>
      </c>
      <c r="AH94" s="855">
        <v>0</v>
      </c>
      <c r="AI94" s="855">
        <v>0</v>
      </c>
      <c r="AJ94" s="855">
        <v>5</v>
      </c>
      <c r="AK94" s="862">
        <v>0.19444444444444445</v>
      </c>
      <c r="AL94" s="863">
        <v>840000</v>
      </c>
      <c r="AM94" s="854">
        <v>75</v>
      </c>
      <c r="AN94" s="855">
        <v>154</v>
      </c>
      <c r="AO94" s="855">
        <f t="shared" si="22"/>
        <v>266</v>
      </c>
      <c r="AP94" s="859">
        <f t="shared" si="23"/>
        <v>191</v>
      </c>
      <c r="AQ94" s="860">
        <v>3</v>
      </c>
      <c r="AR94" s="855">
        <v>225</v>
      </c>
      <c r="AS94" s="855">
        <v>337</v>
      </c>
      <c r="AT94" s="855">
        <v>50</v>
      </c>
      <c r="AU94" s="859">
        <v>75</v>
      </c>
      <c r="AV94" s="861">
        <v>8.3333333333333329E-2</v>
      </c>
      <c r="AW94" s="855">
        <v>3000</v>
      </c>
      <c r="AX94" s="855">
        <v>0</v>
      </c>
      <c r="AY94" s="855">
        <v>0</v>
      </c>
      <c r="AZ94" s="855">
        <v>0</v>
      </c>
      <c r="BA94" s="855">
        <v>4</v>
      </c>
      <c r="BB94" s="862">
        <v>0.55787037037037035</v>
      </c>
      <c r="BC94" s="863">
        <v>36000</v>
      </c>
      <c r="BD94" s="854">
        <v>87</v>
      </c>
      <c r="BE94" s="855">
        <v>180</v>
      </c>
      <c r="BF94" s="855">
        <f t="shared" si="24"/>
        <v>311</v>
      </c>
      <c r="BG94" s="859">
        <f t="shared" si="25"/>
        <v>224</v>
      </c>
      <c r="BH94" s="860">
        <v>3</v>
      </c>
      <c r="BI94" s="855">
        <v>261</v>
      </c>
      <c r="BJ94" s="855">
        <v>391</v>
      </c>
      <c r="BK94" s="855">
        <v>58</v>
      </c>
      <c r="BL94" s="859">
        <v>87</v>
      </c>
      <c r="BM94" s="861">
        <v>0.5</v>
      </c>
      <c r="BN94" s="855">
        <v>6000</v>
      </c>
      <c r="BO94" s="855">
        <v>1</v>
      </c>
      <c r="BP94" s="855">
        <v>0</v>
      </c>
      <c r="BQ94" s="855">
        <v>0</v>
      </c>
      <c r="BR94" s="855">
        <v>29</v>
      </c>
      <c r="BS94" s="862">
        <v>0.97581417624521072</v>
      </c>
      <c r="BT94" s="863">
        <v>12000</v>
      </c>
      <c r="BU94" s="854">
        <v>95</v>
      </c>
      <c r="BV94" s="855">
        <v>195</v>
      </c>
      <c r="BW94" s="855">
        <f t="shared" si="26"/>
        <v>337</v>
      </c>
      <c r="BX94" s="859">
        <f t="shared" si="27"/>
        <v>242</v>
      </c>
      <c r="BY94" s="860">
        <v>3</v>
      </c>
      <c r="BZ94" s="855">
        <v>285</v>
      </c>
      <c r="CA94" s="855">
        <v>427</v>
      </c>
      <c r="CB94" s="855">
        <v>64</v>
      </c>
      <c r="CC94" s="859">
        <v>96</v>
      </c>
      <c r="CD94" s="861">
        <v>1</v>
      </c>
      <c r="CE94" s="855">
        <v>9000</v>
      </c>
      <c r="CF94" s="855">
        <v>0</v>
      </c>
      <c r="CG94" s="855">
        <v>0</v>
      </c>
      <c r="CH94" s="855">
        <v>0</v>
      </c>
      <c r="CI94" s="855">
        <v>64</v>
      </c>
      <c r="CJ94" s="862">
        <v>1.3539473684210526</v>
      </c>
      <c r="CK94" s="863">
        <v>9000</v>
      </c>
      <c r="CL94" s="854">
        <v>100</v>
      </c>
      <c r="CM94" s="855">
        <v>206</v>
      </c>
      <c r="CN94" s="855">
        <f t="shared" si="28"/>
        <v>356</v>
      </c>
      <c r="CO94" s="859">
        <f t="shared" si="29"/>
        <v>256</v>
      </c>
      <c r="CP94" s="860">
        <v>3</v>
      </c>
      <c r="CQ94" s="855">
        <v>300</v>
      </c>
      <c r="CR94" s="855">
        <v>450</v>
      </c>
      <c r="CS94" s="855">
        <v>67</v>
      </c>
      <c r="CT94" s="859">
        <v>101</v>
      </c>
      <c r="CU94" s="861">
        <v>2</v>
      </c>
      <c r="CV94" s="855">
        <v>12000</v>
      </c>
      <c r="CW94" s="855">
        <v>0</v>
      </c>
      <c r="CX94" s="855">
        <v>1</v>
      </c>
      <c r="CY94" s="855">
        <v>0</v>
      </c>
      <c r="CZ94" s="855">
        <v>90</v>
      </c>
      <c r="DA94" s="862">
        <v>1.7458333333333333</v>
      </c>
      <c r="DB94" s="863">
        <v>6000</v>
      </c>
      <c r="DC94" s="864">
        <v>3.5841666666666665</v>
      </c>
      <c r="DD94" s="855">
        <v>30700</v>
      </c>
      <c r="DE94" s="865">
        <v>1</v>
      </c>
      <c r="DF94" s="865">
        <v>1</v>
      </c>
      <c r="DG94" s="865">
        <v>0</v>
      </c>
      <c r="DH94" s="855">
        <v>192</v>
      </c>
      <c r="DI94" s="862">
        <v>4.2638888888888884</v>
      </c>
      <c r="DJ94" s="863">
        <v>8565.4498953731691</v>
      </c>
      <c r="DK94" s="866">
        <v>1</v>
      </c>
      <c r="DL94" s="867" t="s">
        <v>43</v>
      </c>
      <c r="DM94" s="868"/>
      <c r="DN94" s="869"/>
      <c r="DO94" s="870"/>
      <c r="DP94" s="870"/>
      <c r="DQ94" s="870"/>
      <c r="DR94" s="870"/>
      <c r="DS94" s="870"/>
      <c r="DT94" s="870"/>
      <c r="DU94" s="870"/>
      <c r="DV94" s="870"/>
      <c r="DW94" s="870"/>
      <c r="DX94" s="871"/>
      <c r="DY94" s="872" t="s">
        <v>43</v>
      </c>
      <c r="DZ94" s="873">
        <v>1</v>
      </c>
      <c r="EA94" s="852">
        <v>3</v>
      </c>
      <c r="EB94" s="852">
        <v>7</v>
      </c>
      <c r="EC94" s="874">
        <v>21</v>
      </c>
      <c r="ED94" s="875"/>
      <c r="EE94" s="855"/>
      <c r="EF94" s="855"/>
      <c r="EG94" s="855"/>
      <c r="EH94" s="859"/>
      <c r="EI94" s="876"/>
      <c r="EJ94" s="877"/>
    </row>
    <row r="95" spans="2:140">
      <c r="B95" s="1124" t="s">
        <v>103</v>
      </c>
      <c r="C95" s="841" t="s">
        <v>77</v>
      </c>
      <c r="D95" s="842"/>
      <c r="E95" s="843" t="s">
        <v>43</v>
      </c>
      <c r="F95" s="844" t="s">
        <v>43</v>
      </c>
      <c r="G95" s="845"/>
      <c r="H95" s="846">
        <v>1</v>
      </c>
      <c r="I95" s="847" t="s">
        <v>268</v>
      </c>
      <c r="J95" s="848">
        <v>1.5</v>
      </c>
      <c r="K95" s="849">
        <v>0.22500000000000001</v>
      </c>
      <c r="L95" s="850">
        <v>0.49180327868852458</v>
      </c>
      <c r="M95" s="851">
        <v>30</v>
      </c>
      <c r="N95" s="844">
        <v>13</v>
      </c>
      <c r="O95" s="852" t="s">
        <v>47</v>
      </c>
      <c r="P95" s="853" t="s">
        <v>98</v>
      </c>
      <c r="Q95" s="854">
        <v>60</v>
      </c>
      <c r="R95" s="855">
        <v>122</v>
      </c>
      <c r="S95" s="856">
        <v>270</v>
      </c>
      <c r="T95" s="857" t="s">
        <v>438</v>
      </c>
      <c r="U95" s="858" t="s">
        <v>47</v>
      </c>
      <c r="V95" s="854">
        <v>60</v>
      </c>
      <c r="W95" s="855">
        <v>122</v>
      </c>
      <c r="X95" s="855">
        <f t="shared" si="20"/>
        <v>211</v>
      </c>
      <c r="Y95" s="859">
        <f t="shared" si="21"/>
        <v>151</v>
      </c>
      <c r="Z95" s="860">
        <v>3</v>
      </c>
      <c r="AA95" s="855">
        <v>180</v>
      </c>
      <c r="AB95" s="855">
        <v>270</v>
      </c>
      <c r="AC95" s="855">
        <v>40</v>
      </c>
      <c r="AD95" s="859">
        <v>60</v>
      </c>
      <c r="AE95" s="861">
        <v>1</v>
      </c>
      <c r="AF95" s="855">
        <v>3000</v>
      </c>
      <c r="AG95" s="855">
        <v>0</v>
      </c>
      <c r="AH95" s="855">
        <v>0</v>
      </c>
      <c r="AI95" s="855">
        <v>0</v>
      </c>
      <c r="AJ95" s="855">
        <v>40</v>
      </c>
      <c r="AK95" s="862">
        <v>0.69444444444444453</v>
      </c>
      <c r="AL95" s="863">
        <v>3000</v>
      </c>
      <c r="AM95" s="854">
        <v>90</v>
      </c>
      <c r="AN95" s="855">
        <v>183</v>
      </c>
      <c r="AO95" s="855">
        <f t="shared" si="22"/>
        <v>317</v>
      </c>
      <c r="AP95" s="859">
        <f t="shared" si="23"/>
        <v>227</v>
      </c>
      <c r="AQ95" s="860">
        <v>3</v>
      </c>
      <c r="AR95" s="855">
        <v>270</v>
      </c>
      <c r="AS95" s="855">
        <v>405</v>
      </c>
      <c r="AT95" s="855">
        <v>60</v>
      </c>
      <c r="AU95" s="859">
        <v>91</v>
      </c>
      <c r="AV95" s="861">
        <v>8.3333333333333329E-2</v>
      </c>
      <c r="AW95" s="855">
        <v>5000</v>
      </c>
      <c r="AX95" s="855">
        <v>0</v>
      </c>
      <c r="AY95" s="855">
        <v>0</v>
      </c>
      <c r="AZ95" s="855">
        <v>0</v>
      </c>
      <c r="BA95" s="855">
        <v>5</v>
      </c>
      <c r="BB95" s="862">
        <v>0.77391975308641969</v>
      </c>
      <c r="BC95" s="863">
        <v>60000</v>
      </c>
      <c r="BD95" s="854">
        <v>105</v>
      </c>
      <c r="BE95" s="855">
        <v>213</v>
      </c>
      <c r="BF95" s="855">
        <f t="shared" si="24"/>
        <v>369</v>
      </c>
      <c r="BG95" s="859">
        <f t="shared" si="25"/>
        <v>264</v>
      </c>
      <c r="BH95" s="860">
        <v>3</v>
      </c>
      <c r="BI95" s="855">
        <v>315</v>
      </c>
      <c r="BJ95" s="855">
        <v>472</v>
      </c>
      <c r="BK95" s="855">
        <v>70</v>
      </c>
      <c r="BL95" s="859">
        <v>106</v>
      </c>
      <c r="BM95" s="861">
        <v>0.5</v>
      </c>
      <c r="BN95" s="855">
        <v>10000</v>
      </c>
      <c r="BO95" s="855">
        <v>1</v>
      </c>
      <c r="BP95" s="855">
        <v>0</v>
      </c>
      <c r="BQ95" s="855">
        <v>0</v>
      </c>
      <c r="BR95" s="855">
        <v>35</v>
      </c>
      <c r="BS95" s="862">
        <v>1.3406084656084658</v>
      </c>
      <c r="BT95" s="863">
        <v>20000</v>
      </c>
      <c r="BU95" s="854">
        <v>114</v>
      </c>
      <c r="BV95" s="855">
        <v>231</v>
      </c>
      <c r="BW95" s="855">
        <f t="shared" si="26"/>
        <v>400</v>
      </c>
      <c r="BX95" s="859">
        <f t="shared" si="27"/>
        <v>286</v>
      </c>
      <c r="BY95" s="860">
        <v>3</v>
      </c>
      <c r="BZ95" s="855">
        <v>342</v>
      </c>
      <c r="CA95" s="855">
        <v>513</v>
      </c>
      <c r="CB95" s="855">
        <v>76</v>
      </c>
      <c r="CC95" s="859">
        <v>115</v>
      </c>
      <c r="CD95" s="861">
        <v>0.75</v>
      </c>
      <c r="CE95" s="855">
        <v>15000</v>
      </c>
      <c r="CF95" s="855">
        <v>0</v>
      </c>
      <c r="CG95" s="855">
        <v>0</v>
      </c>
      <c r="CH95" s="855">
        <v>0</v>
      </c>
      <c r="CI95" s="855">
        <v>57</v>
      </c>
      <c r="CJ95" s="862">
        <v>1.8562682748538011</v>
      </c>
      <c r="CK95" s="863">
        <v>20000</v>
      </c>
      <c r="CL95" s="854">
        <v>120</v>
      </c>
      <c r="CM95" s="855">
        <v>244</v>
      </c>
      <c r="CN95" s="855">
        <f t="shared" si="28"/>
        <v>422</v>
      </c>
      <c r="CO95" s="859">
        <f t="shared" si="29"/>
        <v>302</v>
      </c>
      <c r="CP95" s="860">
        <v>3</v>
      </c>
      <c r="CQ95" s="855">
        <v>360</v>
      </c>
      <c r="CR95" s="855">
        <v>540</v>
      </c>
      <c r="CS95" s="855">
        <v>81</v>
      </c>
      <c r="CT95" s="859">
        <v>121</v>
      </c>
      <c r="CU95" s="861">
        <v>1</v>
      </c>
      <c r="CV95" s="855">
        <v>20000</v>
      </c>
      <c r="CW95" s="855">
        <v>0</v>
      </c>
      <c r="CX95" s="855">
        <v>1</v>
      </c>
      <c r="CY95" s="855">
        <v>0</v>
      </c>
      <c r="CZ95" s="855">
        <v>81</v>
      </c>
      <c r="DA95" s="862">
        <v>2.3543981481481482</v>
      </c>
      <c r="DB95" s="863">
        <v>20000</v>
      </c>
      <c r="DC95" s="864">
        <v>3.333333333333333</v>
      </c>
      <c r="DD95" s="855">
        <v>53000</v>
      </c>
      <c r="DE95" s="865">
        <v>1</v>
      </c>
      <c r="DF95" s="865">
        <v>1</v>
      </c>
      <c r="DG95" s="865">
        <v>0</v>
      </c>
      <c r="DH95" s="855">
        <v>218</v>
      </c>
      <c r="DI95" s="862">
        <v>6.1342592592592595</v>
      </c>
      <c r="DJ95" s="863">
        <v>15900.000000000002</v>
      </c>
      <c r="DK95" s="866">
        <v>1</v>
      </c>
      <c r="DL95" s="867" t="s">
        <v>43</v>
      </c>
      <c r="DM95" s="868"/>
      <c r="DN95" s="869"/>
      <c r="DO95" s="870"/>
      <c r="DP95" s="870"/>
      <c r="DQ95" s="870"/>
      <c r="DR95" s="870"/>
      <c r="DS95" s="870"/>
      <c r="DT95" s="870"/>
      <c r="DU95" s="870"/>
      <c r="DV95" s="870"/>
      <c r="DW95" s="870"/>
      <c r="DX95" s="871"/>
      <c r="DY95" s="872" t="s">
        <v>43</v>
      </c>
      <c r="DZ95" s="873">
        <v>5</v>
      </c>
      <c r="EA95" s="852">
        <v>5</v>
      </c>
      <c r="EB95" s="852">
        <v>15</v>
      </c>
      <c r="EC95" s="874">
        <v>25</v>
      </c>
      <c r="ED95" s="875"/>
      <c r="EE95" s="855"/>
      <c r="EF95" s="855"/>
      <c r="EG95" s="855"/>
      <c r="EH95" s="859"/>
      <c r="EI95" s="876"/>
      <c r="EJ95" s="877"/>
    </row>
    <row r="96" spans="2:140">
      <c r="B96" s="1124" t="s">
        <v>64</v>
      </c>
      <c r="C96" s="841" t="s">
        <v>77</v>
      </c>
      <c r="D96" s="842"/>
      <c r="E96" s="843" t="s">
        <v>43</v>
      </c>
      <c r="F96" s="844"/>
      <c r="G96" s="845"/>
      <c r="H96" s="846">
        <v>2</v>
      </c>
      <c r="I96" s="847" t="s">
        <v>268</v>
      </c>
      <c r="J96" s="848">
        <v>1.5</v>
      </c>
      <c r="K96" s="849">
        <v>0.22500000000000001</v>
      </c>
      <c r="L96" s="850">
        <v>0.50359712230215825</v>
      </c>
      <c r="M96" s="851">
        <v>30</v>
      </c>
      <c r="N96" s="844">
        <v>23</v>
      </c>
      <c r="O96" s="852" t="s">
        <v>47</v>
      </c>
      <c r="P96" s="853" t="s">
        <v>98</v>
      </c>
      <c r="Q96" s="854">
        <v>70</v>
      </c>
      <c r="R96" s="855">
        <v>139</v>
      </c>
      <c r="S96" s="856">
        <v>315</v>
      </c>
      <c r="T96" s="857" t="s">
        <v>439</v>
      </c>
      <c r="U96" s="858" t="s">
        <v>47</v>
      </c>
      <c r="V96" s="854">
        <v>70</v>
      </c>
      <c r="W96" s="855">
        <v>139</v>
      </c>
      <c r="X96" s="855">
        <f t="shared" si="20"/>
        <v>240</v>
      </c>
      <c r="Y96" s="859">
        <f t="shared" si="21"/>
        <v>170</v>
      </c>
      <c r="Z96" s="860">
        <v>3</v>
      </c>
      <c r="AA96" s="855">
        <v>210</v>
      </c>
      <c r="AB96" s="855">
        <v>315</v>
      </c>
      <c r="AC96" s="855">
        <v>47</v>
      </c>
      <c r="AD96" s="859">
        <v>70</v>
      </c>
      <c r="AE96" s="861">
        <v>6</v>
      </c>
      <c r="AF96" s="855">
        <v>15000</v>
      </c>
      <c r="AG96" s="855">
        <v>0</v>
      </c>
      <c r="AH96" s="855">
        <v>0</v>
      </c>
      <c r="AI96" s="855">
        <v>0</v>
      </c>
      <c r="AJ96" s="855">
        <v>283</v>
      </c>
      <c r="AK96" s="862">
        <v>2.9761904761904763</v>
      </c>
      <c r="AL96" s="863">
        <v>2500</v>
      </c>
      <c r="AM96" s="854">
        <v>105</v>
      </c>
      <c r="AN96" s="855">
        <v>208</v>
      </c>
      <c r="AO96" s="855">
        <f t="shared" si="22"/>
        <v>360</v>
      </c>
      <c r="AP96" s="859">
        <f t="shared" si="23"/>
        <v>255</v>
      </c>
      <c r="AQ96" s="860">
        <v>3</v>
      </c>
      <c r="AR96" s="855">
        <v>315</v>
      </c>
      <c r="AS96" s="855">
        <v>472</v>
      </c>
      <c r="AT96" s="855">
        <v>70</v>
      </c>
      <c r="AU96" s="859">
        <v>106</v>
      </c>
      <c r="AV96" s="861">
        <v>2</v>
      </c>
      <c r="AW96" s="855">
        <v>15000</v>
      </c>
      <c r="AX96" s="855">
        <v>0</v>
      </c>
      <c r="AY96" s="855">
        <v>0</v>
      </c>
      <c r="AZ96" s="855">
        <v>0</v>
      </c>
      <c r="BA96" s="855">
        <v>106</v>
      </c>
      <c r="BB96" s="862">
        <v>2.0396825396825395</v>
      </c>
      <c r="BC96" s="863">
        <v>7500</v>
      </c>
      <c r="BD96" s="854">
        <v>122</v>
      </c>
      <c r="BE96" s="855">
        <v>243</v>
      </c>
      <c r="BF96" s="855">
        <f t="shared" si="24"/>
        <v>420</v>
      </c>
      <c r="BG96" s="859">
        <f t="shared" si="25"/>
        <v>298</v>
      </c>
      <c r="BH96" s="860">
        <v>3</v>
      </c>
      <c r="BI96" s="855">
        <v>366</v>
      </c>
      <c r="BJ96" s="855">
        <v>549</v>
      </c>
      <c r="BK96" s="855">
        <v>82</v>
      </c>
      <c r="BL96" s="859">
        <v>123</v>
      </c>
      <c r="BM96" s="861">
        <v>3</v>
      </c>
      <c r="BN96" s="855">
        <v>22500</v>
      </c>
      <c r="BO96" s="855">
        <v>1</v>
      </c>
      <c r="BP96" s="855">
        <v>0</v>
      </c>
      <c r="BQ96" s="855">
        <v>0</v>
      </c>
      <c r="BR96" s="855">
        <v>247</v>
      </c>
      <c r="BS96" s="862">
        <v>2.6690573770491803</v>
      </c>
      <c r="BT96" s="863">
        <v>7500</v>
      </c>
      <c r="BU96" s="854">
        <v>133</v>
      </c>
      <c r="BV96" s="855">
        <v>264</v>
      </c>
      <c r="BW96" s="855">
        <f t="shared" si="26"/>
        <v>457</v>
      </c>
      <c r="BX96" s="859">
        <f t="shared" si="27"/>
        <v>324</v>
      </c>
      <c r="BY96" s="860">
        <v>3</v>
      </c>
      <c r="BZ96" s="855">
        <v>399</v>
      </c>
      <c r="CA96" s="855">
        <v>598</v>
      </c>
      <c r="CB96" s="855">
        <v>89</v>
      </c>
      <c r="CC96" s="859">
        <v>134</v>
      </c>
      <c r="CD96" s="861">
        <v>5</v>
      </c>
      <c r="CE96" s="855">
        <v>30000</v>
      </c>
      <c r="CF96" s="855">
        <v>0</v>
      </c>
      <c r="CG96" s="855">
        <v>0</v>
      </c>
      <c r="CH96" s="855">
        <v>0</v>
      </c>
      <c r="CI96" s="855">
        <v>403</v>
      </c>
      <c r="CJ96" s="862">
        <v>3.323934837092732</v>
      </c>
      <c r="CK96" s="863">
        <v>6000</v>
      </c>
      <c r="CL96" s="854">
        <v>140</v>
      </c>
      <c r="CM96" s="855">
        <v>278</v>
      </c>
      <c r="CN96" s="855">
        <f t="shared" si="28"/>
        <v>481</v>
      </c>
      <c r="CO96" s="859">
        <f t="shared" si="29"/>
        <v>341</v>
      </c>
      <c r="CP96" s="860">
        <v>3</v>
      </c>
      <c r="CQ96" s="855">
        <v>420</v>
      </c>
      <c r="CR96" s="855">
        <v>630</v>
      </c>
      <c r="CS96" s="855">
        <v>94</v>
      </c>
      <c r="CT96" s="859">
        <v>141</v>
      </c>
      <c r="CU96" s="861">
        <v>6</v>
      </c>
      <c r="CV96" s="855">
        <v>37500</v>
      </c>
      <c r="CW96" s="855">
        <v>0</v>
      </c>
      <c r="CX96" s="855">
        <v>1</v>
      </c>
      <c r="CY96" s="855">
        <v>0</v>
      </c>
      <c r="CZ96" s="855">
        <v>567</v>
      </c>
      <c r="DA96" s="862">
        <v>3.9577380952380952</v>
      </c>
      <c r="DB96" s="863">
        <v>6250</v>
      </c>
      <c r="DC96" s="864">
        <v>22</v>
      </c>
      <c r="DD96" s="855">
        <v>120000</v>
      </c>
      <c r="DE96" s="865">
        <v>1</v>
      </c>
      <c r="DF96" s="865">
        <v>1</v>
      </c>
      <c r="DG96" s="865">
        <v>0</v>
      </c>
      <c r="DH96" s="855">
        <v>1606</v>
      </c>
      <c r="DI96" s="862">
        <v>11.904761904761905</v>
      </c>
      <c r="DJ96" s="863">
        <v>5454.545454545455</v>
      </c>
      <c r="DK96" s="866">
        <v>6</v>
      </c>
      <c r="DL96" s="867" t="s">
        <v>43</v>
      </c>
      <c r="DM96" s="868"/>
      <c r="DN96" s="869"/>
      <c r="DO96" s="870"/>
      <c r="DP96" s="870"/>
      <c r="DQ96" s="870"/>
      <c r="DR96" s="870"/>
      <c r="DS96" s="870"/>
      <c r="DT96" s="870"/>
      <c r="DU96" s="870"/>
      <c r="DV96" s="870"/>
      <c r="DW96" s="870"/>
      <c r="DX96" s="871"/>
      <c r="DY96" s="872" t="s">
        <v>43</v>
      </c>
      <c r="DZ96" s="873">
        <v>10</v>
      </c>
      <c r="EA96" s="852">
        <v>10</v>
      </c>
      <c r="EB96" s="852">
        <v>20</v>
      </c>
      <c r="EC96" s="874">
        <v>30</v>
      </c>
      <c r="ED96" s="875"/>
      <c r="EE96" s="855"/>
      <c r="EF96" s="855"/>
      <c r="EG96" s="855"/>
      <c r="EH96" s="859"/>
      <c r="EI96" s="876"/>
      <c r="EJ96" s="877"/>
    </row>
    <row r="97" spans="2:140">
      <c r="B97" s="1124" t="s">
        <v>88</v>
      </c>
      <c r="C97" s="841" t="s">
        <v>77</v>
      </c>
      <c r="D97" s="842"/>
      <c r="E97" s="843" t="s">
        <v>43</v>
      </c>
      <c r="F97" s="844"/>
      <c r="G97" s="845"/>
      <c r="H97" s="846">
        <v>2</v>
      </c>
      <c r="I97" s="847" t="s">
        <v>268</v>
      </c>
      <c r="J97" s="848">
        <v>1.75</v>
      </c>
      <c r="K97" s="849">
        <v>0.22500000000000001</v>
      </c>
      <c r="L97" s="850">
        <v>0.51948051948051943</v>
      </c>
      <c r="M97" s="851">
        <v>30</v>
      </c>
      <c r="N97" s="844">
        <v>30</v>
      </c>
      <c r="O97" s="852" t="s">
        <v>47</v>
      </c>
      <c r="P97" s="853" t="s">
        <v>98</v>
      </c>
      <c r="Q97" s="854">
        <v>80</v>
      </c>
      <c r="R97" s="855">
        <v>154</v>
      </c>
      <c r="S97" s="856">
        <v>560</v>
      </c>
      <c r="T97" s="857" t="s">
        <v>440</v>
      </c>
      <c r="U97" s="858" t="s">
        <v>47</v>
      </c>
      <c r="V97" s="854">
        <v>80</v>
      </c>
      <c r="W97" s="855">
        <v>154</v>
      </c>
      <c r="X97" s="855">
        <f t="shared" si="20"/>
        <v>266</v>
      </c>
      <c r="Y97" s="859">
        <f t="shared" si="21"/>
        <v>186</v>
      </c>
      <c r="Z97" s="860">
        <v>4</v>
      </c>
      <c r="AA97" s="855">
        <v>320</v>
      </c>
      <c r="AB97" s="855">
        <v>560</v>
      </c>
      <c r="AC97" s="855">
        <v>72</v>
      </c>
      <c r="AD97" s="859">
        <v>126</v>
      </c>
      <c r="AE97" s="861">
        <v>16</v>
      </c>
      <c r="AF97" s="855">
        <v>80000</v>
      </c>
      <c r="AG97" s="855">
        <v>0</v>
      </c>
      <c r="AH97" s="855">
        <v>0</v>
      </c>
      <c r="AI97" s="855">
        <v>0</v>
      </c>
      <c r="AJ97" s="855">
        <v>1152</v>
      </c>
      <c r="AK97" s="862">
        <v>10.416666666666666</v>
      </c>
      <c r="AL97" s="863">
        <v>5000</v>
      </c>
      <c r="AM97" s="854">
        <v>120</v>
      </c>
      <c r="AN97" s="855">
        <v>231</v>
      </c>
      <c r="AO97" s="855">
        <f t="shared" si="22"/>
        <v>400</v>
      </c>
      <c r="AP97" s="859">
        <f t="shared" si="23"/>
        <v>280</v>
      </c>
      <c r="AQ97" s="860">
        <v>4</v>
      </c>
      <c r="AR97" s="855">
        <v>480</v>
      </c>
      <c r="AS97" s="855">
        <v>840</v>
      </c>
      <c r="AT97" s="855">
        <v>108</v>
      </c>
      <c r="AU97" s="859">
        <v>189</v>
      </c>
      <c r="AV97" s="861">
        <v>4</v>
      </c>
      <c r="AW97" s="855">
        <v>80000</v>
      </c>
      <c r="AX97" s="855">
        <v>0</v>
      </c>
      <c r="AY97" s="855">
        <v>0</v>
      </c>
      <c r="AZ97" s="855">
        <v>0</v>
      </c>
      <c r="BA97" s="855">
        <v>432</v>
      </c>
      <c r="BB97" s="862">
        <v>7.0555555555555562</v>
      </c>
      <c r="BC97" s="863">
        <v>20000</v>
      </c>
      <c r="BD97" s="854">
        <v>140</v>
      </c>
      <c r="BE97" s="855">
        <v>269</v>
      </c>
      <c r="BF97" s="855">
        <f t="shared" si="24"/>
        <v>466</v>
      </c>
      <c r="BG97" s="859">
        <f t="shared" si="25"/>
        <v>326</v>
      </c>
      <c r="BH97" s="860">
        <v>4</v>
      </c>
      <c r="BI97" s="855">
        <v>560</v>
      </c>
      <c r="BJ97" s="855">
        <v>980</v>
      </c>
      <c r="BK97" s="855">
        <v>126</v>
      </c>
      <c r="BL97" s="859">
        <v>220</v>
      </c>
      <c r="BM97" s="861">
        <v>8</v>
      </c>
      <c r="BN97" s="855">
        <v>120000</v>
      </c>
      <c r="BO97" s="855">
        <v>1</v>
      </c>
      <c r="BP97" s="855">
        <v>0</v>
      </c>
      <c r="BQ97" s="855">
        <v>0</v>
      </c>
      <c r="BR97" s="855">
        <v>1008</v>
      </c>
      <c r="BS97" s="862">
        <v>9.2142857142857135</v>
      </c>
      <c r="BT97" s="863">
        <v>15000</v>
      </c>
      <c r="BU97" s="854">
        <v>152</v>
      </c>
      <c r="BV97" s="855">
        <v>292</v>
      </c>
      <c r="BW97" s="855">
        <f t="shared" si="26"/>
        <v>505</v>
      </c>
      <c r="BX97" s="859">
        <f t="shared" si="27"/>
        <v>353</v>
      </c>
      <c r="BY97" s="860">
        <v>4</v>
      </c>
      <c r="BZ97" s="855">
        <v>608</v>
      </c>
      <c r="CA97" s="855">
        <v>1064</v>
      </c>
      <c r="CB97" s="855">
        <v>136</v>
      </c>
      <c r="CC97" s="859">
        <v>239</v>
      </c>
      <c r="CD97" s="861">
        <v>12</v>
      </c>
      <c r="CE97" s="855">
        <v>160000</v>
      </c>
      <c r="CF97" s="855">
        <v>0</v>
      </c>
      <c r="CG97" s="855">
        <v>0</v>
      </c>
      <c r="CH97" s="855">
        <v>0</v>
      </c>
      <c r="CI97" s="855">
        <v>1641</v>
      </c>
      <c r="CJ97" s="862">
        <v>11.425438596491228</v>
      </c>
      <c r="CK97" s="863">
        <v>13333</v>
      </c>
      <c r="CL97" s="854">
        <v>160</v>
      </c>
      <c r="CM97" s="855">
        <v>308</v>
      </c>
      <c r="CN97" s="855">
        <f t="shared" si="28"/>
        <v>533</v>
      </c>
      <c r="CO97" s="859">
        <f t="shared" si="29"/>
        <v>373</v>
      </c>
      <c r="CP97" s="860">
        <v>4</v>
      </c>
      <c r="CQ97" s="855">
        <v>640</v>
      </c>
      <c r="CR97" s="855">
        <v>1120</v>
      </c>
      <c r="CS97" s="855">
        <v>144</v>
      </c>
      <c r="CT97" s="859">
        <v>252</v>
      </c>
      <c r="CU97" s="861">
        <v>16</v>
      </c>
      <c r="CV97" s="855">
        <v>200000</v>
      </c>
      <c r="CW97" s="855">
        <v>0</v>
      </c>
      <c r="CX97" s="855">
        <v>1</v>
      </c>
      <c r="CY97" s="855">
        <v>0</v>
      </c>
      <c r="CZ97" s="855">
        <v>2304</v>
      </c>
      <c r="DA97" s="862">
        <v>13.654166666666667</v>
      </c>
      <c r="DB97" s="863">
        <v>12500</v>
      </c>
      <c r="DC97" s="864">
        <v>56</v>
      </c>
      <c r="DD97" s="855">
        <v>640000</v>
      </c>
      <c r="DE97" s="865">
        <v>1</v>
      </c>
      <c r="DF97" s="865">
        <v>1</v>
      </c>
      <c r="DG97" s="865">
        <v>0</v>
      </c>
      <c r="DH97" s="855">
        <v>6537</v>
      </c>
      <c r="DI97" s="862">
        <v>41.666666666666664</v>
      </c>
      <c r="DJ97" s="863">
        <v>11428.571428571429</v>
      </c>
      <c r="DK97" s="866">
        <v>15</v>
      </c>
      <c r="DL97" s="867" t="s">
        <v>43</v>
      </c>
      <c r="DM97" s="868"/>
      <c r="DN97" s="869"/>
      <c r="DO97" s="870"/>
      <c r="DP97" s="870"/>
      <c r="DQ97" s="870"/>
      <c r="DR97" s="870"/>
      <c r="DS97" s="870"/>
      <c r="DT97" s="870"/>
      <c r="DU97" s="870"/>
      <c r="DV97" s="870"/>
      <c r="DW97" s="870"/>
      <c r="DX97" s="871"/>
      <c r="DY97" s="872" t="s">
        <v>43</v>
      </c>
      <c r="DZ97" s="873">
        <v>14</v>
      </c>
      <c r="EA97" s="852">
        <v>14</v>
      </c>
      <c r="EB97" s="852">
        <v>24</v>
      </c>
      <c r="EC97" s="874">
        <v>34</v>
      </c>
      <c r="ED97" s="875"/>
      <c r="EE97" s="855"/>
      <c r="EF97" s="855"/>
      <c r="EG97" s="855"/>
      <c r="EH97" s="859"/>
      <c r="EI97" s="876"/>
      <c r="EJ97" s="877"/>
    </row>
    <row r="98" spans="2:140">
      <c r="B98" s="1124" t="s">
        <v>66</v>
      </c>
      <c r="C98" s="841" t="s">
        <v>77</v>
      </c>
      <c r="D98" s="842"/>
      <c r="E98" s="843" t="s">
        <v>43</v>
      </c>
      <c r="F98" s="844" t="s">
        <v>43</v>
      </c>
      <c r="G98" s="845"/>
      <c r="H98" s="846">
        <v>2</v>
      </c>
      <c r="I98" s="847" t="s">
        <v>268</v>
      </c>
      <c r="J98" s="848">
        <v>2</v>
      </c>
      <c r="K98" s="849">
        <v>0.22500000000000001</v>
      </c>
      <c r="L98" s="850">
        <v>0.60509554140127386</v>
      </c>
      <c r="M98" s="851">
        <v>30</v>
      </c>
      <c r="N98" s="844">
        <v>32</v>
      </c>
      <c r="O98" s="852" t="s">
        <v>47</v>
      </c>
      <c r="P98" s="853" t="s">
        <v>98</v>
      </c>
      <c r="Q98" s="854">
        <v>95</v>
      </c>
      <c r="R98" s="855">
        <v>157</v>
      </c>
      <c r="S98" s="856">
        <v>760</v>
      </c>
      <c r="T98" s="857" t="s">
        <v>441</v>
      </c>
      <c r="U98" s="858" t="s">
        <v>47</v>
      </c>
      <c r="V98" s="854">
        <v>95</v>
      </c>
      <c r="W98" s="855">
        <v>157</v>
      </c>
      <c r="X98" s="855">
        <f t="shared" si="20"/>
        <v>272</v>
      </c>
      <c r="Y98" s="859">
        <f t="shared" si="21"/>
        <v>177</v>
      </c>
      <c r="Z98" s="860">
        <v>4</v>
      </c>
      <c r="AA98" s="855">
        <v>380</v>
      </c>
      <c r="AB98" s="855">
        <v>760</v>
      </c>
      <c r="AC98" s="855">
        <v>85</v>
      </c>
      <c r="AD98" s="859">
        <v>171</v>
      </c>
      <c r="AE98" s="861">
        <v>20</v>
      </c>
      <c r="AF98" s="855">
        <v>120000</v>
      </c>
      <c r="AG98" s="855">
        <v>0</v>
      </c>
      <c r="AH98" s="855">
        <v>0</v>
      </c>
      <c r="AI98" s="855">
        <v>0</v>
      </c>
      <c r="AJ98" s="855">
        <v>1710</v>
      </c>
      <c r="AK98" s="862">
        <v>13.157894736842104</v>
      </c>
      <c r="AL98" s="863">
        <v>6000</v>
      </c>
      <c r="AM98" s="854">
        <v>142</v>
      </c>
      <c r="AN98" s="855">
        <v>235</v>
      </c>
      <c r="AO98" s="855">
        <f t="shared" si="22"/>
        <v>407</v>
      </c>
      <c r="AP98" s="859">
        <f t="shared" si="23"/>
        <v>265</v>
      </c>
      <c r="AQ98" s="860">
        <v>4</v>
      </c>
      <c r="AR98" s="855">
        <v>568</v>
      </c>
      <c r="AS98" s="855">
        <v>1136</v>
      </c>
      <c r="AT98" s="855">
        <v>127</v>
      </c>
      <c r="AU98" s="859">
        <v>255</v>
      </c>
      <c r="AV98" s="861">
        <v>5</v>
      </c>
      <c r="AW98" s="855">
        <v>120000</v>
      </c>
      <c r="AX98" s="855">
        <v>0</v>
      </c>
      <c r="AY98" s="855">
        <v>0</v>
      </c>
      <c r="AZ98" s="855">
        <v>0</v>
      </c>
      <c r="BA98" s="855">
        <v>639</v>
      </c>
      <c r="BB98" s="862">
        <v>8.9421948356807501</v>
      </c>
      <c r="BC98" s="863">
        <v>24000</v>
      </c>
      <c r="BD98" s="854">
        <v>166</v>
      </c>
      <c r="BE98" s="855">
        <v>274</v>
      </c>
      <c r="BF98" s="855">
        <f t="shared" si="24"/>
        <v>474</v>
      </c>
      <c r="BG98" s="859">
        <f t="shared" si="25"/>
        <v>308</v>
      </c>
      <c r="BH98" s="860">
        <v>4</v>
      </c>
      <c r="BI98" s="855">
        <v>664</v>
      </c>
      <c r="BJ98" s="855">
        <v>1328</v>
      </c>
      <c r="BK98" s="855">
        <v>149</v>
      </c>
      <c r="BL98" s="859">
        <v>298</v>
      </c>
      <c r="BM98" s="861">
        <v>10</v>
      </c>
      <c r="BN98" s="855">
        <v>180000</v>
      </c>
      <c r="BO98" s="855">
        <v>1</v>
      </c>
      <c r="BP98" s="855">
        <v>0</v>
      </c>
      <c r="BQ98" s="855">
        <v>0</v>
      </c>
      <c r="BR98" s="855">
        <v>1494</v>
      </c>
      <c r="BS98" s="862">
        <v>11.651606425702811</v>
      </c>
      <c r="BT98" s="863">
        <v>18000</v>
      </c>
      <c r="BU98" s="854">
        <v>180</v>
      </c>
      <c r="BV98" s="855">
        <v>298</v>
      </c>
      <c r="BW98" s="855">
        <f t="shared" si="26"/>
        <v>516</v>
      </c>
      <c r="BX98" s="859">
        <f t="shared" si="27"/>
        <v>336</v>
      </c>
      <c r="BY98" s="860">
        <v>4</v>
      </c>
      <c r="BZ98" s="855">
        <v>720</v>
      </c>
      <c r="CA98" s="855">
        <v>1440</v>
      </c>
      <c r="CB98" s="855">
        <v>162</v>
      </c>
      <c r="CC98" s="859">
        <v>324</v>
      </c>
      <c r="CD98" s="861">
        <v>15</v>
      </c>
      <c r="CE98" s="855">
        <v>240000</v>
      </c>
      <c r="CF98" s="855">
        <v>0</v>
      </c>
      <c r="CG98" s="855">
        <v>0</v>
      </c>
      <c r="CH98" s="855">
        <v>0</v>
      </c>
      <c r="CI98" s="855">
        <v>2430</v>
      </c>
      <c r="CJ98" s="862">
        <v>14.465277777777779</v>
      </c>
      <c r="CK98" s="863">
        <v>16000</v>
      </c>
      <c r="CL98" s="854">
        <v>190</v>
      </c>
      <c r="CM98" s="855">
        <v>314</v>
      </c>
      <c r="CN98" s="855">
        <f t="shared" si="28"/>
        <v>544</v>
      </c>
      <c r="CO98" s="859">
        <f t="shared" si="29"/>
        <v>354</v>
      </c>
      <c r="CP98" s="860">
        <v>4</v>
      </c>
      <c r="CQ98" s="855">
        <v>760</v>
      </c>
      <c r="CR98" s="855">
        <v>1520</v>
      </c>
      <c r="CS98" s="855">
        <v>171</v>
      </c>
      <c r="CT98" s="859">
        <v>342</v>
      </c>
      <c r="CU98" s="861">
        <v>20</v>
      </c>
      <c r="CV98" s="855">
        <v>300000</v>
      </c>
      <c r="CW98" s="855">
        <v>0</v>
      </c>
      <c r="CX98" s="855">
        <v>1</v>
      </c>
      <c r="CY98" s="855">
        <v>0</v>
      </c>
      <c r="CZ98" s="855">
        <v>3420</v>
      </c>
      <c r="DA98" s="862">
        <v>17.236842105263158</v>
      </c>
      <c r="DB98" s="863">
        <v>15000</v>
      </c>
      <c r="DC98" s="864">
        <v>70</v>
      </c>
      <c r="DD98" s="855">
        <v>960000</v>
      </c>
      <c r="DE98" s="865">
        <v>1</v>
      </c>
      <c r="DF98" s="865">
        <v>1</v>
      </c>
      <c r="DG98" s="865">
        <v>0</v>
      </c>
      <c r="DH98" s="855">
        <v>9693</v>
      </c>
      <c r="DI98" s="862">
        <v>52.631578947368418</v>
      </c>
      <c r="DJ98" s="863">
        <v>13714.285714285714</v>
      </c>
      <c r="DK98" s="866">
        <v>19</v>
      </c>
      <c r="DL98" s="867" t="s">
        <v>43</v>
      </c>
      <c r="DM98" s="868"/>
      <c r="DN98" s="869"/>
      <c r="DO98" s="870"/>
      <c r="DP98" s="870"/>
      <c r="DQ98" s="870"/>
      <c r="DR98" s="870"/>
      <c r="DS98" s="870"/>
      <c r="DT98" s="870"/>
      <c r="DU98" s="870"/>
      <c r="DV98" s="870"/>
      <c r="DW98" s="870"/>
      <c r="DX98" s="871"/>
      <c r="DY98" s="872" t="s">
        <v>43</v>
      </c>
      <c r="DZ98" s="873">
        <v>17</v>
      </c>
      <c r="EA98" s="852">
        <v>17</v>
      </c>
      <c r="EB98" s="852">
        <v>27</v>
      </c>
      <c r="EC98" s="874">
        <v>37</v>
      </c>
      <c r="ED98" s="875"/>
      <c r="EE98" s="855"/>
      <c r="EF98" s="855"/>
      <c r="EG98" s="855"/>
      <c r="EH98" s="859"/>
      <c r="EI98" s="876"/>
      <c r="EJ98" s="877"/>
    </row>
    <row r="99" spans="2:140">
      <c r="B99" s="1124" t="s">
        <v>32</v>
      </c>
      <c r="C99" s="841" t="s">
        <v>77</v>
      </c>
      <c r="D99" s="842"/>
      <c r="E99" s="843" t="s">
        <v>43</v>
      </c>
      <c r="F99" s="844"/>
      <c r="G99" s="845"/>
      <c r="H99" s="846">
        <v>3</v>
      </c>
      <c r="I99" s="847" t="s">
        <v>268</v>
      </c>
      <c r="J99" s="848">
        <v>2.25</v>
      </c>
      <c r="K99" s="849">
        <v>0.22500000000000001</v>
      </c>
      <c r="L99" s="850">
        <v>0.6875</v>
      </c>
      <c r="M99" s="851">
        <v>30</v>
      </c>
      <c r="N99" s="844">
        <v>41</v>
      </c>
      <c r="O99" s="852" t="s">
        <v>47</v>
      </c>
      <c r="P99" s="853" t="s">
        <v>98</v>
      </c>
      <c r="Q99" s="854">
        <v>110</v>
      </c>
      <c r="R99" s="855">
        <v>160</v>
      </c>
      <c r="S99" s="856">
        <v>990</v>
      </c>
      <c r="T99" s="857" t="s">
        <v>442</v>
      </c>
      <c r="U99" s="858" t="s">
        <v>47</v>
      </c>
      <c r="V99" s="854">
        <v>110</v>
      </c>
      <c r="W99" s="855">
        <v>160</v>
      </c>
      <c r="X99" s="855">
        <f t="shared" si="20"/>
        <v>277</v>
      </c>
      <c r="Y99" s="859">
        <f t="shared" si="21"/>
        <v>167</v>
      </c>
      <c r="Z99" s="860">
        <v>4</v>
      </c>
      <c r="AA99" s="855">
        <v>440</v>
      </c>
      <c r="AB99" s="855">
        <v>990</v>
      </c>
      <c r="AC99" s="855">
        <v>99</v>
      </c>
      <c r="AD99" s="859">
        <v>222</v>
      </c>
      <c r="AE99" s="861">
        <v>72</v>
      </c>
      <c r="AF99" s="855">
        <v>500000</v>
      </c>
      <c r="AG99" s="855">
        <v>0</v>
      </c>
      <c r="AH99" s="855">
        <v>0</v>
      </c>
      <c r="AI99" s="855">
        <v>0</v>
      </c>
      <c r="AJ99" s="855">
        <v>7128</v>
      </c>
      <c r="AK99" s="862">
        <v>47.348484848484844</v>
      </c>
      <c r="AL99" s="863">
        <v>6944</v>
      </c>
      <c r="AM99" s="854">
        <v>165</v>
      </c>
      <c r="AN99" s="855">
        <v>240</v>
      </c>
      <c r="AO99" s="855">
        <f t="shared" si="22"/>
        <v>415</v>
      </c>
      <c r="AP99" s="859">
        <f t="shared" si="23"/>
        <v>250</v>
      </c>
      <c r="AQ99" s="860">
        <v>4</v>
      </c>
      <c r="AR99" s="855">
        <v>660</v>
      </c>
      <c r="AS99" s="855">
        <v>1485</v>
      </c>
      <c r="AT99" s="855">
        <v>148</v>
      </c>
      <c r="AU99" s="859">
        <v>334</v>
      </c>
      <c r="AV99" s="861">
        <v>18</v>
      </c>
      <c r="AW99" s="855">
        <v>500000</v>
      </c>
      <c r="AX99" s="855">
        <v>0</v>
      </c>
      <c r="AY99" s="855">
        <v>0</v>
      </c>
      <c r="AZ99" s="855">
        <v>0</v>
      </c>
      <c r="BA99" s="855">
        <v>2673</v>
      </c>
      <c r="BB99" s="862">
        <v>32.065656565656568</v>
      </c>
      <c r="BC99" s="863">
        <v>27777</v>
      </c>
      <c r="BD99" s="854">
        <v>192</v>
      </c>
      <c r="BE99" s="855">
        <v>280</v>
      </c>
      <c r="BF99" s="855">
        <f t="shared" si="24"/>
        <v>485</v>
      </c>
      <c r="BG99" s="859">
        <f t="shared" si="25"/>
        <v>293</v>
      </c>
      <c r="BH99" s="860">
        <v>4</v>
      </c>
      <c r="BI99" s="855">
        <v>768</v>
      </c>
      <c r="BJ99" s="855">
        <v>1728</v>
      </c>
      <c r="BK99" s="855">
        <v>172</v>
      </c>
      <c r="BL99" s="859">
        <v>388</v>
      </c>
      <c r="BM99" s="861">
        <v>36</v>
      </c>
      <c r="BN99" s="855">
        <v>750000</v>
      </c>
      <c r="BO99" s="855">
        <v>1</v>
      </c>
      <c r="BP99" s="855">
        <v>0</v>
      </c>
      <c r="BQ99" s="855">
        <v>0</v>
      </c>
      <c r="BR99" s="855">
        <v>6220</v>
      </c>
      <c r="BS99" s="862">
        <v>41.979166666666664</v>
      </c>
      <c r="BT99" s="863">
        <v>20833</v>
      </c>
      <c r="BU99" s="854">
        <v>209</v>
      </c>
      <c r="BV99" s="855">
        <v>304</v>
      </c>
      <c r="BW99" s="855">
        <f t="shared" si="26"/>
        <v>526</v>
      </c>
      <c r="BX99" s="859">
        <f t="shared" si="27"/>
        <v>317</v>
      </c>
      <c r="BY99" s="860">
        <v>4</v>
      </c>
      <c r="BZ99" s="855">
        <v>836</v>
      </c>
      <c r="CA99" s="855">
        <v>1881</v>
      </c>
      <c r="CB99" s="855">
        <v>188</v>
      </c>
      <c r="CC99" s="859">
        <v>423</v>
      </c>
      <c r="CD99" s="861">
        <v>54</v>
      </c>
      <c r="CE99" s="855">
        <v>1000000</v>
      </c>
      <c r="CF99" s="855">
        <v>0</v>
      </c>
      <c r="CG99" s="855">
        <v>0</v>
      </c>
      <c r="CH99" s="855">
        <v>0</v>
      </c>
      <c r="CI99" s="855">
        <v>10000</v>
      </c>
      <c r="CJ99" s="862">
        <v>51.907496012759168</v>
      </c>
      <c r="CK99" s="863">
        <v>18518</v>
      </c>
      <c r="CL99" s="854">
        <v>220</v>
      </c>
      <c r="CM99" s="855">
        <v>320</v>
      </c>
      <c r="CN99" s="855">
        <f t="shared" si="28"/>
        <v>554</v>
      </c>
      <c r="CO99" s="859">
        <f t="shared" si="29"/>
        <v>334</v>
      </c>
      <c r="CP99" s="860">
        <v>4</v>
      </c>
      <c r="CQ99" s="855">
        <v>880</v>
      </c>
      <c r="CR99" s="855">
        <v>1980</v>
      </c>
      <c r="CS99" s="855">
        <v>198</v>
      </c>
      <c r="CT99" s="859">
        <v>445</v>
      </c>
      <c r="CU99" s="861">
        <v>72</v>
      </c>
      <c r="CV99" s="855">
        <v>1250000</v>
      </c>
      <c r="CW99" s="855">
        <v>0</v>
      </c>
      <c r="CX99" s="855">
        <v>1</v>
      </c>
      <c r="CY99" s="855">
        <v>0</v>
      </c>
      <c r="CZ99" s="855">
        <v>10000</v>
      </c>
      <c r="DA99" s="862">
        <v>62.035606060606057</v>
      </c>
      <c r="DB99" s="863">
        <v>17361</v>
      </c>
      <c r="DC99" s="864">
        <v>252</v>
      </c>
      <c r="DD99" s="855">
        <v>4000000</v>
      </c>
      <c r="DE99" s="865">
        <v>1</v>
      </c>
      <c r="DF99" s="865">
        <v>1</v>
      </c>
      <c r="DG99" s="865">
        <v>0</v>
      </c>
      <c r="DH99" s="855">
        <v>36021</v>
      </c>
      <c r="DI99" s="862">
        <v>189.39393939393938</v>
      </c>
      <c r="DJ99" s="863">
        <v>15873.015873015873</v>
      </c>
      <c r="DK99" s="866">
        <v>69</v>
      </c>
      <c r="DL99" s="867" t="s">
        <v>43</v>
      </c>
      <c r="DM99" s="868"/>
      <c r="DN99" s="869"/>
      <c r="DO99" s="870"/>
      <c r="DP99" s="870"/>
      <c r="DQ99" s="870"/>
      <c r="DR99" s="870"/>
      <c r="DS99" s="870"/>
      <c r="DT99" s="870"/>
      <c r="DU99" s="870"/>
      <c r="DV99" s="870"/>
      <c r="DW99" s="870"/>
      <c r="DX99" s="871"/>
      <c r="DY99" s="872" t="s">
        <v>43</v>
      </c>
      <c r="DZ99" s="873">
        <v>25</v>
      </c>
      <c r="EA99" s="852">
        <v>25</v>
      </c>
      <c r="EB99" s="852">
        <v>35</v>
      </c>
      <c r="EC99" s="874">
        <v>45</v>
      </c>
      <c r="ED99" s="875"/>
      <c r="EE99" s="855"/>
      <c r="EF99" s="855"/>
      <c r="EG99" s="855"/>
      <c r="EH99" s="859"/>
      <c r="EI99" s="876"/>
      <c r="EJ99" s="877"/>
    </row>
    <row r="100" spans="2:140">
      <c r="B100" s="1124" t="s">
        <v>83</v>
      </c>
      <c r="C100" s="841" t="s">
        <v>77</v>
      </c>
      <c r="D100" s="842"/>
      <c r="E100" s="843" t="s">
        <v>43</v>
      </c>
      <c r="F100" s="844"/>
      <c r="G100" s="845"/>
      <c r="H100" s="846">
        <v>3</v>
      </c>
      <c r="I100" s="847" t="s">
        <v>268</v>
      </c>
      <c r="J100" s="848">
        <v>2.5</v>
      </c>
      <c r="K100" s="849">
        <v>0.22500000000000001</v>
      </c>
      <c r="L100" s="850">
        <v>0.77160493827160492</v>
      </c>
      <c r="M100" s="851">
        <v>30</v>
      </c>
      <c r="N100" s="844">
        <v>56</v>
      </c>
      <c r="O100" s="852" t="s">
        <v>47</v>
      </c>
      <c r="P100" s="853" t="s">
        <v>98</v>
      </c>
      <c r="Q100" s="854">
        <v>125</v>
      </c>
      <c r="R100" s="855">
        <v>162</v>
      </c>
      <c r="S100" s="856">
        <v>1250</v>
      </c>
      <c r="T100" s="857" t="s">
        <v>443</v>
      </c>
      <c r="U100" s="858" t="s">
        <v>47</v>
      </c>
      <c r="V100" s="854">
        <v>125</v>
      </c>
      <c r="W100" s="855">
        <v>162</v>
      </c>
      <c r="X100" s="855">
        <f t="shared" si="20"/>
        <v>280</v>
      </c>
      <c r="Y100" s="859">
        <f t="shared" si="21"/>
        <v>155</v>
      </c>
      <c r="Z100" s="860">
        <v>4</v>
      </c>
      <c r="AA100" s="855">
        <v>500</v>
      </c>
      <c r="AB100" s="855">
        <v>1250</v>
      </c>
      <c r="AC100" s="855">
        <v>112</v>
      </c>
      <c r="AD100" s="859">
        <v>281</v>
      </c>
      <c r="AE100" s="861">
        <v>192</v>
      </c>
      <c r="AF100" s="855">
        <v>3000000</v>
      </c>
      <c r="AG100" s="855">
        <v>0</v>
      </c>
      <c r="AH100" s="855">
        <v>0</v>
      </c>
      <c r="AI100" s="855">
        <v>0</v>
      </c>
      <c r="AJ100" s="855">
        <v>10000</v>
      </c>
      <c r="AK100" s="862">
        <v>250</v>
      </c>
      <c r="AL100" s="863">
        <v>15625</v>
      </c>
      <c r="AM100" s="854">
        <v>187</v>
      </c>
      <c r="AN100" s="855">
        <v>243</v>
      </c>
      <c r="AO100" s="855">
        <f t="shared" si="22"/>
        <v>420</v>
      </c>
      <c r="AP100" s="859">
        <f t="shared" si="23"/>
        <v>233</v>
      </c>
      <c r="AQ100" s="860">
        <v>4</v>
      </c>
      <c r="AR100" s="855">
        <v>748</v>
      </c>
      <c r="AS100" s="855">
        <v>1870</v>
      </c>
      <c r="AT100" s="855">
        <v>168</v>
      </c>
      <c r="AU100" s="859">
        <v>420</v>
      </c>
      <c r="AV100" s="861">
        <v>48</v>
      </c>
      <c r="AW100" s="855">
        <v>3000000</v>
      </c>
      <c r="AX100" s="855">
        <v>0</v>
      </c>
      <c r="AY100" s="855">
        <v>0</v>
      </c>
      <c r="AZ100" s="855">
        <v>0</v>
      </c>
      <c r="BA100" s="855">
        <v>8078</v>
      </c>
      <c r="BB100" s="862">
        <v>168.44919786096258</v>
      </c>
      <c r="BC100" s="863">
        <v>62500</v>
      </c>
      <c r="BD100" s="854">
        <v>218</v>
      </c>
      <c r="BE100" s="855">
        <v>283</v>
      </c>
      <c r="BF100" s="855">
        <f t="shared" si="24"/>
        <v>490</v>
      </c>
      <c r="BG100" s="859">
        <f t="shared" si="25"/>
        <v>272</v>
      </c>
      <c r="BH100" s="860">
        <v>4</v>
      </c>
      <c r="BI100" s="855">
        <v>872</v>
      </c>
      <c r="BJ100" s="855">
        <v>2180</v>
      </c>
      <c r="BK100" s="855">
        <v>196</v>
      </c>
      <c r="BL100" s="859">
        <v>490</v>
      </c>
      <c r="BM100" s="861">
        <v>96</v>
      </c>
      <c r="BN100" s="855">
        <v>4500000</v>
      </c>
      <c r="BO100" s="855">
        <v>1</v>
      </c>
      <c r="BP100" s="855">
        <v>0</v>
      </c>
      <c r="BQ100" s="855">
        <v>0</v>
      </c>
      <c r="BR100" s="855">
        <v>10000</v>
      </c>
      <c r="BS100" s="862">
        <v>218.45412844036696</v>
      </c>
      <c r="BT100" s="863">
        <v>46875</v>
      </c>
      <c r="BU100" s="854">
        <v>237</v>
      </c>
      <c r="BV100" s="855">
        <v>307</v>
      </c>
      <c r="BW100" s="855">
        <f t="shared" si="26"/>
        <v>531</v>
      </c>
      <c r="BX100" s="859">
        <f t="shared" si="27"/>
        <v>294</v>
      </c>
      <c r="BY100" s="860">
        <v>4</v>
      </c>
      <c r="BZ100" s="855">
        <v>948</v>
      </c>
      <c r="CA100" s="855">
        <v>2370</v>
      </c>
      <c r="CB100" s="855">
        <v>213</v>
      </c>
      <c r="CC100" s="859">
        <v>533</v>
      </c>
      <c r="CD100" s="861">
        <v>144</v>
      </c>
      <c r="CE100" s="855">
        <v>6000000</v>
      </c>
      <c r="CF100" s="855">
        <v>0</v>
      </c>
      <c r="CG100" s="855">
        <v>0</v>
      </c>
      <c r="CH100" s="855">
        <v>0</v>
      </c>
      <c r="CI100" s="855">
        <v>10000</v>
      </c>
      <c r="CJ100" s="862">
        <v>269.23206751054852</v>
      </c>
      <c r="CK100" s="863">
        <v>41666</v>
      </c>
      <c r="CL100" s="854">
        <v>250</v>
      </c>
      <c r="CM100" s="855">
        <v>324</v>
      </c>
      <c r="CN100" s="855">
        <f t="shared" si="28"/>
        <v>561</v>
      </c>
      <c r="CO100" s="859">
        <f t="shared" si="29"/>
        <v>311</v>
      </c>
      <c r="CP100" s="860">
        <v>4</v>
      </c>
      <c r="CQ100" s="855">
        <v>1000</v>
      </c>
      <c r="CR100" s="855">
        <v>2500</v>
      </c>
      <c r="CS100" s="855">
        <v>225</v>
      </c>
      <c r="CT100" s="859">
        <v>562</v>
      </c>
      <c r="CU100" s="861">
        <v>192</v>
      </c>
      <c r="CV100" s="855">
        <v>7500000</v>
      </c>
      <c r="CW100" s="855">
        <v>0</v>
      </c>
      <c r="CX100" s="855">
        <v>1</v>
      </c>
      <c r="CY100" s="855">
        <v>0</v>
      </c>
      <c r="CZ100" s="855">
        <v>10000</v>
      </c>
      <c r="DA100" s="862">
        <v>320.084</v>
      </c>
      <c r="DB100" s="863">
        <v>39062</v>
      </c>
      <c r="DC100" s="864">
        <v>672</v>
      </c>
      <c r="DD100" s="855">
        <v>24000000</v>
      </c>
      <c r="DE100" s="865">
        <v>1</v>
      </c>
      <c r="DF100" s="865">
        <v>1</v>
      </c>
      <c r="DG100" s="865">
        <v>0</v>
      </c>
      <c r="DH100" s="855">
        <v>48078</v>
      </c>
      <c r="DI100" s="862">
        <v>1000</v>
      </c>
      <c r="DJ100" s="863">
        <v>35714.285714285717</v>
      </c>
      <c r="DK100" s="866">
        <v>183</v>
      </c>
      <c r="DL100" s="867" t="s">
        <v>43</v>
      </c>
      <c r="DM100" s="868"/>
      <c r="DN100" s="869"/>
      <c r="DO100" s="870"/>
      <c r="DP100" s="870"/>
      <c r="DQ100" s="870"/>
      <c r="DR100" s="870"/>
      <c r="DS100" s="870"/>
      <c r="DT100" s="870"/>
      <c r="DU100" s="870"/>
      <c r="DV100" s="870"/>
      <c r="DW100" s="870"/>
      <c r="DX100" s="871"/>
      <c r="DY100" s="872" t="s">
        <v>43</v>
      </c>
      <c r="DZ100" s="873">
        <v>54</v>
      </c>
      <c r="EA100" s="852">
        <v>54</v>
      </c>
      <c r="EB100" s="852">
        <v>64</v>
      </c>
      <c r="EC100" s="874">
        <v>74</v>
      </c>
      <c r="ED100" s="875"/>
      <c r="EE100" s="855"/>
      <c r="EF100" s="855"/>
      <c r="EG100" s="855"/>
      <c r="EH100" s="859"/>
      <c r="EI100" s="876"/>
      <c r="EJ100" s="877"/>
    </row>
    <row r="101" spans="2:140">
      <c r="B101" s="1124" t="s">
        <v>63</v>
      </c>
      <c r="C101" s="841" t="s">
        <v>77</v>
      </c>
      <c r="D101" s="842"/>
      <c r="E101" s="843" t="s">
        <v>43</v>
      </c>
      <c r="F101" s="844"/>
      <c r="G101" s="845"/>
      <c r="H101" s="846">
        <v>3</v>
      </c>
      <c r="I101" s="847" t="s">
        <v>283</v>
      </c>
      <c r="J101" s="848">
        <v>1.5</v>
      </c>
      <c r="K101" s="849">
        <v>0.2</v>
      </c>
      <c r="L101" s="850">
        <v>0.4925373134328358</v>
      </c>
      <c r="M101" s="851">
        <v>30</v>
      </c>
      <c r="N101" s="844">
        <v>15</v>
      </c>
      <c r="O101" s="852" t="s">
        <v>47</v>
      </c>
      <c r="P101" s="853" t="s">
        <v>98</v>
      </c>
      <c r="Q101" s="854">
        <v>66</v>
      </c>
      <c r="R101" s="855">
        <v>134</v>
      </c>
      <c r="S101" s="856">
        <v>297</v>
      </c>
      <c r="T101" s="857" t="s">
        <v>444</v>
      </c>
      <c r="U101" s="858" t="s">
        <v>47</v>
      </c>
      <c r="V101" s="854">
        <v>66</v>
      </c>
      <c r="W101" s="855">
        <v>134</v>
      </c>
      <c r="X101" s="855">
        <f t="shared" si="20"/>
        <v>232</v>
      </c>
      <c r="Y101" s="859">
        <f t="shared" si="21"/>
        <v>166</v>
      </c>
      <c r="Z101" s="860">
        <v>3</v>
      </c>
      <c r="AA101" s="855">
        <v>198</v>
      </c>
      <c r="AB101" s="855">
        <v>297</v>
      </c>
      <c r="AC101" s="855">
        <v>39</v>
      </c>
      <c r="AD101" s="859">
        <v>59</v>
      </c>
      <c r="AE101" s="861">
        <v>1.5</v>
      </c>
      <c r="AF101" s="855">
        <v>0</v>
      </c>
      <c r="AG101" s="855">
        <v>0</v>
      </c>
      <c r="AH101" s="855">
        <v>0</v>
      </c>
      <c r="AI101" s="855">
        <v>0</v>
      </c>
      <c r="AJ101" s="855">
        <v>59</v>
      </c>
      <c r="AK101" s="862">
        <v>0</v>
      </c>
      <c r="AL101" s="863">
        <v>0</v>
      </c>
      <c r="AM101" s="854">
        <v>99</v>
      </c>
      <c r="AN101" s="855">
        <v>201</v>
      </c>
      <c r="AO101" s="855">
        <f t="shared" si="22"/>
        <v>348</v>
      </c>
      <c r="AP101" s="859">
        <f t="shared" si="23"/>
        <v>249</v>
      </c>
      <c r="AQ101" s="860">
        <v>3</v>
      </c>
      <c r="AR101" s="855">
        <v>297</v>
      </c>
      <c r="AS101" s="855">
        <v>445</v>
      </c>
      <c r="AT101" s="855">
        <v>59</v>
      </c>
      <c r="AU101" s="859">
        <v>89</v>
      </c>
      <c r="AV101" s="861">
        <v>0.41666666666666669</v>
      </c>
      <c r="AW101" s="855">
        <v>4000</v>
      </c>
      <c r="AX101" s="855">
        <v>0</v>
      </c>
      <c r="AY101" s="855">
        <v>0</v>
      </c>
      <c r="AZ101" s="855">
        <v>0</v>
      </c>
      <c r="BA101" s="855">
        <v>23</v>
      </c>
      <c r="BB101" s="862">
        <v>0.57274130190796857</v>
      </c>
      <c r="BC101" s="863">
        <v>9600</v>
      </c>
      <c r="BD101" s="854">
        <v>115</v>
      </c>
      <c r="BE101" s="855">
        <v>234</v>
      </c>
      <c r="BF101" s="855">
        <f t="shared" si="24"/>
        <v>405</v>
      </c>
      <c r="BG101" s="859">
        <f t="shared" si="25"/>
        <v>290</v>
      </c>
      <c r="BH101" s="860">
        <v>3</v>
      </c>
      <c r="BI101" s="855">
        <v>345</v>
      </c>
      <c r="BJ101" s="855">
        <v>517</v>
      </c>
      <c r="BK101" s="855">
        <v>69</v>
      </c>
      <c r="BL101" s="859">
        <v>103</v>
      </c>
      <c r="BM101" s="861">
        <v>0.75</v>
      </c>
      <c r="BN101" s="855">
        <v>6000</v>
      </c>
      <c r="BO101" s="855">
        <v>0</v>
      </c>
      <c r="BP101" s="855">
        <v>1</v>
      </c>
      <c r="BQ101" s="855">
        <v>0</v>
      </c>
      <c r="BR101" s="855">
        <v>51</v>
      </c>
      <c r="BS101" s="862">
        <v>0.75153985507246379</v>
      </c>
      <c r="BT101" s="863">
        <v>8000</v>
      </c>
      <c r="BU101" s="854">
        <v>125</v>
      </c>
      <c r="BV101" s="855">
        <v>254</v>
      </c>
      <c r="BW101" s="855">
        <f t="shared" si="26"/>
        <v>440</v>
      </c>
      <c r="BX101" s="859">
        <f t="shared" si="27"/>
        <v>315</v>
      </c>
      <c r="BY101" s="860">
        <v>3</v>
      </c>
      <c r="BZ101" s="855">
        <v>375</v>
      </c>
      <c r="CA101" s="855">
        <v>562</v>
      </c>
      <c r="CB101" s="855">
        <v>75</v>
      </c>
      <c r="CC101" s="859">
        <v>112</v>
      </c>
      <c r="CD101" s="861">
        <v>2</v>
      </c>
      <c r="CE101" s="855">
        <v>8000</v>
      </c>
      <c r="CF101" s="855">
        <v>0</v>
      </c>
      <c r="CG101" s="855">
        <v>0</v>
      </c>
      <c r="CH101" s="855">
        <v>0</v>
      </c>
      <c r="CI101" s="855">
        <v>85</v>
      </c>
      <c r="CJ101" s="862">
        <v>0.9655555555555555</v>
      </c>
      <c r="CK101" s="863">
        <v>4000</v>
      </c>
      <c r="CL101" s="854">
        <v>132</v>
      </c>
      <c r="CM101" s="855">
        <v>268</v>
      </c>
      <c r="CN101" s="855">
        <f t="shared" si="28"/>
        <v>464</v>
      </c>
      <c r="CO101" s="859">
        <f t="shared" si="29"/>
        <v>332</v>
      </c>
      <c r="CP101" s="860">
        <v>3</v>
      </c>
      <c r="CQ101" s="855">
        <v>396</v>
      </c>
      <c r="CR101" s="855">
        <v>594</v>
      </c>
      <c r="CS101" s="855">
        <v>79</v>
      </c>
      <c r="CT101" s="859">
        <v>118</v>
      </c>
      <c r="CU101" s="861">
        <v>2</v>
      </c>
      <c r="CV101" s="855">
        <v>10000</v>
      </c>
      <c r="CW101" s="855">
        <v>0</v>
      </c>
      <c r="CX101" s="855">
        <v>0</v>
      </c>
      <c r="CY101" s="855">
        <v>1</v>
      </c>
      <c r="CZ101" s="855">
        <v>118</v>
      </c>
      <c r="DA101" s="862">
        <v>1.1311026936026936</v>
      </c>
      <c r="DB101" s="863">
        <v>5000</v>
      </c>
      <c r="DC101" s="864">
        <v>6.666666666666667</v>
      </c>
      <c r="DD101" s="855">
        <v>28000</v>
      </c>
      <c r="DE101" s="865">
        <v>0</v>
      </c>
      <c r="DF101" s="865">
        <v>1</v>
      </c>
      <c r="DG101" s="865">
        <v>1</v>
      </c>
      <c r="DH101" s="855">
        <v>336</v>
      </c>
      <c r="DI101" s="862">
        <v>2.9461279461279464</v>
      </c>
      <c r="DJ101" s="863">
        <v>4200</v>
      </c>
      <c r="DK101" s="866">
        <v>2</v>
      </c>
      <c r="DL101" s="867" t="s">
        <v>43</v>
      </c>
      <c r="DM101" s="868">
        <v>160</v>
      </c>
      <c r="DN101" s="869">
        <v>500</v>
      </c>
      <c r="DO101" s="870">
        <v>2000</v>
      </c>
      <c r="DP101" s="870">
        <v>4000</v>
      </c>
      <c r="DQ101" s="870">
        <v>12000</v>
      </c>
      <c r="DR101" s="870">
        <v>24000</v>
      </c>
      <c r="DS101" s="870">
        <v>48000</v>
      </c>
      <c r="DT101" s="870">
        <v>96000</v>
      </c>
      <c r="DU101" s="870">
        <v>192000</v>
      </c>
      <c r="DV101" s="870">
        <v>384000</v>
      </c>
      <c r="DW101" s="870">
        <v>576000</v>
      </c>
      <c r="DX101" s="871"/>
      <c r="DY101" s="872" t="s">
        <v>43</v>
      </c>
      <c r="DZ101" s="873"/>
      <c r="EA101" s="852"/>
      <c r="EB101" s="852"/>
      <c r="EC101" s="874"/>
      <c r="ED101" s="875"/>
      <c r="EE101" s="855"/>
      <c r="EF101" s="855"/>
      <c r="EG101" s="855"/>
      <c r="EH101" s="859"/>
      <c r="EI101" s="876"/>
      <c r="EJ101" s="877"/>
    </row>
    <row r="102" spans="2:140">
      <c r="B102" s="1124" t="s">
        <v>89</v>
      </c>
      <c r="C102" s="841" t="s">
        <v>77</v>
      </c>
      <c r="D102" s="842"/>
      <c r="E102" s="843" t="s">
        <v>43</v>
      </c>
      <c r="F102" s="844"/>
      <c r="G102" s="845"/>
      <c r="H102" s="846">
        <v>3</v>
      </c>
      <c r="I102" s="847" t="s">
        <v>283</v>
      </c>
      <c r="J102" s="848">
        <v>1.5</v>
      </c>
      <c r="K102" s="849">
        <v>0.2</v>
      </c>
      <c r="L102" s="850">
        <v>0.50657894736842102</v>
      </c>
      <c r="M102" s="851">
        <v>30</v>
      </c>
      <c r="N102" s="844">
        <v>29</v>
      </c>
      <c r="O102" s="852" t="s">
        <v>47</v>
      </c>
      <c r="P102" s="853" t="s">
        <v>98</v>
      </c>
      <c r="Q102" s="854">
        <v>77</v>
      </c>
      <c r="R102" s="855">
        <v>152</v>
      </c>
      <c r="S102" s="856">
        <v>346</v>
      </c>
      <c r="T102" s="857" t="s">
        <v>445</v>
      </c>
      <c r="U102" s="858" t="s">
        <v>47</v>
      </c>
      <c r="V102" s="854">
        <v>77</v>
      </c>
      <c r="W102" s="855">
        <v>152</v>
      </c>
      <c r="X102" s="855">
        <f t="shared" ref="X102:X133" si="30">INT(W102*$C$1/100)</f>
        <v>263</v>
      </c>
      <c r="Y102" s="859">
        <f t="shared" ref="Y102:Y133" si="31">X102-V102</f>
        <v>186</v>
      </c>
      <c r="Z102" s="860">
        <v>3</v>
      </c>
      <c r="AA102" s="855">
        <v>231</v>
      </c>
      <c r="AB102" s="855">
        <v>346</v>
      </c>
      <c r="AC102" s="855">
        <v>46</v>
      </c>
      <c r="AD102" s="859">
        <v>69</v>
      </c>
      <c r="AE102" s="861">
        <v>4</v>
      </c>
      <c r="AF102" s="855">
        <v>0</v>
      </c>
      <c r="AG102" s="855">
        <v>0</v>
      </c>
      <c r="AH102" s="855">
        <v>0</v>
      </c>
      <c r="AI102" s="855">
        <v>0</v>
      </c>
      <c r="AJ102" s="855">
        <v>184</v>
      </c>
      <c r="AK102" s="862">
        <v>0</v>
      </c>
      <c r="AL102" s="863">
        <v>0</v>
      </c>
      <c r="AM102" s="854">
        <v>115</v>
      </c>
      <c r="AN102" s="855">
        <v>228</v>
      </c>
      <c r="AO102" s="855">
        <f t="shared" ref="AO102:AO133" si="32">INT(AN102*$C$1/100)</f>
        <v>395</v>
      </c>
      <c r="AP102" s="859">
        <f t="shared" ref="AP102:AP133" si="33">AO102-AM102</f>
        <v>280</v>
      </c>
      <c r="AQ102" s="860">
        <v>3</v>
      </c>
      <c r="AR102" s="855">
        <v>345</v>
      </c>
      <c r="AS102" s="855">
        <v>517</v>
      </c>
      <c r="AT102" s="855">
        <v>69</v>
      </c>
      <c r="AU102" s="859">
        <v>103</v>
      </c>
      <c r="AV102" s="861">
        <v>1</v>
      </c>
      <c r="AW102" s="855">
        <v>30000</v>
      </c>
      <c r="AX102" s="855">
        <v>0</v>
      </c>
      <c r="AY102" s="855">
        <v>0</v>
      </c>
      <c r="AZ102" s="855">
        <v>0</v>
      </c>
      <c r="BA102" s="855">
        <v>59</v>
      </c>
      <c r="BB102" s="862">
        <v>3.6510869565217394</v>
      </c>
      <c r="BC102" s="863">
        <v>30000</v>
      </c>
      <c r="BD102" s="854">
        <v>134</v>
      </c>
      <c r="BE102" s="855">
        <v>266</v>
      </c>
      <c r="BF102" s="855">
        <f t="shared" ref="BF102:BF133" si="34">INT(BE102*$C$1/100)</f>
        <v>460</v>
      </c>
      <c r="BG102" s="859">
        <f t="shared" ref="BG102:BG133" si="35">BF102-BD102</f>
        <v>326</v>
      </c>
      <c r="BH102" s="860">
        <v>3</v>
      </c>
      <c r="BI102" s="855">
        <v>402</v>
      </c>
      <c r="BJ102" s="855">
        <v>603</v>
      </c>
      <c r="BK102" s="855">
        <v>80</v>
      </c>
      <c r="BL102" s="859">
        <v>120</v>
      </c>
      <c r="BM102" s="861">
        <v>2</v>
      </c>
      <c r="BN102" s="855">
        <v>40000</v>
      </c>
      <c r="BO102" s="855">
        <v>0</v>
      </c>
      <c r="BP102" s="855">
        <v>1</v>
      </c>
      <c r="BQ102" s="855">
        <v>0</v>
      </c>
      <c r="BR102" s="855">
        <v>160</v>
      </c>
      <c r="BS102" s="862">
        <v>4.2174543946932008</v>
      </c>
      <c r="BT102" s="863">
        <v>20000</v>
      </c>
      <c r="BU102" s="854">
        <v>146</v>
      </c>
      <c r="BV102" s="855">
        <v>288</v>
      </c>
      <c r="BW102" s="855">
        <f t="shared" ref="BW102:BW133" si="36">INT(BV102*$C$1/100)</f>
        <v>498</v>
      </c>
      <c r="BX102" s="859">
        <f t="shared" ref="BX102:BX133" si="37">BW102-BU102</f>
        <v>352</v>
      </c>
      <c r="BY102" s="860">
        <v>3</v>
      </c>
      <c r="BZ102" s="855">
        <v>438</v>
      </c>
      <c r="CA102" s="855">
        <v>657</v>
      </c>
      <c r="CB102" s="855">
        <v>87</v>
      </c>
      <c r="CC102" s="859">
        <v>131</v>
      </c>
      <c r="CD102" s="861">
        <v>3</v>
      </c>
      <c r="CE102" s="855">
        <v>50000</v>
      </c>
      <c r="CF102" s="855">
        <v>0</v>
      </c>
      <c r="CG102" s="855">
        <v>0</v>
      </c>
      <c r="CH102" s="855">
        <v>0</v>
      </c>
      <c r="CI102" s="855">
        <v>262</v>
      </c>
      <c r="CJ102" s="862">
        <v>4.8711948249619477</v>
      </c>
      <c r="CK102" s="863">
        <v>16666</v>
      </c>
      <c r="CL102" s="854">
        <v>154</v>
      </c>
      <c r="CM102" s="855">
        <v>304</v>
      </c>
      <c r="CN102" s="855">
        <f t="shared" ref="CN102:CN133" si="38">INT(CM102*$C$1/100)</f>
        <v>526</v>
      </c>
      <c r="CO102" s="859">
        <f t="shared" ref="CO102:CO133" si="39">CN102-CL102</f>
        <v>372</v>
      </c>
      <c r="CP102" s="860">
        <v>3</v>
      </c>
      <c r="CQ102" s="855">
        <v>462</v>
      </c>
      <c r="CR102" s="855">
        <v>693</v>
      </c>
      <c r="CS102" s="855">
        <v>92</v>
      </c>
      <c r="CT102" s="859">
        <v>138</v>
      </c>
      <c r="CU102" s="861">
        <v>4</v>
      </c>
      <c r="CV102" s="855">
        <v>60000</v>
      </c>
      <c r="CW102" s="855">
        <v>0</v>
      </c>
      <c r="CX102" s="855">
        <v>0</v>
      </c>
      <c r="CY102" s="855">
        <v>1</v>
      </c>
      <c r="CZ102" s="855">
        <v>369</v>
      </c>
      <c r="DA102" s="862">
        <v>5.5692640692640687</v>
      </c>
      <c r="DB102" s="863">
        <v>15000</v>
      </c>
      <c r="DC102" s="864">
        <v>14</v>
      </c>
      <c r="DD102" s="855">
        <v>180000</v>
      </c>
      <c r="DE102" s="865">
        <v>0</v>
      </c>
      <c r="DF102" s="865">
        <v>1</v>
      </c>
      <c r="DG102" s="865">
        <v>1</v>
      </c>
      <c r="DH102" s="855">
        <v>1034</v>
      </c>
      <c r="DI102" s="862">
        <v>16.233766233766236</v>
      </c>
      <c r="DJ102" s="863">
        <v>12857.142857142857</v>
      </c>
      <c r="DK102" s="866">
        <v>4</v>
      </c>
      <c r="DL102" s="867" t="s">
        <v>43</v>
      </c>
      <c r="DM102" s="868">
        <v>1650</v>
      </c>
      <c r="DN102" s="869">
        <v>5000</v>
      </c>
      <c r="DO102" s="870">
        <v>10000</v>
      </c>
      <c r="DP102" s="870">
        <v>20000</v>
      </c>
      <c r="DQ102" s="870">
        <v>40000</v>
      </c>
      <c r="DR102" s="870">
        <v>80000</v>
      </c>
      <c r="DS102" s="870">
        <v>160000</v>
      </c>
      <c r="DT102" s="870">
        <v>320000</v>
      </c>
      <c r="DU102" s="870">
        <v>640000</v>
      </c>
      <c r="DV102" s="870"/>
      <c r="DW102" s="870"/>
      <c r="DX102" s="871"/>
      <c r="DY102" s="872" t="s">
        <v>43</v>
      </c>
      <c r="DZ102" s="873"/>
      <c r="EA102" s="852"/>
      <c r="EB102" s="852"/>
      <c r="EC102" s="874"/>
      <c r="ED102" s="875"/>
      <c r="EE102" s="855"/>
      <c r="EF102" s="855"/>
      <c r="EG102" s="855"/>
      <c r="EH102" s="859"/>
      <c r="EI102" s="876"/>
      <c r="EJ102" s="877"/>
    </row>
    <row r="103" spans="2:140">
      <c r="B103" s="1124" t="s">
        <v>76</v>
      </c>
      <c r="C103" s="841" t="s">
        <v>77</v>
      </c>
      <c r="D103" s="842"/>
      <c r="E103" s="843" t="s">
        <v>43</v>
      </c>
      <c r="F103" s="844"/>
      <c r="G103" s="845"/>
      <c r="H103" s="846">
        <v>4</v>
      </c>
      <c r="I103" s="847" t="s">
        <v>283</v>
      </c>
      <c r="J103" s="848">
        <v>2</v>
      </c>
      <c r="K103" s="849">
        <v>0.2</v>
      </c>
      <c r="L103" s="850">
        <v>0.60465116279069764</v>
      </c>
      <c r="M103" s="851">
        <v>30</v>
      </c>
      <c r="N103" s="844">
        <v>35</v>
      </c>
      <c r="O103" s="852" t="s">
        <v>47</v>
      </c>
      <c r="P103" s="853" t="s">
        <v>98</v>
      </c>
      <c r="Q103" s="854">
        <v>104</v>
      </c>
      <c r="R103" s="855">
        <v>172</v>
      </c>
      <c r="S103" s="856">
        <v>832</v>
      </c>
      <c r="T103" s="857" t="s">
        <v>446</v>
      </c>
      <c r="U103" s="858" t="s">
        <v>47</v>
      </c>
      <c r="V103" s="854">
        <v>104</v>
      </c>
      <c r="W103" s="855">
        <v>172</v>
      </c>
      <c r="X103" s="855">
        <f t="shared" si="30"/>
        <v>297</v>
      </c>
      <c r="Y103" s="859">
        <f t="shared" si="31"/>
        <v>193</v>
      </c>
      <c r="Z103" s="860">
        <v>4</v>
      </c>
      <c r="AA103" s="855">
        <v>416</v>
      </c>
      <c r="AB103" s="855">
        <v>832</v>
      </c>
      <c r="AC103" s="855">
        <v>83</v>
      </c>
      <c r="AD103" s="859">
        <v>166</v>
      </c>
      <c r="AE103" s="861">
        <v>6</v>
      </c>
      <c r="AF103" s="855">
        <v>0</v>
      </c>
      <c r="AG103" s="855">
        <v>0</v>
      </c>
      <c r="AH103" s="855">
        <v>0</v>
      </c>
      <c r="AI103" s="855">
        <v>0</v>
      </c>
      <c r="AJ103" s="855">
        <v>499</v>
      </c>
      <c r="AK103" s="862">
        <v>0</v>
      </c>
      <c r="AL103" s="863">
        <v>0</v>
      </c>
      <c r="AM103" s="854">
        <v>156</v>
      </c>
      <c r="AN103" s="855">
        <v>258</v>
      </c>
      <c r="AO103" s="855">
        <f t="shared" si="32"/>
        <v>446</v>
      </c>
      <c r="AP103" s="859">
        <f t="shared" si="33"/>
        <v>290</v>
      </c>
      <c r="AQ103" s="860">
        <v>4</v>
      </c>
      <c r="AR103" s="855">
        <v>624</v>
      </c>
      <c r="AS103" s="855">
        <v>1248</v>
      </c>
      <c r="AT103" s="855">
        <v>124</v>
      </c>
      <c r="AU103" s="859">
        <v>249</v>
      </c>
      <c r="AV103" s="861">
        <v>2</v>
      </c>
      <c r="AW103" s="855">
        <v>120000</v>
      </c>
      <c r="AX103" s="855">
        <v>0</v>
      </c>
      <c r="AY103" s="855">
        <v>0</v>
      </c>
      <c r="AZ103" s="855">
        <v>0</v>
      </c>
      <c r="BA103" s="855">
        <v>187</v>
      </c>
      <c r="BB103" s="862">
        <v>8.0683760683760681</v>
      </c>
      <c r="BC103" s="863">
        <v>60000</v>
      </c>
      <c r="BD103" s="854">
        <v>182</v>
      </c>
      <c r="BE103" s="855">
        <v>301</v>
      </c>
      <c r="BF103" s="855">
        <f t="shared" si="34"/>
        <v>521</v>
      </c>
      <c r="BG103" s="859">
        <f t="shared" si="35"/>
        <v>339</v>
      </c>
      <c r="BH103" s="860">
        <v>4</v>
      </c>
      <c r="BI103" s="855">
        <v>728</v>
      </c>
      <c r="BJ103" s="855">
        <v>1456</v>
      </c>
      <c r="BK103" s="855">
        <v>145</v>
      </c>
      <c r="BL103" s="859">
        <v>291</v>
      </c>
      <c r="BM103" s="861">
        <v>3</v>
      </c>
      <c r="BN103" s="855">
        <v>180000</v>
      </c>
      <c r="BO103" s="855">
        <v>0</v>
      </c>
      <c r="BP103" s="855">
        <v>1</v>
      </c>
      <c r="BQ103" s="855">
        <v>0</v>
      </c>
      <c r="BR103" s="855">
        <v>436</v>
      </c>
      <c r="BS103" s="862">
        <v>10.409340659340659</v>
      </c>
      <c r="BT103" s="863">
        <v>60000</v>
      </c>
      <c r="BU103" s="854">
        <v>197</v>
      </c>
      <c r="BV103" s="855">
        <v>326</v>
      </c>
      <c r="BW103" s="855">
        <f t="shared" si="36"/>
        <v>564</v>
      </c>
      <c r="BX103" s="859">
        <f t="shared" si="37"/>
        <v>367</v>
      </c>
      <c r="BY103" s="860">
        <v>4</v>
      </c>
      <c r="BZ103" s="855">
        <v>788</v>
      </c>
      <c r="CA103" s="855">
        <v>1576</v>
      </c>
      <c r="CB103" s="855">
        <v>157</v>
      </c>
      <c r="CC103" s="859">
        <v>315</v>
      </c>
      <c r="CD103" s="861">
        <v>5</v>
      </c>
      <c r="CE103" s="855">
        <v>240000</v>
      </c>
      <c r="CF103" s="855">
        <v>0</v>
      </c>
      <c r="CG103" s="855">
        <v>0</v>
      </c>
      <c r="CH103" s="855">
        <v>0</v>
      </c>
      <c r="CI103" s="855">
        <v>709</v>
      </c>
      <c r="CJ103" s="862">
        <v>12.882825719120135</v>
      </c>
      <c r="CK103" s="863">
        <v>48000</v>
      </c>
      <c r="CL103" s="854">
        <v>208</v>
      </c>
      <c r="CM103" s="855">
        <v>344</v>
      </c>
      <c r="CN103" s="855">
        <f t="shared" si="38"/>
        <v>595</v>
      </c>
      <c r="CO103" s="859">
        <f t="shared" si="39"/>
        <v>387</v>
      </c>
      <c r="CP103" s="860">
        <v>4</v>
      </c>
      <c r="CQ103" s="855">
        <v>832</v>
      </c>
      <c r="CR103" s="855">
        <v>1664</v>
      </c>
      <c r="CS103" s="855">
        <v>166</v>
      </c>
      <c r="CT103" s="859">
        <v>332</v>
      </c>
      <c r="CU103" s="861">
        <v>6</v>
      </c>
      <c r="CV103" s="855">
        <v>300000</v>
      </c>
      <c r="CW103" s="855">
        <v>0</v>
      </c>
      <c r="CX103" s="855">
        <v>0</v>
      </c>
      <c r="CY103" s="855">
        <v>1</v>
      </c>
      <c r="CZ103" s="855">
        <v>998</v>
      </c>
      <c r="DA103" s="862">
        <v>15.260817307692307</v>
      </c>
      <c r="DB103" s="863">
        <v>50000</v>
      </c>
      <c r="DC103" s="864">
        <v>22</v>
      </c>
      <c r="DD103" s="855">
        <v>840000</v>
      </c>
      <c r="DE103" s="865">
        <v>0</v>
      </c>
      <c r="DF103" s="865">
        <v>1</v>
      </c>
      <c r="DG103" s="865">
        <v>1</v>
      </c>
      <c r="DH103" s="855">
        <v>2829</v>
      </c>
      <c r="DI103" s="862">
        <v>42.067307692307693</v>
      </c>
      <c r="DJ103" s="863">
        <v>38181.818181818184</v>
      </c>
      <c r="DK103" s="866">
        <v>6</v>
      </c>
      <c r="DL103" s="867" t="s">
        <v>43</v>
      </c>
      <c r="DM103" s="868">
        <v>6666</v>
      </c>
      <c r="DN103" s="869">
        <v>20000</v>
      </c>
      <c r="DO103" s="870">
        <v>40000</v>
      </c>
      <c r="DP103" s="870">
        <v>80000</v>
      </c>
      <c r="DQ103" s="870">
        <v>160000</v>
      </c>
      <c r="DR103" s="870">
        <v>320000</v>
      </c>
      <c r="DS103" s="870">
        <v>640000</v>
      </c>
      <c r="DT103" s="870"/>
      <c r="DU103" s="870"/>
      <c r="DV103" s="870"/>
      <c r="DW103" s="870"/>
      <c r="DX103" s="871"/>
      <c r="DY103" s="872" t="s">
        <v>43</v>
      </c>
      <c r="DZ103" s="873"/>
      <c r="EA103" s="852"/>
      <c r="EB103" s="852"/>
      <c r="EC103" s="874"/>
      <c r="ED103" s="875"/>
      <c r="EE103" s="855"/>
      <c r="EF103" s="855"/>
      <c r="EG103" s="855"/>
      <c r="EH103" s="859"/>
      <c r="EI103" s="876"/>
      <c r="EJ103" s="877"/>
    </row>
    <row r="104" spans="2:140">
      <c r="B104" s="1124" t="s">
        <v>96</v>
      </c>
      <c r="C104" s="841" t="s">
        <v>77</v>
      </c>
      <c r="D104" s="842"/>
      <c r="E104" s="843" t="s">
        <v>43</v>
      </c>
      <c r="F104" s="844"/>
      <c r="G104" s="845"/>
      <c r="H104" s="846">
        <v>4</v>
      </c>
      <c r="I104" s="847" t="s">
        <v>283</v>
      </c>
      <c r="J104" s="848">
        <v>2.25</v>
      </c>
      <c r="K104" s="849">
        <v>0.2</v>
      </c>
      <c r="L104" s="850">
        <v>0.6875</v>
      </c>
      <c r="M104" s="851">
        <v>30</v>
      </c>
      <c r="N104" s="844">
        <v>44</v>
      </c>
      <c r="O104" s="852" t="s">
        <v>47</v>
      </c>
      <c r="P104" s="853" t="s">
        <v>98</v>
      </c>
      <c r="Q104" s="854">
        <v>121</v>
      </c>
      <c r="R104" s="855">
        <v>176</v>
      </c>
      <c r="S104" s="856">
        <v>1089</v>
      </c>
      <c r="T104" s="857" t="s">
        <v>447</v>
      </c>
      <c r="U104" s="858" t="s">
        <v>47</v>
      </c>
      <c r="V104" s="854">
        <v>121</v>
      </c>
      <c r="W104" s="855">
        <v>176</v>
      </c>
      <c r="X104" s="855">
        <f t="shared" si="30"/>
        <v>304</v>
      </c>
      <c r="Y104" s="859">
        <f t="shared" si="31"/>
        <v>183</v>
      </c>
      <c r="Z104" s="860">
        <v>4</v>
      </c>
      <c r="AA104" s="855">
        <v>484</v>
      </c>
      <c r="AB104" s="855">
        <v>1089</v>
      </c>
      <c r="AC104" s="855">
        <v>96</v>
      </c>
      <c r="AD104" s="859">
        <v>217</v>
      </c>
      <c r="AE104" s="861">
        <v>7</v>
      </c>
      <c r="AF104" s="855">
        <v>0</v>
      </c>
      <c r="AG104" s="855">
        <v>0</v>
      </c>
      <c r="AH104" s="855">
        <v>0</v>
      </c>
      <c r="AI104" s="855">
        <v>0</v>
      </c>
      <c r="AJ104" s="855">
        <v>677</v>
      </c>
      <c r="AK104" s="862">
        <v>0</v>
      </c>
      <c r="AL104" s="863">
        <v>0</v>
      </c>
      <c r="AM104" s="854">
        <v>181</v>
      </c>
      <c r="AN104" s="855">
        <v>264</v>
      </c>
      <c r="AO104" s="855">
        <f t="shared" si="32"/>
        <v>457</v>
      </c>
      <c r="AP104" s="859">
        <f t="shared" si="33"/>
        <v>276</v>
      </c>
      <c r="AQ104" s="860">
        <v>4</v>
      </c>
      <c r="AR104" s="855">
        <v>724</v>
      </c>
      <c r="AS104" s="855">
        <v>1629</v>
      </c>
      <c r="AT104" s="855">
        <v>144</v>
      </c>
      <c r="AU104" s="859">
        <v>325</v>
      </c>
      <c r="AV104" s="861">
        <v>2</v>
      </c>
      <c r="AW104" s="855">
        <v>500000</v>
      </c>
      <c r="AX104" s="855">
        <v>0</v>
      </c>
      <c r="AY104" s="855">
        <v>0</v>
      </c>
      <c r="AZ104" s="855">
        <v>0</v>
      </c>
      <c r="BA104" s="855">
        <v>253</v>
      </c>
      <c r="BB104" s="862">
        <v>28.831031307550646</v>
      </c>
      <c r="BC104" s="863">
        <v>250000</v>
      </c>
      <c r="BD104" s="854">
        <v>211</v>
      </c>
      <c r="BE104" s="855">
        <v>308</v>
      </c>
      <c r="BF104" s="855">
        <f t="shared" si="34"/>
        <v>533</v>
      </c>
      <c r="BG104" s="859">
        <f t="shared" si="35"/>
        <v>322</v>
      </c>
      <c r="BH104" s="860">
        <v>4</v>
      </c>
      <c r="BI104" s="855">
        <v>844</v>
      </c>
      <c r="BJ104" s="855">
        <v>1899</v>
      </c>
      <c r="BK104" s="855">
        <v>168</v>
      </c>
      <c r="BL104" s="859">
        <v>379</v>
      </c>
      <c r="BM104" s="861">
        <v>4</v>
      </c>
      <c r="BN104" s="855">
        <v>750000</v>
      </c>
      <c r="BO104" s="855">
        <v>0</v>
      </c>
      <c r="BP104" s="855">
        <v>1</v>
      </c>
      <c r="BQ104" s="855">
        <v>0</v>
      </c>
      <c r="BR104" s="855">
        <v>590</v>
      </c>
      <c r="BS104" s="862">
        <v>37.169036334913109</v>
      </c>
      <c r="BT104" s="863">
        <v>187500</v>
      </c>
      <c r="BU104" s="854">
        <v>229</v>
      </c>
      <c r="BV104" s="855">
        <v>334</v>
      </c>
      <c r="BW104" s="855">
        <f t="shared" si="36"/>
        <v>578</v>
      </c>
      <c r="BX104" s="859">
        <f t="shared" si="37"/>
        <v>349</v>
      </c>
      <c r="BY104" s="860">
        <v>4</v>
      </c>
      <c r="BZ104" s="855">
        <v>916</v>
      </c>
      <c r="CA104" s="855">
        <v>2061</v>
      </c>
      <c r="CB104" s="855">
        <v>183</v>
      </c>
      <c r="CC104" s="859">
        <v>412</v>
      </c>
      <c r="CD104" s="861">
        <v>6</v>
      </c>
      <c r="CE104" s="855">
        <v>1000000</v>
      </c>
      <c r="CF104" s="855">
        <v>0</v>
      </c>
      <c r="CG104" s="855">
        <v>0</v>
      </c>
      <c r="CH104" s="855">
        <v>0</v>
      </c>
      <c r="CI104" s="855">
        <v>961</v>
      </c>
      <c r="CJ104" s="862">
        <v>45.717976710334788</v>
      </c>
      <c r="CK104" s="863">
        <v>166666</v>
      </c>
      <c r="CL104" s="854">
        <v>242</v>
      </c>
      <c r="CM104" s="855">
        <v>352</v>
      </c>
      <c r="CN104" s="855">
        <f t="shared" si="38"/>
        <v>609</v>
      </c>
      <c r="CO104" s="859">
        <f t="shared" si="39"/>
        <v>367</v>
      </c>
      <c r="CP104" s="860">
        <v>4</v>
      </c>
      <c r="CQ104" s="855">
        <v>968</v>
      </c>
      <c r="CR104" s="855">
        <v>2178</v>
      </c>
      <c r="CS104" s="855">
        <v>193</v>
      </c>
      <c r="CT104" s="859">
        <v>435</v>
      </c>
      <c r="CU104" s="861">
        <v>7</v>
      </c>
      <c r="CV104" s="855">
        <v>1250000</v>
      </c>
      <c r="CW104" s="855">
        <v>0</v>
      </c>
      <c r="CX104" s="855">
        <v>0</v>
      </c>
      <c r="CY104" s="855">
        <v>1</v>
      </c>
      <c r="CZ104" s="855">
        <v>1355</v>
      </c>
      <c r="DA104" s="862">
        <v>54.081095041322321</v>
      </c>
      <c r="DB104" s="863">
        <v>178571</v>
      </c>
      <c r="DC104" s="864">
        <v>26</v>
      </c>
      <c r="DD104" s="855">
        <v>3500000</v>
      </c>
      <c r="DE104" s="865">
        <v>0</v>
      </c>
      <c r="DF104" s="865">
        <v>1</v>
      </c>
      <c r="DG104" s="865">
        <v>1</v>
      </c>
      <c r="DH104" s="855">
        <v>3836</v>
      </c>
      <c r="DI104" s="862">
        <v>150.65426997245177</v>
      </c>
      <c r="DJ104" s="863">
        <v>134615.38461538462</v>
      </c>
      <c r="DK104" s="866">
        <v>7</v>
      </c>
      <c r="DL104" s="867" t="s">
        <v>43</v>
      </c>
      <c r="DM104" s="868">
        <v>10000</v>
      </c>
      <c r="DN104" s="869">
        <v>50000</v>
      </c>
      <c r="DO104" s="870">
        <v>100000</v>
      </c>
      <c r="DP104" s="870">
        <v>200000</v>
      </c>
      <c r="DQ104" s="870">
        <v>400000</v>
      </c>
      <c r="DR104" s="870">
        <v>800000</v>
      </c>
      <c r="DS104" s="870"/>
      <c r="DT104" s="870"/>
      <c r="DU104" s="870"/>
      <c r="DV104" s="870"/>
      <c r="DW104" s="870"/>
      <c r="DX104" s="871"/>
      <c r="DY104" s="872" t="s">
        <v>43</v>
      </c>
      <c r="DZ104" s="873"/>
      <c r="EA104" s="852"/>
      <c r="EB104" s="852"/>
      <c r="EC104" s="874"/>
      <c r="ED104" s="875"/>
      <c r="EE104" s="855"/>
      <c r="EF104" s="855"/>
      <c r="EG104" s="855"/>
      <c r="EH104" s="859"/>
      <c r="EI104" s="876"/>
      <c r="EJ104" s="877"/>
    </row>
    <row r="105" spans="2:140">
      <c r="B105" s="1124" t="s">
        <v>119</v>
      </c>
      <c r="C105" s="841" t="s">
        <v>77</v>
      </c>
      <c r="D105" s="842"/>
      <c r="E105" s="843" t="s">
        <v>43</v>
      </c>
      <c r="F105" s="844"/>
      <c r="G105" s="845"/>
      <c r="H105" s="846">
        <v>7</v>
      </c>
      <c r="I105" s="847" t="s">
        <v>269</v>
      </c>
      <c r="J105" s="848">
        <v>0.75</v>
      </c>
      <c r="K105" s="849">
        <v>0.22500000000000001</v>
      </c>
      <c r="L105" s="850">
        <v>0.72222222222222221</v>
      </c>
      <c r="M105" s="851">
        <v>30</v>
      </c>
      <c r="N105" s="844">
        <v>7002</v>
      </c>
      <c r="O105" s="878">
        <v>42184</v>
      </c>
      <c r="P105" s="853" t="s">
        <v>98</v>
      </c>
      <c r="Q105" s="854">
        <v>130</v>
      </c>
      <c r="R105" s="855">
        <v>180</v>
      </c>
      <c r="S105" s="856">
        <v>390</v>
      </c>
      <c r="T105" s="857" t="s">
        <v>448</v>
      </c>
      <c r="U105" s="858" t="s">
        <v>47</v>
      </c>
      <c r="V105" s="854">
        <v>130</v>
      </c>
      <c r="W105" s="855">
        <v>180</v>
      </c>
      <c r="X105" s="855">
        <f t="shared" si="30"/>
        <v>311</v>
      </c>
      <c r="Y105" s="859">
        <f t="shared" si="31"/>
        <v>181</v>
      </c>
      <c r="Z105" s="860">
        <v>4</v>
      </c>
      <c r="AA105" s="855">
        <v>520</v>
      </c>
      <c r="AB105" s="855">
        <v>390</v>
      </c>
      <c r="AC105" s="855">
        <v>117</v>
      </c>
      <c r="AD105" s="859">
        <v>87</v>
      </c>
      <c r="AE105" s="861">
        <v>192</v>
      </c>
      <c r="AF105" s="855">
        <v>0</v>
      </c>
      <c r="AG105" s="855">
        <v>0</v>
      </c>
      <c r="AH105" s="855">
        <v>0</v>
      </c>
      <c r="AI105" s="855">
        <v>0</v>
      </c>
      <c r="AJ105" s="855">
        <v>10000</v>
      </c>
      <c r="AK105" s="862">
        <v>0</v>
      </c>
      <c r="AL105" s="863">
        <v>0</v>
      </c>
      <c r="AM105" s="854">
        <v>195</v>
      </c>
      <c r="AN105" s="855">
        <v>270</v>
      </c>
      <c r="AO105" s="855">
        <f t="shared" si="32"/>
        <v>467</v>
      </c>
      <c r="AP105" s="859">
        <f t="shared" si="33"/>
        <v>272</v>
      </c>
      <c r="AQ105" s="860">
        <v>4</v>
      </c>
      <c r="AR105" s="855">
        <v>780</v>
      </c>
      <c r="AS105" s="855">
        <v>585</v>
      </c>
      <c r="AT105" s="855">
        <v>175</v>
      </c>
      <c r="AU105" s="859">
        <v>131</v>
      </c>
      <c r="AV105" s="861">
        <v>48</v>
      </c>
      <c r="AW105" s="855">
        <v>830000</v>
      </c>
      <c r="AX105" s="855">
        <v>0</v>
      </c>
      <c r="AY105" s="855">
        <v>0</v>
      </c>
      <c r="AZ105" s="855">
        <v>1</v>
      </c>
      <c r="BA105" s="855">
        <v>10000</v>
      </c>
      <c r="BB105" s="862">
        <v>45.670940170940177</v>
      </c>
      <c r="BC105" s="863">
        <v>17291</v>
      </c>
      <c r="BD105" s="854">
        <v>228</v>
      </c>
      <c r="BE105" s="855">
        <v>315</v>
      </c>
      <c r="BF105" s="855">
        <f t="shared" si="34"/>
        <v>545</v>
      </c>
      <c r="BG105" s="859">
        <f t="shared" si="35"/>
        <v>317</v>
      </c>
      <c r="BH105" s="860">
        <v>4</v>
      </c>
      <c r="BI105" s="855">
        <v>912</v>
      </c>
      <c r="BJ105" s="855">
        <v>684</v>
      </c>
      <c r="BK105" s="855">
        <v>205</v>
      </c>
      <c r="BL105" s="859">
        <v>153</v>
      </c>
      <c r="BM105" s="861">
        <v>96</v>
      </c>
      <c r="BN105" s="855">
        <v>1300000</v>
      </c>
      <c r="BO105" s="855">
        <v>0</v>
      </c>
      <c r="BP105" s="855">
        <v>2</v>
      </c>
      <c r="BQ105" s="855">
        <v>0</v>
      </c>
      <c r="BR105" s="855">
        <v>10000</v>
      </c>
      <c r="BS105" s="862">
        <v>62.814327485380119</v>
      </c>
      <c r="BT105" s="863">
        <v>13541</v>
      </c>
      <c r="BU105" s="854">
        <v>247</v>
      </c>
      <c r="BV105" s="855">
        <v>342</v>
      </c>
      <c r="BW105" s="855">
        <f t="shared" si="36"/>
        <v>592</v>
      </c>
      <c r="BX105" s="859">
        <f t="shared" si="37"/>
        <v>345</v>
      </c>
      <c r="BY105" s="860">
        <v>4</v>
      </c>
      <c r="BZ105" s="855">
        <v>988</v>
      </c>
      <c r="CA105" s="855">
        <v>741</v>
      </c>
      <c r="CB105" s="855">
        <v>222</v>
      </c>
      <c r="CC105" s="859">
        <v>166</v>
      </c>
      <c r="CD105" s="861">
        <v>144</v>
      </c>
      <c r="CE105" s="855">
        <v>1700000</v>
      </c>
      <c r="CF105" s="855">
        <v>0</v>
      </c>
      <c r="CG105" s="855">
        <v>0</v>
      </c>
      <c r="CH105" s="855">
        <v>3</v>
      </c>
      <c r="CI105" s="855">
        <v>10000</v>
      </c>
      <c r="CJ105" s="862">
        <v>77.232118758434552</v>
      </c>
      <c r="CK105" s="863">
        <v>11805</v>
      </c>
      <c r="CL105" s="854">
        <v>260</v>
      </c>
      <c r="CM105" s="855">
        <v>360</v>
      </c>
      <c r="CN105" s="855">
        <f t="shared" si="38"/>
        <v>623</v>
      </c>
      <c r="CO105" s="859">
        <f t="shared" si="39"/>
        <v>363</v>
      </c>
      <c r="CP105" s="860">
        <v>4</v>
      </c>
      <c r="CQ105" s="855">
        <v>1040</v>
      </c>
      <c r="CR105" s="855">
        <v>780</v>
      </c>
      <c r="CS105" s="855">
        <v>234</v>
      </c>
      <c r="CT105" s="859">
        <v>175</v>
      </c>
      <c r="CU105" s="861">
        <v>192</v>
      </c>
      <c r="CV105" s="855">
        <v>2100000</v>
      </c>
      <c r="CW105" s="855">
        <v>0</v>
      </c>
      <c r="CX105" s="855">
        <v>0</v>
      </c>
      <c r="CY105" s="855">
        <v>5</v>
      </c>
      <c r="CZ105" s="855">
        <v>10000</v>
      </c>
      <c r="DA105" s="862">
        <v>91.734615384615381</v>
      </c>
      <c r="DB105" s="863">
        <v>10937</v>
      </c>
      <c r="DC105" s="864">
        <v>672</v>
      </c>
      <c r="DD105" s="855">
        <v>5930000</v>
      </c>
      <c r="DE105" s="865">
        <v>0</v>
      </c>
      <c r="DF105" s="865">
        <v>2</v>
      </c>
      <c r="DG105" s="865">
        <v>9</v>
      </c>
      <c r="DH105" s="855">
        <v>50000</v>
      </c>
      <c r="DI105" s="862">
        <v>237.5801282051282</v>
      </c>
      <c r="DJ105" s="863">
        <v>8824.4047619047615</v>
      </c>
      <c r="DK105" s="866">
        <v>183</v>
      </c>
      <c r="DL105" s="867" t="s">
        <v>43</v>
      </c>
      <c r="DM105" s="868">
        <v>10000</v>
      </c>
      <c r="DN105" s="869">
        <v>125000</v>
      </c>
      <c r="DO105" s="870">
        <v>250000</v>
      </c>
      <c r="DP105" s="870">
        <v>500000</v>
      </c>
      <c r="DQ105" s="870">
        <v>1000000</v>
      </c>
      <c r="DR105" s="870"/>
      <c r="DS105" s="870"/>
      <c r="DT105" s="870"/>
      <c r="DU105" s="870"/>
      <c r="DV105" s="870"/>
      <c r="DW105" s="870"/>
      <c r="DX105" s="871"/>
      <c r="DY105" s="872" t="s">
        <v>43</v>
      </c>
      <c r="DZ105" s="873"/>
      <c r="EA105" s="852"/>
      <c r="EB105" s="852"/>
      <c r="EC105" s="874"/>
      <c r="ED105" s="875"/>
      <c r="EE105" s="855"/>
      <c r="EF105" s="855"/>
      <c r="EG105" s="855"/>
      <c r="EH105" s="859"/>
      <c r="EI105" s="876"/>
      <c r="EJ105" s="877"/>
    </row>
    <row r="106" spans="2:140">
      <c r="B106" s="1124" t="s">
        <v>161</v>
      </c>
      <c r="C106" s="841" t="s">
        <v>77</v>
      </c>
      <c r="D106" s="842"/>
      <c r="E106" s="843" t="s">
        <v>43</v>
      </c>
      <c r="F106" s="844"/>
      <c r="G106" s="845"/>
      <c r="H106" s="846">
        <v>7</v>
      </c>
      <c r="I106" s="847" t="s">
        <v>269</v>
      </c>
      <c r="J106" s="848">
        <v>0.75</v>
      </c>
      <c r="K106" s="849">
        <v>0.22500000000000001</v>
      </c>
      <c r="L106" s="850">
        <v>0.72222222222222221</v>
      </c>
      <c r="M106" s="851">
        <v>30</v>
      </c>
      <c r="N106" s="844">
        <v>7007</v>
      </c>
      <c r="O106" s="878">
        <v>42184</v>
      </c>
      <c r="P106" s="853" t="s">
        <v>98</v>
      </c>
      <c r="Q106" s="854">
        <v>143</v>
      </c>
      <c r="R106" s="855">
        <v>198</v>
      </c>
      <c r="S106" s="856">
        <v>429</v>
      </c>
      <c r="T106" s="857" t="s">
        <v>449</v>
      </c>
      <c r="U106" s="858" t="s">
        <v>47</v>
      </c>
      <c r="V106" s="854">
        <v>143</v>
      </c>
      <c r="W106" s="855">
        <v>198</v>
      </c>
      <c r="X106" s="855">
        <f t="shared" si="30"/>
        <v>343</v>
      </c>
      <c r="Y106" s="859">
        <f t="shared" si="31"/>
        <v>200</v>
      </c>
      <c r="Z106" s="860">
        <v>4</v>
      </c>
      <c r="AA106" s="855">
        <v>572</v>
      </c>
      <c r="AB106" s="855">
        <v>429</v>
      </c>
      <c r="AC106" s="855">
        <v>128</v>
      </c>
      <c r="AD106" s="859">
        <v>96</v>
      </c>
      <c r="AE106" s="861">
        <v>216</v>
      </c>
      <c r="AF106" s="855">
        <v>0</v>
      </c>
      <c r="AG106" s="855">
        <v>0</v>
      </c>
      <c r="AH106" s="855">
        <v>0</v>
      </c>
      <c r="AI106" s="855">
        <v>0</v>
      </c>
      <c r="AJ106" s="855">
        <v>10000</v>
      </c>
      <c r="AK106" s="862">
        <v>0</v>
      </c>
      <c r="AL106" s="863">
        <v>0</v>
      </c>
      <c r="AM106" s="854">
        <v>215</v>
      </c>
      <c r="AN106" s="855">
        <v>297</v>
      </c>
      <c r="AO106" s="855">
        <f t="shared" si="32"/>
        <v>514</v>
      </c>
      <c r="AP106" s="859">
        <f t="shared" si="33"/>
        <v>299</v>
      </c>
      <c r="AQ106" s="860">
        <v>4</v>
      </c>
      <c r="AR106" s="855">
        <v>860</v>
      </c>
      <c r="AS106" s="855">
        <v>645</v>
      </c>
      <c r="AT106" s="855">
        <v>193</v>
      </c>
      <c r="AU106" s="859">
        <v>145</v>
      </c>
      <c r="AV106" s="861">
        <v>54</v>
      </c>
      <c r="AW106" s="855">
        <v>2000000</v>
      </c>
      <c r="AX106" s="855">
        <v>0</v>
      </c>
      <c r="AY106" s="855">
        <v>0</v>
      </c>
      <c r="AZ106" s="855">
        <v>1</v>
      </c>
      <c r="BA106" s="855">
        <v>10000</v>
      </c>
      <c r="BB106" s="862">
        <v>98.395736434108528</v>
      </c>
      <c r="BC106" s="863">
        <v>37037</v>
      </c>
      <c r="BD106" s="854">
        <v>251</v>
      </c>
      <c r="BE106" s="855">
        <v>347</v>
      </c>
      <c r="BF106" s="855">
        <f t="shared" si="34"/>
        <v>601</v>
      </c>
      <c r="BG106" s="859">
        <f t="shared" si="35"/>
        <v>350</v>
      </c>
      <c r="BH106" s="860">
        <v>4</v>
      </c>
      <c r="BI106" s="855">
        <v>1004</v>
      </c>
      <c r="BJ106" s="855">
        <v>753</v>
      </c>
      <c r="BK106" s="855">
        <v>225</v>
      </c>
      <c r="BL106" s="859">
        <v>169</v>
      </c>
      <c r="BM106" s="861">
        <v>108</v>
      </c>
      <c r="BN106" s="855">
        <v>3000000</v>
      </c>
      <c r="BO106" s="855">
        <v>0</v>
      </c>
      <c r="BP106" s="855">
        <v>0</v>
      </c>
      <c r="BQ106" s="855">
        <v>2</v>
      </c>
      <c r="BR106" s="855">
        <v>10000</v>
      </c>
      <c r="BS106" s="862">
        <v>128.35657370517927</v>
      </c>
      <c r="BT106" s="863">
        <v>27777</v>
      </c>
      <c r="BU106" s="854">
        <v>272</v>
      </c>
      <c r="BV106" s="855">
        <v>376</v>
      </c>
      <c r="BW106" s="855">
        <f t="shared" si="36"/>
        <v>651</v>
      </c>
      <c r="BX106" s="859">
        <f t="shared" si="37"/>
        <v>379</v>
      </c>
      <c r="BY106" s="860">
        <v>4</v>
      </c>
      <c r="BZ106" s="855">
        <v>1088</v>
      </c>
      <c r="CA106" s="855">
        <v>816</v>
      </c>
      <c r="CB106" s="855">
        <v>244</v>
      </c>
      <c r="CC106" s="859">
        <v>183</v>
      </c>
      <c r="CD106" s="861">
        <v>162</v>
      </c>
      <c r="CE106" s="855">
        <v>4000000</v>
      </c>
      <c r="CF106" s="855">
        <v>0</v>
      </c>
      <c r="CG106" s="855">
        <v>0</v>
      </c>
      <c r="CH106" s="855">
        <v>3</v>
      </c>
      <c r="CI106" s="855">
        <v>10000</v>
      </c>
      <c r="CJ106" s="862">
        <v>159.41513480392157</v>
      </c>
      <c r="CK106" s="863">
        <v>24691</v>
      </c>
      <c r="CL106" s="854">
        <v>286</v>
      </c>
      <c r="CM106" s="855">
        <v>396</v>
      </c>
      <c r="CN106" s="855">
        <f t="shared" si="38"/>
        <v>686</v>
      </c>
      <c r="CO106" s="859">
        <f t="shared" si="39"/>
        <v>400</v>
      </c>
      <c r="CP106" s="860">
        <v>4</v>
      </c>
      <c r="CQ106" s="855">
        <v>1144</v>
      </c>
      <c r="CR106" s="855">
        <v>858</v>
      </c>
      <c r="CS106" s="855">
        <v>257</v>
      </c>
      <c r="CT106" s="859">
        <v>193</v>
      </c>
      <c r="CU106" s="861">
        <v>216</v>
      </c>
      <c r="CV106" s="855">
        <v>5000000</v>
      </c>
      <c r="CW106" s="855">
        <v>0</v>
      </c>
      <c r="CX106" s="855">
        <v>0</v>
      </c>
      <c r="CY106" s="855">
        <v>5</v>
      </c>
      <c r="CZ106" s="855">
        <v>10000</v>
      </c>
      <c r="DA106" s="862">
        <v>190.66899766899766</v>
      </c>
      <c r="DB106" s="863">
        <v>23148</v>
      </c>
      <c r="DC106" s="864">
        <v>756</v>
      </c>
      <c r="DD106" s="855">
        <v>14000000</v>
      </c>
      <c r="DE106" s="865">
        <v>0</v>
      </c>
      <c r="DF106" s="865">
        <v>0</v>
      </c>
      <c r="DG106" s="865">
        <v>11</v>
      </c>
      <c r="DH106" s="855">
        <v>50000</v>
      </c>
      <c r="DI106" s="862">
        <v>509.90675990675987</v>
      </c>
      <c r="DJ106" s="863">
        <v>18518.518518518518</v>
      </c>
      <c r="DK106" s="866">
        <v>206</v>
      </c>
      <c r="DL106" s="867" t="s">
        <v>43</v>
      </c>
      <c r="DM106" s="868">
        <v>10000</v>
      </c>
      <c r="DN106" s="869">
        <v>300000</v>
      </c>
      <c r="DO106" s="870">
        <v>600000</v>
      </c>
      <c r="DP106" s="870"/>
      <c r="DQ106" s="870"/>
      <c r="DR106" s="870"/>
      <c r="DS106" s="870"/>
      <c r="DT106" s="870"/>
      <c r="DU106" s="870"/>
      <c r="DV106" s="870"/>
      <c r="DW106" s="870"/>
      <c r="DX106" s="871"/>
      <c r="DY106" s="872" t="s">
        <v>43</v>
      </c>
      <c r="DZ106" s="873"/>
      <c r="EA106" s="852"/>
      <c r="EB106" s="852"/>
      <c r="EC106" s="874"/>
      <c r="ED106" s="875"/>
      <c r="EE106" s="855"/>
      <c r="EF106" s="855"/>
      <c r="EG106" s="855"/>
      <c r="EH106" s="859"/>
      <c r="EI106" s="876"/>
      <c r="EJ106" s="877"/>
    </row>
    <row r="107" spans="2:140">
      <c r="B107" s="1124" t="s">
        <v>214</v>
      </c>
      <c r="C107" s="841" t="s">
        <v>77</v>
      </c>
      <c r="D107" s="842"/>
      <c r="E107" s="843" t="s">
        <v>43</v>
      </c>
      <c r="F107" s="844" t="s">
        <v>43</v>
      </c>
      <c r="G107" s="845"/>
      <c r="H107" s="846">
        <v>7</v>
      </c>
      <c r="I107" s="847" t="s">
        <v>269</v>
      </c>
      <c r="J107" s="848">
        <v>3</v>
      </c>
      <c r="K107" s="849">
        <v>0.2</v>
      </c>
      <c r="L107" s="850">
        <v>3.0750000000000002</v>
      </c>
      <c r="M107" s="851">
        <v>30</v>
      </c>
      <c r="N107" s="844">
        <v>7011</v>
      </c>
      <c r="O107" s="878">
        <v>42348</v>
      </c>
      <c r="P107" s="853" t="s">
        <v>206</v>
      </c>
      <c r="Q107" s="854">
        <v>1230</v>
      </c>
      <c r="R107" s="855">
        <v>400</v>
      </c>
      <c r="S107" s="856">
        <v>7380</v>
      </c>
      <c r="T107" s="857" t="s">
        <v>450</v>
      </c>
      <c r="U107" s="858" t="s">
        <v>47</v>
      </c>
      <c r="V107" s="854">
        <v>410</v>
      </c>
      <c r="W107" s="855">
        <v>134</v>
      </c>
      <c r="X107" s="855">
        <f t="shared" si="30"/>
        <v>232</v>
      </c>
      <c r="Y107" s="859">
        <f t="shared" si="31"/>
        <v>-178</v>
      </c>
      <c r="Z107" s="860">
        <v>6</v>
      </c>
      <c r="AA107" s="855">
        <v>2460</v>
      </c>
      <c r="AB107" s="855">
        <v>7380</v>
      </c>
      <c r="AC107" s="855">
        <v>492</v>
      </c>
      <c r="AD107" s="859">
        <v>1476</v>
      </c>
      <c r="AE107" s="861">
        <v>6</v>
      </c>
      <c r="AF107" s="855">
        <v>0</v>
      </c>
      <c r="AG107" s="855">
        <v>0</v>
      </c>
      <c r="AH107" s="855">
        <v>0</v>
      </c>
      <c r="AI107" s="855">
        <v>0</v>
      </c>
      <c r="AJ107" s="855">
        <v>10000</v>
      </c>
      <c r="AK107" s="862">
        <v>0</v>
      </c>
      <c r="AL107" s="863">
        <v>0</v>
      </c>
      <c r="AM107" s="854">
        <v>513</v>
      </c>
      <c r="AN107" s="855">
        <v>167</v>
      </c>
      <c r="AO107" s="855">
        <f t="shared" si="32"/>
        <v>289</v>
      </c>
      <c r="AP107" s="859">
        <f t="shared" si="33"/>
        <v>-224</v>
      </c>
      <c r="AQ107" s="860">
        <v>6</v>
      </c>
      <c r="AR107" s="855">
        <v>3078</v>
      </c>
      <c r="AS107" s="855">
        <v>9234</v>
      </c>
      <c r="AT107" s="855">
        <v>615</v>
      </c>
      <c r="AU107" s="859">
        <v>1846</v>
      </c>
      <c r="AV107" s="861">
        <v>48</v>
      </c>
      <c r="AW107" s="855">
        <v>2720000</v>
      </c>
      <c r="AX107" s="855">
        <v>0</v>
      </c>
      <c r="AY107" s="855">
        <v>0</v>
      </c>
      <c r="AZ107" s="855">
        <v>3</v>
      </c>
      <c r="BA107" s="855">
        <v>10000</v>
      </c>
      <c r="BB107" s="862">
        <v>38.41888672298029</v>
      </c>
      <c r="BC107" s="863">
        <v>56666</v>
      </c>
      <c r="BD107" s="854">
        <v>615</v>
      </c>
      <c r="BE107" s="855">
        <v>200</v>
      </c>
      <c r="BF107" s="855">
        <f t="shared" si="34"/>
        <v>346</v>
      </c>
      <c r="BG107" s="859">
        <f t="shared" si="35"/>
        <v>-269</v>
      </c>
      <c r="BH107" s="860">
        <v>6</v>
      </c>
      <c r="BI107" s="855">
        <v>3690</v>
      </c>
      <c r="BJ107" s="855">
        <v>11070</v>
      </c>
      <c r="BK107" s="855">
        <v>738</v>
      </c>
      <c r="BL107" s="859">
        <v>2214</v>
      </c>
      <c r="BM107" s="861">
        <v>96</v>
      </c>
      <c r="BN107" s="855">
        <v>4080000</v>
      </c>
      <c r="BO107" s="855">
        <v>0</v>
      </c>
      <c r="BP107" s="855">
        <v>0</v>
      </c>
      <c r="BQ107" s="855">
        <v>5</v>
      </c>
      <c r="BR107" s="987">
        <v>10000</v>
      </c>
      <c r="BS107" s="862">
        <v>49.407046070460702</v>
      </c>
      <c r="BT107" s="863">
        <v>42500</v>
      </c>
      <c r="BU107" s="988">
        <v>820</v>
      </c>
      <c r="BV107" s="987">
        <v>267</v>
      </c>
      <c r="BW107" s="987">
        <f t="shared" si="36"/>
        <v>462</v>
      </c>
      <c r="BX107" s="989">
        <f t="shared" si="37"/>
        <v>-358</v>
      </c>
      <c r="BY107" s="990">
        <v>6</v>
      </c>
      <c r="BZ107" s="987">
        <v>4920</v>
      </c>
      <c r="CA107" s="987">
        <v>14760</v>
      </c>
      <c r="CB107" s="987">
        <v>984</v>
      </c>
      <c r="CC107" s="989">
        <v>2952</v>
      </c>
      <c r="CD107" s="861"/>
      <c r="CE107" s="855"/>
      <c r="CF107" s="855"/>
      <c r="CG107" s="855"/>
      <c r="CH107" s="855"/>
      <c r="CI107" s="987">
        <v>10000</v>
      </c>
      <c r="CJ107" s="991">
        <v>0</v>
      </c>
      <c r="CK107" s="863">
        <v>0</v>
      </c>
      <c r="CL107" s="988">
        <v>1230</v>
      </c>
      <c r="CM107" s="987">
        <v>400</v>
      </c>
      <c r="CN107" s="987">
        <f t="shared" si="38"/>
        <v>693</v>
      </c>
      <c r="CO107" s="989">
        <f t="shared" si="39"/>
        <v>-537</v>
      </c>
      <c r="CP107" s="990">
        <v>6</v>
      </c>
      <c r="CQ107" s="987">
        <v>7380</v>
      </c>
      <c r="CR107" s="987">
        <v>22140</v>
      </c>
      <c r="CS107" s="987">
        <v>1476</v>
      </c>
      <c r="CT107" s="989">
        <v>4428</v>
      </c>
      <c r="CU107" s="861"/>
      <c r="CV107" s="855"/>
      <c r="CW107" s="855"/>
      <c r="CX107" s="855"/>
      <c r="CY107" s="855"/>
      <c r="CZ107" s="987">
        <v>10000</v>
      </c>
      <c r="DA107" s="991">
        <v>0</v>
      </c>
      <c r="DB107" s="863">
        <v>0</v>
      </c>
      <c r="DC107" s="864"/>
      <c r="DD107" s="855"/>
      <c r="DE107" s="865"/>
      <c r="DF107" s="865"/>
      <c r="DG107" s="865"/>
      <c r="DH107" s="987">
        <v>50000</v>
      </c>
      <c r="DI107" s="991"/>
      <c r="DJ107" s="863"/>
      <c r="DK107" s="866"/>
      <c r="DL107" s="867"/>
      <c r="DM107" s="868">
        <v>10000</v>
      </c>
      <c r="DN107" s="869">
        <v>1000000</v>
      </c>
      <c r="DO107" s="870"/>
      <c r="DP107" s="870"/>
      <c r="DQ107" s="870"/>
      <c r="DR107" s="870"/>
      <c r="DS107" s="870"/>
      <c r="DT107" s="870"/>
      <c r="DU107" s="870"/>
      <c r="DV107" s="870"/>
      <c r="DW107" s="870"/>
      <c r="DX107" s="871"/>
      <c r="DY107" s="872" t="s">
        <v>43</v>
      </c>
      <c r="DZ107" s="873"/>
      <c r="EA107" s="852"/>
      <c r="EB107" s="852"/>
      <c r="EC107" s="874"/>
      <c r="ED107" s="875"/>
      <c r="EE107" s="855"/>
      <c r="EF107" s="855"/>
      <c r="EG107" s="855"/>
      <c r="EH107" s="859"/>
      <c r="EI107" s="876"/>
      <c r="EJ107" s="877"/>
    </row>
    <row r="108" spans="2:140">
      <c r="B108" s="1124" t="s">
        <v>258</v>
      </c>
      <c r="C108" s="841" t="s">
        <v>77</v>
      </c>
      <c r="D108" s="842"/>
      <c r="E108" s="843" t="s">
        <v>43</v>
      </c>
      <c r="F108" s="844"/>
      <c r="G108" s="845"/>
      <c r="H108" s="846">
        <v>7</v>
      </c>
      <c r="I108" s="847" t="s">
        <v>269</v>
      </c>
      <c r="J108" s="848">
        <v>3</v>
      </c>
      <c r="K108" s="996">
        <v>0.2</v>
      </c>
      <c r="L108" s="850">
        <v>3.1004901960784315</v>
      </c>
      <c r="M108" s="851">
        <v>30</v>
      </c>
      <c r="N108" s="844">
        <v>7016</v>
      </c>
      <c r="O108" s="878">
        <v>42384</v>
      </c>
      <c r="P108" s="853" t="s">
        <v>206</v>
      </c>
      <c r="Q108" s="854">
        <v>1265</v>
      </c>
      <c r="R108" s="855">
        <v>408</v>
      </c>
      <c r="S108" s="856">
        <v>22770</v>
      </c>
      <c r="T108" s="857" t="s">
        <v>451</v>
      </c>
      <c r="U108" s="858" t="s">
        <v>47</v>
      </c>
      <c r="V108" s="854">
        <v>422</v>
      </c>
      <c r="W108" s="855">
        <v>136</v>
      </c>
      <c r="X108" s="855">
        <f t="shared" si="30"/>
        <v>235</v>
      </c>
      <c r="Y108" s="859">
        <f t="shared" si="31"/>
        <v>-187</v>
      </c>
      <c r="Z108" s="860">
        <v>6</v>
      </c>
      <c r="AA108" s="855">
        <v>2532</v>
      </c>
      <c r="AB108" s="855">
        <v>7596</v>
      </c>
      <c r="AC108" s="987">
        <v>506</v>
      </c>
      <c r="AD108" s="989">
        <v>1519</v>
      </c>
      <c r="AE108" s="861">
        <v>6</v>
      </c>
      <c r="AF108" s="855">
        <v>0</v>
      </c>
      <c r="AG108" s="855">
        <v>0</v>
      </c>
      <c r="AH108" s="855">
        <v>0</v>
      </c>
      <c r="AI108" s="855">
        <v>0</v>
      </c>
      <c r="AJ108" s="987">
        <v>10000</v>
      </c>
      <c r="AK108" s="862">
        <v>0</v>
      </c>
      <c r="AL108" s="863">
        <v>0</v>
      </c>
      <c r="AM108" s="988">
        <v>528</v>
      </c>
      <c r="AN108" s="987">
        <v>170</v>
      </c>
      <c r="AO108" s="987">
        <f t="shared" si="32"/>
        <v>294</v>
      </c>
      <c r="AP108" s="989">
        <f t="shared" si="33"/>
        <v>-234</v>
      </c>
      <c r="AQ108" s="860">
        <v>6</v>
      </c>
      <c r="AR108" s="987">
        <v>3168</v>
      </c>
      <c r="AS108" s="987">
        <v>9504</v>
      </c>
      <c r="AT108" s="987">
        <v>633</v>
      </c>
      <c r="AU108" s="989">
        <v>1900</v>
      </c>
      <c r="AV108" s="861"/>
      <c r="AW108" s="855"/>
      <c r="AX108" s="855"/>
      <c r="AY108" s="855"/>
      <c r="AZ108" s="855"/>
      <c r="BA108" s="987">
        <v>10000</v>
      </c>
      <c r="BB108" s="991">
        <v>0</v>
      </c>
      <c r="BC108" s="863">
        <v>0</v>
      </c>
      <c r="BD108" s="988">
        <v>633</v>
      </c>
      <c r="BE108" s="987">
        <v>204</v>
      </c>
      <c r="BF108" s="987">
        <f t="shared" si="34"/>
        <v>353</v>
      </c>
      <c r="BG108" s="989">
        <f t="shared" si="35"/>
        <v>-280</v>
      </c>
      <c r="BH108" s="860">
        <v>6</v>
      </c>
      <c r="BI108" s="987">
        <v>3798</v>
      </c>
      <c r="BJ108" s="987">
        <v>11394</v>
      </c>
      <c r="BK108" s="987">
        <v>759</v>
      </c>
      <c r="BL108" s="989">
        <v>2278</v>
      </c>
      <c r="BM108" s="861"/>
      <c r="BN108" s="855"/>
      <c r="BO108" s="855"/>
      <c r="BP108" s="855"/>
      <c r="BQ108" s="855"/>
      <c r="BR108" s="987">
        <v>10000</v>
      </c>
      <c r="BS108" s="991">
        <v>0</v>
      </c>
      <c r="BT108" s="863">
        <v>0</v>
      </c>
      <c r="BU108" s="988">
        <v>844</v>
      </c>
      <c r="BV108" s="987">
        <v>272</v>
      </c>
      <c r="BW108" s="987">
        <f t="shared" si="36"/>
        <v>471</v>
      </c>
      <c r="BX108" s="989">
        <f t="shared" si="37"/>
        <v>-373</v>
      </c>
      <c r="BY108" s="860">
        <v>6</v>
      </c>
      <c r="BZ108" s="987">
        <v>5064</v>
      </c>
      <c r="CA108" s="987">
        <v>15192</v>
      </c>
      <c r="CB108" s="987">
        <v>1012</v>
      </c>
      <c r="CC108" s="989">
        <v>3038</v>
      </c>
      <c r="CD108" s="861"/>
      <c r="CE108" s="855"/>
      <c r="CF108" s="855"/>
      <c r="CG108" s="855"/>
      <c r="CH108" s="855"/>
      <c r="CI108" s="987">
        <v>10000</v>
      </c>
      <c r="CJ108" s="991">
        <v>0</v>
      </c>
      <c r="CK108" s="863">
        <v>0</v>
      </c>
      <c r="CL108" s="854">
        <v>1265</v>
      </c>
      <c r="CM108" s="855">
        <v>408</v>
      </c>
      <c r="CN108" s="855">
        <f t="shared" si="38"/>
        <v>706</v>
      </c>
      <c r="CO108" s="859">
        <f t="shared" si="39"/>
        <v>-559</v>
      </c>
      <c r="CP108" s="860">
        <v>6</v>
      </c>
      <c r="CQ108" s="855">
        <v>7590</v>
      </c>
      <c r="CR108" s="855">
        <v>22770</v>
      </c>
      <c r="CS108" s="987">
        <v>1518</v>
      </c>
      <c r="CT108" s="989">
        <v>4554</v>
      </c>
      <c r="CU108" s="861"/>
      <c r="CV108" s="855"/>
      <c r="CW108" s="855"/>
      <c r="CX108" s="855"/>
      <c r="CY108" s="855"/>
      <c r="CZ108" s="987">
        <v>10000</v>
      </c>
      <c r="DA108" s="862">
        <v>0</v>
      </c>
      <c r="DB108" s="863">
        <v>0</v>
      </c>
      <c r="DC108" s="864"/>
      <c r="DD108" s="855"/>
      <c r="DE108" s="865"/>
      <c r="DF108" s="865"/>
      <c r="DG108" s="865"/>
      <c r="DH108" s="987">
        <v>50000</v>
      </c>
      <c r="DI108" s="991"/>
      <c r="DJ108" s="863"/>
      <c r="DK108" s="866"/>
      <c r="DL108" s="867"/>
      <c r="DM108" s="868">
        <v>10000</v>
      </c>
      <c r="DN108" s="869">
        <v>1500000</v>
      </c>
      <c r="DO108" s="870"/>
      <c r="DP108" s="870"/>
      <c r="DQ108" s="870"/>
      <c r="DR108" s="870"/>
      <c r="DS108" s="870"/>
      <c r="DT108" s="870"/>
      <c r="DU108" s="870"/>
      <c r="DV108" s="870"/>
      <c r="DW108" s="870"/>
      <c r="DX108" s="871"/>
      <c r="DY108" s="872" t="s">
        <v>43</v>
      </c>
      <c r="DZ108" s="873"/>
      <c r="EA108" s="852"/>
      <c r="EB108" s="852"/>
      <c r="EC108" s="874"/>
      <c r="ED108" s="875"/>
      <c r="EE108" s="855"/>
      <c r="EF108" s="855"/>
      <c r="EG108" s="855"/>
      <c r="EH108" s="859"/>
      <c r="EI108" s="876"/>
      <c r="EJ108" s="877"/>
    </row>
    <row r="109" spans="2:140">
      <c r="B109" s="1124" t="s">
        <v>953</v>
      </c>
      <c r="C109" s="841" t="s">
        <v>77</v>
      </c>
      <c r="D109" s="842"/>
      <c r="E109" s="843" t="s">
        <v>43</v>
      </c>
      <c r="F109" s="844"/>
      <c r="G109" s="845"/>
      <c r="H109" s="846">
        <v>7</v>
      </c>
      <c r="I109" s="847" t="s">
        <v>269</v>
      </c>
      <c r="J109" s="848">
        <v>3</v>
      </c>
      <c r="K109" s="996">
        <v>0.2</v>
      </c>
      <c r="L109" s="850">
        <v>3.125</v>
      </c>
      <c r="M109" s="851">
        <v>30</v>
      </c>
      <c r="N109" s="844">
        <v>7021</v>
      </c>
      <c r="O109" s="878">
        <v>42415</v>
      </c>
      <c r="P109" s="853" t="s">
        <v>206</v>
      </c>
      <c r="Q109" s="854">
        <v>1300</v>
      </c>
      <c r="R109" s="855">
        <v>416</v>
      </c>
      <c r="S109" s="856">
        <v>23400</v>
      </c>
      <c r="T109" s="857" t="s">
        <v>955</v>
      </c>
      <c r="U109" s="858" t="s">
        <v>47</v>
      </c>
      <c r="V109" s="988">
        <v>434</v>
      </c>
      <c r="W109" s="987">
        <v>139</v>
      </c>
      <c r="X109" s="987">
        <f t="shared" si="30"/>
        <v>240</v>
      </c>
      <c r="Y109" s="989">
        <f t="shared" si="31"/>
        <v>-194</v>
      </c>
      <c r="Z109" s="990">
        <v>6</v>
      </c>
      <c r="AA109" s="987">
        <v>2604</v>
      </c>
      <c r="AB109" s="987">
        <v>7812</v>
      </c>
      <c r="AC109" s="987">
        <v>520</v>
      </c>
      <c r="AD109" s="989">
        <v>1562</v>
      </c>
      <c r="AE109" s="861"/>
      <c r="AF109" s="855"/>
      <c r="AG109" s="855"/>
      <c r="AH109" s="855"/>
      <c r="AI109" s="855"/>
      <c r="AJ109" s="987">
        <v>10000</v>
      </c>
      <c r="AK109" s="991">
        <v>0</v>
      </c>
      <c r="AL109" s="863">
        <v>0</v>
      </c>
      <c r="AM109" s="988">
        <v>542</v>
      </c>
      <c r="AN109" s="987">
        <v>174</v>
      </c>
      <c r="AO109" s="987">
        <f t="shared" si="32"/>
        <v>301</v>
      </c>
      <c r="AP109" s="989">
        <f t="shared" si="33"/>
        <v>-241</v>
      </c>
      <c r="AQ109" s="990">
        <v>6</v>
      </c>
      <c r="AR109" s="987">
        <v>3252</v>
      </c>
      <c r="AS109" s="987">
        <v>9756</v>
      </c>
      <c r="AT109" s="987">
        <v>650</v>
      </c>
      <c r="AU109" s="989">
        <v>1951</v>
      </c>
      <c r="AV109" s="861"/>
      <c r="AW109" s="855"/>
      <c r="AX109" s="855"/>
      <c r="AY109" s="855"/>
      <c r="AZ109" s="855"/>
      <c r="BA109" s="987">
        <v>10000</v>
      </c>
      <c r="BB109" s="991">
        <v>0</v>
      </c>
      <c r="BC109" s="863">
        <v>0</v>
      </c>
      <c r="BD109" s="988">
        <v>650</v>
      </c>
      <c r="BE109" s="987">
        <v>208</v>
      </c>
      <c r="BF109" s="987">
        <f t="shared" si="34"/>
        <v>360</v>
      </c>
      <c r="BG109" s="989">
        <f t="shared" si="35"/>
        <v>-290</v>
      </c>
      <c r="BH109" s="990">
        <v>6</v>
      </c>
      <c r="BI109" s="987">
        <v>3900</v>
      </c>
      <c r="BJ109" s="987">
        <v>11700</v>
      </c>
      <c r="BK109" s="987">
        <v>780</v>
      </c>
      <c r="BL109" s="989">
        <v>2340</v>
      </c>
      <c r="BM109" s="861"/>
      <c r="BN109" s="855"/>
      <c r="BO109" s="855"/>
      <c r="BP109" s="855"/>
      <c r="BQ109" s="855"/>
      <c r="BR109" s="987">
        <v>10000</v>
      </c>
      <c r="BS109" s="991">
        <v>0</v>
      </c>
      <c r="BT109" s="863">
        <v>0</v>
      </c>
      <c r="BU109" s="988">
        <v>867</v>
      </c>
      <c r="BV109" s="987">
        <v>278</v>
      </c>
      <c r="BW109" s="987">
        <f t="shared" si="36"/>
        <v>481</v>
      </c>
      <c r="BX109" s="989">
        <f t="shared" si="37"/>
        <v>-386</v>
      </c>
      <c r="BY109" s="990">
        <v>6</v>
      </c>
      <c r="BZ109" s="987">
        <v>5202</v>
      </c>
      <c r="CA109" s="987">
        <v>15606</v>
      </c>
      <c r="CB109" s="987">
        <v>1040</v>
      </c>
      <c r="CC109" s="989">
        <v>3121</v>
      </c>
      <c r="CD109" s="861"/>
      <c r="CE109" s="855"/>
      <c r="CF109" s="855"/>
      <c r="CG109" s="855"/>
      <c r="CH109" s="855"/>
      <c r="CI109" s="987">
        <v>10000</v>
      </c>
      <c r="CJ109" s="991">
        <v>0</v>
      </c>
      <c r="CK109" s="863">
        <v>0</v>
      </c>
      <c r="CL109" s="854">
        <v>1300</v>
      </c>
      <c r="CM109" s="855">
        <v>416</v>
      </c>
      <c r="CN109" s="855">
        <f t="shared" si="38"/>
        <v>720</v>
      </c>
      <c r="CO109" s="859">
        <f t="shared" si="39"/>
        <v>-580</v>
      </c>
      <c r="CP109" s="860">
        <v>6</v>
      </c>
      <c r="CQ109" s="855">
        <v>7800</v>
      </c>
      <c r="CR109" s="855">
        <v>23400</v>
      </c>
      <c r="CS109" s="987">
        <v>1560</v>
      </c>
      <c r="CT109" s="989">
        <v>4680</v>
      </c>
      <c r="CU109" s="861"/>
      <c r="CV109" s="855"/>
      <c r="CW109" s="855"/>
      <c r="CX109" s="855"/>
      <c r="CY109" s="855"/>
      <c r="CZ109" s="987">
        <v>10000</v>
      </c>
      <c r="DA109" s="862">
        <v>0</v>
      </c>
      <c r="DB109" s="863">
        <v>0</v>
      </c>
      <c r="DC109" s="864"/>
      <c r="DD109" s="855"/>
      <c r="DE109" s="865"/>
      <c r="DF109" s="865"/>
      <c r="DG109" s="865"/>
      <c r="DH109" s="987">
        <v>50000</v>
      </c>
      <c r="DI109" s="991"/>
      <c r="DJ109" s="863"/>
      <c r="DK109" s="866"/>
      <c r="DL109" s="867"/>
      <c r="DM109" s="868">
        <v>10000</v>
      </c>
      <c r="DN109" s="869">
        <v>2000000</v>
      </c>
      <c r="DO109" s="870"/>
      <c r="DP109" s="870"/>
      <c r="DQ109" s="870"/>
      <c r="DR109" s="870"/>
      <c r="DS109" s="870"/>
      <c r="DT109" s="870"/>
      <c r="DU109" s="870"/>
      <c r="DV109" s="870"/>
      <c r="DW109" s="870"/>
      <c r="DX109" s="871"/>
      <c r="DY109" s="872" t="s">
        <v>43</v>
      </c>
      <c r="DZ109" s="873"/>
      <c r="EA109" s="852"/>
      <c r="EB109" s="852"/>
      <c r="EC109" s="874"/>
      <c r="ED109" s="875"/>
      <c r="EE109" s="855"/>
      <c r="EF109" s="855"/>
      <c r="EG109" s="855"/>
      <c r="EH109" s="859"/>
      <c r="EI109" s="876"/>
      <c r="EJ109" s="877"/>
    </row>
    <row r="110" spans="2:140">
      <c r="B110" s="1124" t="s">
        <v>111</v>
      </c>
      <c r="C110" s="841" t="s">
        <v>77</v>
      </c>
      <c r="D110" s="842"/>
      <c r="E110" s="843" t="s">
        <v>43</v>
      </c>
      <c r="F110" s="844"/>
      <c r="G110" s="845"/>
      <c r="H110" s="846">
        <v>5</v>
      </c>
      <c r="I110" s="847" t="s">
        <v>282</v>
      </c>
      <c r="J110" s="848">
        <v>3</v>
      </c>
      <c r="K110" s="849">
        <v>0.2</v>
      </c>
      <c r="L110" s="850">
        <v>0.74712643678160917</v>
      </c>
      <c r="M110" s="851">
        <v>100</v>
      </c>
      <c r="N110" s="844">
        <v>76</v>
      </c>
      <c r="O110" s="878">
        <v>42186</v>
      </c>
      <c r="P110" s="853" t="s">
        <v>98</v>
      </c>
      <c r="Q110" s="854">
        <v>130</v>
      </c>
      <c r="R110" s="855">
        <v>174</v>
      </c>
      <c r="S110" s="856">
        <v>1560</v>
      </c>
      <c r="T110" s="857" t="s">
        <v>452</v>
      </c>
      <c r="U110" s="858" t="s">
        <v>640</v>
      </c>
      <c r="V110" s="854">
        <v>130</v>
      </c>
      <c r="W110" s="855">
        <v>174</v>
      </c>
      <c r="X110" s="855">
        <f t="shared" si="30"/>
        <v>301</v>
      </c>
      <c r="Y110" s="859">
        <f t="shared" si="31"/>
        <v>171</v>
      </c>
      <c r="Z110" s="860">
        <v>4</v>
      </c>
      <c r="AA110" s="855">
        <v>520</v>
      </c>
      <c r="AB110" s="855">
        <v>1560</v>
      </c>
      <c r="AC110" s="855">
        <v>104</v>
      </c>
      <c r="AD110" s="859">
        <v>312</v>
      </c>
      <c r="AE110" s="861">
        <v>12</v>
      </c>
      <c r="AF110" s="855">
        <v>0</v>
      </c>
      <c r="AG110" s="855">
        <v>0</v>
      </c>
      <c r="AH110" s="855">
        <v>0</v>
      </c>
      <c r="AI110" s="855">
        <v>0</v>
      </c>
      <c r="AJ110" s="855">
        <v>1248</v>
      </c>
      <c r="AK110" s="862">
        <v>0</v>
      </c>
      <c r="AL110" s="863">
        <v>0</v>
      </c>
      <c r="AM110" s="854">
        <v>195</v>
      </c>
      <c r="AN110" s="855">
        <v>261</v>
      </c>
      <c r="AO110" s="855">
        <f t="shared" si="32"/>
        <v>452</v>
      </c>
      <c r="AP110" s="859">
        <f t="shared" si="33"/>
        <v>257</v>
      </c>
      <c r="AQ110" s="860">
        <v>4</v>
      </c>
      <c r="AR110" s="855">
        <v>780</v>
      </c>
      <c r="AS110" s="855">
        <v>2340</v>
      </c>
      <c r="AT110" s="855">
        <v>156</v>
      </c>
      <c r="AU110" s="859">
        <v>468</v>
      </c>
      <c r="AV110" s="861">
        <v>5</v>
      </c>
      <c r="AW110" s="855">
        <v>240000</v>
      </c>
      <c r="AX110" s="855">
        <v>0</v>
      </c>
      <c r="AY110" s="855">
        <v>0</v>
      </c>
      <c r="AZ110" s="855">
        <v>0</v>
      </c>
      <c r="BA110" s="855">
        <v>780</v>
      </c>
      <c r="BB110" s="862">
        <v>12.95940170940171</v>
      </c>
      <c r="BC110" s="863">
        <v>48000</v>
      </c>
      <c r="BD110" s="854">
        <v>227</v>
      </c>
      <c r="BE110" s="855">
        <v>304</v>
      </c>
      <c r="BF110" s="855">
        <f t="shared" si="34"/>
        <v>526</v>
      </c>
      <c r="BG110" s="859">
        <f t="shared" si="35"/>
        <v>299</v>
      </c>
      <c r="BH110" s="860">
        <v>4</v>
      </c>
      <c r="BI110" s="855">
        <v>908</v>
      </c>
      <c r="BJ110" s="855">
        <v>2724</v>
      </c>
      <c r="BK110" s="855">
        <v>181</v>
      </c>
      <c r="BL110" s="859">
        <v>544</v>
      </c>
      <c r="BM110" s="861">
        <v>7</v>
      </c>
      <c r="BN110" s="855">
        <v>360000</v>
      </c>
      <c r="BO110" s="855">
        <v>0</v>
      </c>
      <c r="BP110" s="855">
        <v>1</v>
      </c>
      <c r="BQ110" s="855">
        <v>0</v>
      </c>
      <c r="BR110" s="855">
        <v>1271</v>
      </c>
      <c r="BS110" s="862">
        <v>16.770374449339208</v>
      </c>
      <c r="BT110" s="863">
        <v>51428</v>
      </c>
      <c r="BU110" s="854">
        <v>246</v>
      </c>
      <c r="BV110" s="855">
        <v>330</v>
      </c>
      <c r="BW110" s="855">
        <f t="shared" si="36"/>
        <v>571</v>
      </c>
      <c r="BX110" s="859">
        <f t="shared" si="37"/>
        <v>325</v>
      </c>
      <c r="BY110" s="860">
        <v>4</v>
      </c>
      <c r="BZ110" s="855">
        <v>984</v>
      </c>
      <c r="CA110" s="855">
        <v>2952</v>
      </c>
      <c r="CB110" s="855">
        <v>196</v>
      </c>
      <c r="CC110" s="859">
        <v>590</v>
      </c>
      <c r="CD110" s="861">
        <v>10</v>
      </c>
      <c r="CE110" s="855">
        <v>480000</v>
      </c>
      <c r="CF110" s="855">
        <v>0</v>
      </c>
      <c r="CG110" s="855">
        <v>0</v>
      </c>
      <c r="CH110" s="855">
        <v>0</v>
      </c>
      <c r="CI110" s="855">
        <v>1968</v>
      </c>
      <c r="CJ110" s="862">
        <v>20.709688346883471</v>
      </c>
      <c r="CK110" s="863">
        <v>48000</v>
      </c>
      <c r="CL110" s="854">
        <v>260</v>
      </c>
      <c r="CM110" s="855">
        <v>348</v>
      </c>
      <c r="CN110" s="855">
        <f t="shared" si="38"/>
        <v>602</v>
      </c>
      <c r="CO110" s="859">
        <f t="shared" si="39"/>
        <v>342</v>
      </c>
      <c r="CP110" s="860">
        <v>4</v>
      </c>
      <c r="CQ110" s="855">
        <v>1040</v>
      </c>
      <c r="CR110" s="855">
        <v>3120</v>
      </c>
      <c r="CS110" s="855">
        <v>208</v>
      </c>
      <c r="CT110" s="859">
        <v>624</v>
      </c>
      <c r="CU110" s="861">
        <v>12</v>
      </c>
      <c r="CV110" s="855">
        <v>600000</v>
      </c>
      <c r="CW110" s="855">
        <v>0</v>
      </c>
      <c r="CX110" s="855">
        <v>0</v>
      </c>
      <c r="CY110" s="855">
        <v>1</v>
      </c>
      <c r="CZ110" s="855">
        <v>2496</v>
      </c>
      <c r="DA110" s="862">
        <v>24.511538461538461</v>
      </c>
      <c r="DB110" s="863">
        <v>50000</v>
      </c>
      <c r="DC110" s="864">
        <v>46</v>
      </c>
      <c r="DD110" s="855">
        <v>1680000</v>
      </c>
      <c r="DE110" s="865">
        <v>0</v>
      </c>
      <c r="DF110" s="865">
        <v>1</v>
      </c>
      <c r="DG110" s="865">
        <v>1</v>
      </c>
      <c r="DH110" s="855">
        <v>7763</v>
      </c>
      <c r="DI110" s="862">
        <v>67.307692307692307</v>
      </c>
      <c r="DJ110" s="863">
        <v>36521.739130434784</v>
      </c>
      <c r="DK110" s="866">
        <v>13</v>
      </c>
      <c r="DL110" s="867" t="s">
        <v>43</v>
      </c>
      <c r="DM110" s="868">
        <v>3330</v>
      </c>
      <c r="DN110" s="869">
        <v>10000</v>
      </c>
      <c r="DO110" s="870">
        <v>20000</v>
      </c>
      <c r="DP110" s="870">
        <v>40000</v>
      </c>
      <c r="DQ110" s="870">
        <v>80000</v>
      </c>
      <c r="DR110" s="870">
        <v>160000</v>
      </c>
      <c r="DS110" s="870">
        <v>320000</v>
      </c>
      <c r="DT110" s="870">
        <v>640000</v>
      </c>
      <c r="DU110" s="870"/>
      <c r="DV110" s="870"/>
      <c r="DW110" s="870"/>
      <c r="DX110" s="871"/>
      <c r="DY110" s="872" t="s">
        <v>43</v>
      </c>
      <c r="DZ110" s="873"/>
      <c r="EA110" s="852"/>
      <c r="EB110" s="852"/>
      <c r="EC110" s="874"/>
      <c r="ED110" s="875"/>
      <c r="EE110" s="855"/>
      <c r="EF110" s="855"/>
      <c r="EG110" s="855"/>
      <c r="EH110" s="859"/>
      <c r="EI110" s="876"/>
      <c r="EJ110" s="877"/>
    </row>
    <row r="111" spans="2:140">
      <c r="B111" s="1124" t="s">
        <v>129</v>
      </c>
      <c r="C111" s="841" t="s">
        <v>77</v>
      </c>
      <c r="D111" s="842"/>
      <c r="E111" s="843"/>
      <c r="F111" s="844"/>
      <c r="G111" s="845" t="s">
        <v>43</v>
      </c>
      <c r="H111" s="846">
        <v>6</v>
      </c>
      <c r="I111" s="847" t="s">
        <v>282</v>
      </c>
      <c r="J111" s="848">
        <v>6</v>
      </c>
      <c r="K111" s="849">
        <v>0.22500000000000001</v>
      </c>
      <c r="L111" s="850">
        <v>0.94786729857819907</v>
      </c>
      <c r="M111" s="851">
        <v>100</v>
      </c>
      <c r="N111" s="844">
        <v>79</v>
      </c>
      <c r="O111" s="878">
        <v>42217</v>
      </c>
      <c r="P111" s="853" t="s">
        <v>98</v>
      </c>
      <c r="Q111" s="854">
        <v>200</v>
      </c>
      <c r="R111" s="855">
        <v>211</v>
      </c>
      <c r="S111" s="856">
        <v>6000</v>
      </c>
      <c r="T111" s="857" t="s">
        <v>453</v>
      </c>
      <c r="U111" s="858" t="s">
        <v>652</v>
      </c>
      <c r="V111" s="854">
        <v>200</v>
      </c>
      <c r="W111" s="855">
        <v>211</v>
      </c>
      <c r="X111" s="855">
        <f t="shared" si="30"/>
        <v>365</v>
      </c>
      <c r="Y111" s="859">
        <f t="shared" si="31"/>
        <v>165</v>
      </c>
      <c r="Z111" s="860">
        <v>5</v>
      </c>
      <c r="AA111" s="855">
        <v>1000</v>
      </c>
      <c r="AB111" s="855">
        <v>6000</v>
      </c>
      <c r="AC111" s="855">
        <v>225</v>
      </c>
      <c r="AD111" s="859">
        <v>1350</v>
      </c>
      <c r="AE111" s="861">
        <v>18</v>
      </c>
      <c r="AF111" s="855">
        <v>0</v>
      </c>
      <c r="AG111" s="855">
        <v>0</v>
      </c>
      <c r="AH111" s="855">
        <v>0</v>
      </c>
      <c r="AI111" s="855">
        <v>0</v>
      </c>
      <c r="AJ111" s="855">
        <v>4050</v>
      </c>
      <c r="AK111" s="862">
        <v>0</v>
      </c>
      <c r="AL111" s="863">
        <v>0</v>
      </c>
      <c r="AM111" s="854">
        <v>300</v>
      </c>
      <c r="AN111" s="855">
        <v>316</v>
      </c>
      <c r="AO111" s="855">
        <f t="shared" si="32"/>
        <v>547</v>
      </c>
      <c r="AP111" s="859">
        <f t="shared" si="33"/>
        <v>247</v>
      </c>
      <c r="AQ111" s="860">
        <v>5</v>
      </c>
      <c r="AR111" s="855">
        <v>1500</v>
      </c>
      <c r="AS111" s="855">
        <v>9000</v>
      </c>
      <c r="AT111" s="855">
        <v>337</v>
      </c>
      <c r="AU111" s="859">
        <v>2025</v>
      </c>
      <c r="AV111" s="861">
        <v>7.5</v>
      </c>
      <c r="AW111" s="855">
        <v>1000000</v>
      </c>
      <c r="AX111" s="855">
        <v>0</v>
      </c>
      <c r="AY111" s="855">
        <v>0</v>
      </c>
      <c r="AZ111" s="855">
        <v>0</v>
      </c>
      <c r="BA111" s="855">
        <v>2531</v>
      </c>
      <c r="BB111" s="862">
        <v>27.986111111111111</v>
      </c>
      <c r="BC111" s="863">
        <v>133333</v>
      </c>
      <c r="BD111" s="854">
        <v>350</v>
      </c>
      <c r="BE111" s="855">
        <v>370</v>
      </c>
      <c r="BF111" s="855">
        <f t="shared" si="34"/>
        <v>641</v>
      </c>
      <c r="BG111" s="859">
        <f t="shared" si="35"/>
        <v>291</v>
      </c>
      <c r="BH111" s="860">
        <v>5</v>
      </c>
      <c r="BI111" s="855">
        <v>1750</v>
      </c>
      <c r="BJ111" s="855">
        <v>10500</v>
      </c>
      <c r="BK111" s="855">
        <v>393</v>
      </c>
      <c r="BL111" s="859">
        <v>2362</v>
      </c>
      <c r="BM111" s="861">
        <v>10.5</v>
      </c>
      <c r="BN111" s="855">
        <v>1500000</v>
      </c>
      <c r="BO111" s="855">
        <v>0</v>
      </c>
      <c r="BP111" s="855">
        <v>1</v>
      </c>
      <c r="BQ111" s="855">
        <v>0</v>
      </c>
      <c r="BR111" s="855">
        <v>4134</v>
      </c>
      <c r="BS111" s="862">
        <v>36.089285714285715</v>
      </c>
      <c r="BT111" s="863">
        <v>142857</v>
      </c>
      <c r="BU111" s="854">
        <v>380</v>
      </c>
      <c r="BV111" s="855">
        <v>401</v>
      </c>
      <c r="BW111" s="855">
        <f t="shared" si="36"/>
        <v>694</v>
      </c>
      <c r="BX111" s="859">
        <f t="shared" si="37"/>
        <v>314</v>
      </c>
      <c r="BY111" s="860">
        <v>5</v>
      </c>
      <c r="BZ111" s="855">
        <v>1900</v>
      </c>
      <c r="CA111" s="855">
        <v>11400</v>
      </c>
      <c r="CB111" s="855">
        <v>427</v>
      </c>
      <c r="CC111" s="859">
        <v>2565</v>
      </c>
      <c r="CD111" s="861">
        <v>15</v>
      </c>
      <c r="CE111" s="855">
        <v>2000000</v>
      </c>
      <c r="CF111" s="855">
        <v>0</v>
      </c>
      <c r="CG111" s="855">
        <v>0</v>
      </c>
      <c r="CH111" s="855">
        <v>0</v>
      </c>
      <c r="CI111" s="855">
        <v>6412</v>
      </c>
      <c r="CJ111" s="862">
        <v>44.435307017543863</v>
      </c>
      <c r="CK111" s="863">
        <v>133333</v>
      </c>
      <c r="CL111" s="854">
        <v>400</v>
      </c>
      <c r="CM111" s="855">
        <v>422</v>
      </c>
      <c r="CN111" s="855">
        <f t="shared" si="38"/>
        <v>731</v>
      </c>
      <c r="CO111" s="859">
        <f t="shared" si="39"/>
        <v>331</v>
      </c>
      <c r="CP111" s="860">
        <v>5</v>
      </c>
      <c r="CQ111" s="855">
        <v>2000</v>
      </c>
      <c r="CR111" s="855">
        <v>12000</v>
      </c>
      <c r="CS111" s="855">
        <v>450</v>
      </c>
      <c r="CT111" s="859">
        <v>2700</v>
      </c>
      <c r="CU111" s="861">
        <v>18</v>
      </c>
      <c r="CV111" s="855">
        <v>2500000</v>
      </c>
      <c r="CW111" s="855">
        <v>0</v>
      </c>
      <c r="CX111" s="855">
        <v>0</v>
      </c>
      <c r="CY111" s="855">
        <v>1</v>
      </c>
      <c r="CZ111" s="855">
        <v>8100</v>
      </c>
      <c r="DA111" s="862">
        <v>52.795833333333327</v>
      </c>
      <c r="DB111" s="863">
        <v>138888</v>
      </c>
      <c r="DC111" s="864">
        <v>69</v>
      </c>
      <c r="DD111" s="855">
        <v>7000000</v>
      </c>
      <c r="DE111" s="865">
        <v>0</v>
      </c>
      <c r="DF111" s="865">
        <v>1</v>
      </c>
      <c r="DG111" s="865">
        <v>1</v>
      </c>
      <c r="DH111" s="855">
        <v>25227</v>
      </c>
      <c r="DI111" s="862">
        <v>145.83333333333334</v>
      </c>
      <c r="DJ111" s="863">
        <v>101449.27536231885</v>
      </c>
      <c r="DK111" s="866">
        <v>19</v>
      </c>
      <c r="DL111" s="867" t="s">
        <v>43</v>
      </c>
      <c r="DM111" s="868">
        <v>10000</v>
      </c>
      <c r="DN111" s="869">
        <v>50000</v>
      </c>
      <c r="DO111" s="870">
        <v>100000</v>
      </c>
      <c r="DP111" s="870">
        <v>200000</v>
      </c>
      <c r="DQ111" s="870">
        <v>400000</v>
      </c>
      <c r="DR111" s="870">
        <v>800000</v>
      </c>
      <c r="DS111" s="870"/>
      <c r="DT111" s="870"/>
      <c r="DU111" s="870"/>
      <c r="DV111" s="870"/>
      <c r="DW111" s="870"/>
      <c r="DX111" s="871"/>
      <c r="DY111" s="872" t="s">
        <v>43</v>
      </c>
      <c r="DZ111" s="873"/>
      <c r="EA111" s="852"/>
      <c r="EB111" s="852"/>
      <c r="EC111" s="874"/>
      <c r="ED111" s="875"/>
      <c r="EE111" s="855"/>
      <c r="EF111" s="855"/>
      <c r="EG111" s="855"/>
      <c r="EH111" s="859"/>
      <c r="EI111" s="876"/>
      <c r="EJ111" s="877"/>
    </row>
    <row r="112" spans="2:140">
      <c r="B112" s="1124" t="s">
        <v>153</v>
      </c>
      <c r="C112" s="841" t="s">
        <v>77</v>
      </c>
      <c r="D112" s="842"/>
      <c r="E112" s="843" t="s">
        <v>43</v>
      </c>
      <c r="F112" s="844"/>
      <c r="G112" s="845"/>
      <c r="H112" s="846">
        <v>5</v>
      </c>
      <c r="I112" s="847" t="s">
        <v>282</v>
      </c>
      <c r="J112" s="848">
        <v>9</v>
      </c>
      <c r="K112" s="849">
        <v>0.2</v>
      </c>
      <c r="L112" s="850">
        <v>0.97560975609756095</v>
      </c>
      <c r="M112" s="851">
        <v>100</v>
      </c>
      <c r="N112" s="844">
        <v>85</v>
      </c>
      <c r="O112" s="878">
        <v>42265</v>
      </c>
      <c r="P112" s="853" t="s">
        <v>98</v>
      </c>
      <c r="Q112" s="854">
        <v>200</v>
      </c>
      <c r="R112" s="855">
        <v>205</v>
      </c>
      <c r="S112" s="856">
        <v>7200</v>
      </c>
      <c r="T112" s="857" t="s">
        <v>454</v>
      </c>
      <c r="U112" s="858" t="s">
        <v>679</v>
      </c>
      <c r="V112" s="854">
        <v>200</v>
      </c>
      <c r="W112" s="855">
        <v>205</v>
      </c>
      <c r="X112" s="855">
        <f t="shared" si="30"/>
        <v>355</v>
      </c>
      <c r="Y112" s="859">
        <f t="shared" si="31"/>
        <v>155</v>
      </c>
      <c r="Z112" s="860">
        <v>4</v>
      </c>
      <c r="AA112" s="855">
        <v>800</v>
      </c>
      <c r="AB112" s="855">
        <v>7200</v>
      </c>
      <c r="AC112" s="855">
        <v>160</v>
      </c>
      <c r="AD112" s="859">
        <v>1440</v>
      </c>
      <c r="AE112" s="861">
        <v>15</v>
      </c>
      <c r="AF112" s="855">
        <v>0</v>
      </c>
      <c r="AG112" s="855">
        <v>0</v>
      </c>
      <c r="AH112" s="855">
        <v>0</v>
      </c>
      <c r="AI112" s="855">
        <v>0</v>
      </c>
      <c r="AJ112" s="855">
        <v>2400</v>
      </c>
      <c r="AK112" s="862">
        <v>0</v>
      </c>
      <c r="AL112" s="863">
        <v>0</v>
      </c>
      <c r="AM112" s="854">
        <v>300</v>
      </c>
      <c r="AN112" s="855">
        <v>307</v>
      </c>
      <c r="AO112" s="855">
        <f t="shared" si="32"/>
        <v>531</v>
      </c>
      <c r="AP112" s="859">
        <f t="shared" si="33"/>
        <v>231</v>
      </c>
      <c r="AQ112" s="860">
        <v>4</v>
      </c>
      <c r="AR112" s="855">
        <v>1200</v>
      </c>
      <c r="AS112" s="855">
        <v>10800</v>
      </c>
      <c r="AT112" s="855">
        <v>240</v>
      </c>
      <c r="AU112" s="859">
        <v>2160</v>
      </c>
      <c r="AV112" s="861">
        <v>4</v>
      </c>
      <c r="AW112" s="855">
        <v>960000</v>
      </c>
      <c r="AX112" s="855">
        <v>0</v>
      </c>
      <c r="AY112" s="855">
        <v>1</v>
      </c>
      <c r="AZ112" s="855">
        <v>0</v>
      </c>
      <c r="BA112" s="855">
        <v>960</v>
      </c>
      <c r="BB112" s="862">
        <v>33.444444444444443</v>
      </c>
      <c r="BC112" s="863">
        <v>240000</v>
      </c>
      <c r="BD112" s="854">
        <v>350</v>
      </c>
      <c r="BE112" s="855">
        <v>357</v>
      </c>
      <c r="BF112" s="855">
        <f t="shared" si="34"/>
        <v>618</v>
      </c>
      <c r="BG112" s="859">
        <f t="shared" si="35"/>
        <v>268</v>
      </c>
      <c r="BH112" s="860">
        <v>4</v>
      </c>
      <c r="BI112" s="855">
        <v>1400</v>
      </c>
      <c r="BJ112" s="855">
        <v>12600</v>
      </c>
      <c r="BK112" s="855">
        <v>280</v>
      </c>
      <c r="BL112" s="859">
        <v>2520</v>
      </c>
      <c r="BM112" s="861">
        <v>8</v>
      </c>
      <c r="BN112" s="855">
        <v>1440000</v>
      </c>
      <c r="BO112" s="855">
        <v>0</v>
      </c>
      <c r="BP112" s="855">
        <v>2</v>
      </c>
      <c r="BQ112" s="855">
        <v>0</v>
      </c>
      <c r="BR112" s="855">
        <v>2240</v>
      </c>
      <c r="BS112" s="862">
        <v>43.142857142857139</v>
      </c>
      <c r="BT112" s="863">
        <v>180000</v>
      </c>
      <c r="BU112" s="854">
        <v>380</v>
      </c>
      <c r="BV112" s="855">
        <v>389</v>
      </c>
      <c r="BW112" s="855">
        <f t="shared" si="36"/>
        <v>673</v>
      </c>
      <c r="BX112" s="859">
        <f t="shared" si="37"/>
        <v>293</v>
      </c>
      <c r="BY112" s="860">
        <v>4</v>
      </c>
      <c r="BZ112" s="855">
        <v>1520</v>
      </c>
      <c r="CA112" s="855">
        <v>13680</v>
      </c>
      <c r="CB112" s="855">
        <v>304</v>
      </c>
      <c r="CC112" s="859">
        <v>2736</v>
      </c>
      <c r="CD112" s="861">
        <v>12</v>
      </c>
      <c r="CE112" s="855">
        <v>1920000</v>
      </c>
      <c r="CF112" s="855">
        <v>0</v>
      </c>
      <c r="CG112" s="855">
        <v>0</v>
      </c>
      <c r="CH112" s="855">
        <v>1</v>
      </c>
      <c r="CI112" s="855">
        <v>3648</v>
      </c>
      <c r="CJ112" s="862">
        <v>53.09210526315789</v>
      </c>
      <c r="CK112" s="863">
        <v>160000</v>
      </c>
      <c r="CL112" s="854">
        <v>400</v>
      </c>
      <c r="CM112" s="855">
        <v>410</v>
      </c>
      <c r="CN112" s="855">
        <f t="shared" si="38"/>
        <v>710</v>
      </c>
      <c r="CO112" s="859">
        <f t="shared" si="39"/>
        <v>310</v>
      </c>
      <c r="CP112" s="860">
        <v>5</v>
      </c>
      <c r="CQ112" s="855">
        <v>2000</v>
      </c>
      <c r="CR112" s="855">
        <v>18000</v>
      </c>
      <c r="CS112" s="855">
        <v>400</v>
      </c>
      <c r="CT112" s="859">
        <v>3600</v>
      </c>
      <c r="CU112" s="861">
        <v>15</v>
      </c>
      <c r="CV112" s="855">
        <v>2400000</v>
      </c>
      <c r="CW112" s="855">
        <v>0</v>
      </c>
      <c r="CX112" s="855">
        <v>0</v>
      </c>
      <c r="CY112" s="855">
        <v>2</v>
      </c>
      <c r="CZ112" s="855">
        <v>6000</v>
      </c>
      <c r="DA112" s="862">
        <v>50.475000000000001</v>
      </c>
      <c r="DB112" s="863">
        <v>160000</v>
      </c>
      <c r="DC112" s="864">
        <v>54</v>
      </c>
      <c r="DD112" s="855">
        <v>6720000</v>
      </c>
      <c r="DE112" s="865">
        <v>0</v>
      </c>
      <c r="DF112" s="865">
        <v>3</v>
      </c>
      <c r="DG112" s="865">
        <v>3</v>
      </c>
      <c r="DH112" s="855">
        <v>15248</v>
      </c>
      <c r="DI112" s="862">
        <v>140</v>
      </c>
      <c r="DJ112" s="863">
        <v>124444.44444444444</v>
      </c>
      <c r="DK112" s="866">
        <v>15</v>
      </c>
      <c r="DL112" s="867" t="s">
        <v>43</v>
      </c>
      <c r="DM112" s="868">
        <v>10000</v>
      </c>
      <c r="DN112" s="869">
        <v>35000</v>
      </c>
      <c r="DO112" s="870">
        <v>70000</v>
      </c>
      <c r="DP112" s="870">
        <v>140000</v>
      </c>
      <c r="DQ112" s="870">
        <v>280000</v>
      </c>
      <c r="DR112" s="870">
        <v>560000</v>
      </c>
      <c r="DS112" s="870"/>
      <c r="DT112" s="870"/>
      <c r="DU112" s="870"/>
      <c r="DV112" s="870"/>
      <c r="DW112" s="870"/>
      <c r="DX112" s="871"/>
      <c r="DY112" s="872" t="s">
        <v>43</v>
      </c>
      <c r="DZ112" s="873"/>
      <c r="EA112" s="852"/>
      <c r="EB112" s="852"/>
      <c r="EC112" s="874"/>
      <c r="ED112" s="875"/>
      <c r="EE112" s="855"/>
      <c r="EF112" s="855"/>
      <c r="EG112" s="855"/>
      <c r="EH112" s="859"/>
      <c r="EI112" s="876"/>
      <c r="EJ112" s="877"/>
    </row>
    <row r="113" spans="2:140">
      <c r="B113" s="1124" t="s">
        <v>134</v>
      </c>
      <c r="C113" s="841" t="s">
        <v>77</v>
      </c>
      <c r="D113" s="842"/>
      <c r="E113" s="843" t="s">
        <v>43</v>
      </c>
      <c r="F113" s="844" t="s">
        <v>43</v>
      </c>
      <c r="G113" s="845"/>
      <c r="H113" s="846">
        <v>6</v>
      </c>
      <c r="I113" s="847" t="s">
        <v>270</v>
      </c>
      <c r="J113" s="848">
        <v>4</v>
      </c>
      <c r="K113" s="849">
        <v>0.2</v>
      </c>
      <c r="L113" s="850">
        <v>1</v>
      </c>
      <c r="M113" s="851">
        <v>30</v>
      </c>
      <c r="N113" s="844">
        <v>81</v>
      </c>
      <c r="O113" s="878">
        <v>42231</v>
      </c>
      <c r="P113" s="853" t="s">
        <v>98</v>
      </c>
      <c r="Q113" s="854">
        <v>250</v>
      </c>
      <c r="R113" s="855">
        <v>250</v>
      </c>
      <c r="S113" s="856">
        <v>6000</v>
      </c>
      <c r="T113" s="857" t="s">
        <v>455</v>
      </c>
      <c r="U113" s="858" t="s">
        <v>681</v>
      </c>
      <c r="V113" s="854">
        <v>250</v>
      </c>
      <c r="W113" s="855">
        <v>250</v>
      </c>
      <c r="X113" s="855">
        <f t="shared" si="30"/>
        <v>433</v>
      </c>
      <c r="Y113" s="859">
        <f t="shared" si="31"/>
        <v>183</v>
      </c>
      <c r="Z113" s="860">
        <v>6</v>
      </c>
      <c r="AA113" s="855">
        <v>1500</v>
      </c>
      <c r="AB113" s="855">
        <v>6000</v>
      </c>
      <c r="AC113" s="855">
        <v>300</v>
      </c>
      <c r="AD113" s="859">
        <v>1200</v>
      </c>
      <c r="AE113" s="861">
        <v>144</v>
      </c>
      <c r="AF113" s="855">
        <v>0</v>
      </c>
      <c r="AG113" s="855">
        <v>0</v>
      </c>
      <c r="AH113" s="855">
        <v>0</v>
      </c>
      <c r="AI113" s="855">
        <v>0</v>
      </c>
      <c r="AJ113" s="855">
        <v>10000</v>
      </c>
      <c r="AK113" s="862">
        <v>0</v>
      </c>
      <c r="AL113" s="863">
        <v>0</v>
      </c>
      <c r="AM113" s="854">
        <v>375</v>
      </c>
      <c r="AN113" s="855">
        <v>375</v>
      </c>
      <c r="AO113" s="855">
        <f t="shared" si="32"/>
        <v>649</v>
      </c>
      <c r="AP113" s="859">
        <f t="shared" si="33"/>
        <v>274</v>
      </c>
      <c r="AQ113" s="860">
        <v>6</v>
      </c>
      <c r="AR113" s="855">
        <v>2250</v>
      </c>
      <c r="AS113" s="855">
        <v>9000</v>
      </c>
      <c r="AT113" s="855">
        <v>450</v>
      </c>
      <c r="AU113" s="859">
        <v>1800</v>
      </c>
      <c r="AV113" s="861">
        <v>40</v>
      </c>
      <c r="AW113" s="855">
        <v>3400000</v>
      </c>
      <c r="AX113" s="855">
        <v>0</v>
      </c>
      <c r="AY113" s="855">
        <v>5</v>
      </c>
      <c r="AZ113" s="855">
        <v>0</v>
      </c>
      <c r="BA113" s="855">
        <v>10000</v>
      </c>
      <c r="BB113" s="862">
        <v>64.074074074074076</v>
      </c>
      <c r="BC113" s="863">
        <v>85000</v>
      </c>
      <c r="BD113" s="854">
        <v>437</v>
      </c>
      <c r="BE113" s="855">
        <v>437</v>
      </c>
      <c r="BF113" s="855">
        <f t="shared" si="34"/>
        <v>757</v>
      </c>
      <c r="BG113" s="859">
        <f t="shared" si="35"/>
        <v>320</v>
      </c>
      <c r="BH113" s="860">
        <v>6</v>
      </c>
      <c r="BI113" s="855">
        <v>2622</v>
      </c>
      <c r="BJ113" s="855">
        <v>10488</v>
      </c>
      <c r="BK113" s="855">
        <v>524</v>
      </c>
      <c r="BL113" s="859">
        <v>2097</v>
      </c>
      <c r="BM113" s="861">
        <v>72</v>
      </c>
      <c r="BN113" s="855">
        <v>5100000</v>
      </c>
      <c r="BO113" s="855">
        <v>0</v>
      </c>
      <c r="BP113" s="855">
        <v>10</v>
      </c>
      <c r="BQ113" s="855">
        <v>0</v>
      </c>
      <c r="BR113" s="855">
        <v>10000</v>
      </c>
      <c r="BS113" s="862">
        <v>83.619374523264682</v>
      </c>
      <c r="BT113" s="863">
        <v>70833</v>
      </c>
      <c r="BU113" s="854">
        <v>475</v>
      </c>
      <c r="BV113" s="855">
        <v>475</v>
      </c>
      <c r="BW113" s="855">
        <f t="shared" si="36"/>
        <v>822</v>
      </c>
      <c r="BX113" s="859">
        <f t="shared" si="37"/>
        <v>347</v>
      </c>
      <c r="BY113" s="860">
        <v>6</v>
      </c>
      <c r="BZ113" s="855">
        <v>2850</v>
      </c>
      <c r="CA113" s="855">
        <v>11400</v>
      </c>
      <c r="CB113" s="855">
        <v>570</v>
      </c>
      <c r="CC113" s="859">
        <v>2280</v>
      </c>
      <c r="CD113" s="861">
        <v>118</v>
      </c>
      <c r="CE113" s="855">
        <v>6800000</v>
      </c>
      <c r="CF113" s="855">
        <v>0</v>
      </c>
      <c r="CG113" s="855">
        <v>0</v>
      </c>
      <c r="CH113" s="855">
        <v>5</v>
      </c>
      <c r="CI113" s="855">
        <v>10000</v>
      </c>
      <c r="CJ113" s="862">
        <v>103.93853801169591</v>
      </c>
      <c r="CK113" s="863">
        <v>57627</v>
      </c>
      <c r="CL113" s="854">
        <v>500</v>
      </c>
      <c r="CM113" s="855">
        <v>500</v>
      </c>
      <c r="CN113" s="855">
        <f t="shared" si="38"/>
        <v>866</v>
      </c>
      <c r="CO113" s="859">
        <f t="shared" si="39"/>
        <v>366</v>
      </c>
      <c r="CP113" s="860">
        <v>7</v>
      </c>
      <c r="CQ113" s="855">
        <v>3500</v>
      </c>
      <c r="CR113" s="855">
        <v>14000</v>
      </c>
      <c r="CS113" s="855">
        <v>700</v>
      </c>
      <c r="CT113" s="859">
        <v>2800</v>
      </c>
      <c r="CU113" s="861">
        <v>144</v>
      </c>
      <c r="CV113" s="855">
        <v>8500000</v>
      </c>
      <c r="CW113" s="855">
        <v>0</v>
      </c>
      <c r="CX113" s="855">
        <v>0</v>
      </c>
      <c r="CY113" s="855">
        <v>10</v>
      </c>
      <c r="CZ113" s="855">
        <v>10000</v>
      </c>
      <c r="DA113" s="862">
        <v>106.07619047619049</v>
      </c>
      <c r="DB113" s="863">
        <v>59027</v>
      </c>
      <c r="DC113" s="864">
        <v>518</v>
      </c>
      <c r="DD113" s="855">
        <v>23800000</v>
      </c>
      <c r="DE113" s="865">
        <v>0</v>
      </c>
      <c r="DF113" s="865">
        <v>15</v>
      </c>
      <c r="DG113" s="865">
        <v>15</v>
      </c>
      <c r="DH113" s="855">
        <v>50000</v>
      </c>
      <c r="DI113" s="862">
        <v>283.33333333333331</v>
      </c>
      <c r="DJ113" s="863">
        <v>45945.945945945947</v>
      </c>
      <c r="DK113" s="866">
        <v>141</v>
      </c>
      <c r="DL113" s="867" t="s">
        <v>43</v>
      </c>
      <c r="DM113" s="868">
        <v>10000</v>
      </c>
      <c r="DN113" s="869">
        <v>120000</v>
      </c>
      <c r="DO113" s="870">
        <v>240000</v>
      </c>
      <c r="DP113" s="870">
        <v>480000</v>
      </c>
      <c r="DQ113" s="870">
        <v>960000</v>
      </c>
      <c r="DR113" s="870"/>
      <c r="DS113" s="870"/>
      <c r="DT113" s="870"/>
      <c r="DU113" s="870"/>
      <c r="DV113" s="870"/>
      <c r="DW113" s="870"/>
      <c r="DX113" s="871"/>
      <c r="DY113" s="872" t="s">
        <v>43</v>
      </c>
      <c r="DZ113" s="873"/>
      <c r="EA113" s="852"/>
      <c r="EB113" s="852"/>
      <c r="EC113" s="874"/>
      <c r="ED113" s="875"/>
      <c r="EE113" s="855"/>
      <c r="EF113" s="855"/>
      <c r="EG113" s="855"/>
      <c r="EH113" s="859"/>
      <c r="EI113" s="876"/>
      <c r="EJ113" s="877"/>
    </row>
    <row r="114" spans="2:140">
      <c r="B114" s="1124" t="s">
        <v>150</v>
      </c>
      <c r="C114" s="841" t="s">
        <v>77</v>
      </c>
      <c r="D114" s="842"/>
      <c r="E114" s="843" t="s">
        <v>43</v>
      </c>
      <c r="F114" s="844"/>
      <c r="G114" s="845"/>
      <c r="H114" s="846">
        <v>6</v>
      </c>
      <c r="I114" s="847" t="s">
        <v>270</v>
      </c>
      <c r="J114" s="848">
        <v>7</v>
      </c>
      <c r="K114" s="849">
        <v>0.2</v>
      </c>
      <c r="L114" s="850">
        <v>1.4285714285714286</v>
      </c>
      <c r="M114" s="851">
        <v>30</v>
      </c>
      <c r="N114" s="844">
        <v>6005</v>
      </c>
      <c r="O114" s="878">
        <v>42259</v>
      </c>
      <c r="P114" s="853" t="s">
        <v>98</v>
      </c>
      <c r="Q114" s="854">
        <v>500</v>
      </c>
      <c r="R114" s="855">
        <v>350</v>
      </c>
      <c r="S114" s="856">
        <v>17500</v>
      </c>
      <c r="T114" s="857" t="s">
        <v>456</v>
      </c>
      <c r="U114" s="858" t="s">
        <v>683</v>
      </c>
      <c r="V114" s="854">
        <v>500</v>
      </c>
      <c r="W114" s="855">
        <v>350</v>
      </c>
      <c r="X114" s="855">
        <f t="shared" si="30"/>
        <v>606</v>
      </c>
      <c r="Y114" s="859">
        <f t="shared" si="31"/>
        <v>106</v>
      </c>
      <c r="Z114" s="860">
        <v>5</v>
      </c>
      <c r="AA114" s="855">
        <v>2500</v>
      </c>
      <c r="AB114" s="855">
        <v>17500</v>
      </c>
      <c r="AC114" s="855">
        <v>500</v>
      </c>
      <c r="AD114" s="859">
        <v>3500</v>
      </c>
      <c r="AE114" s="861">
        <v>6</v>
      </c>
      <c r="AF114" s="855">
        <v>0</v>
      </c>
      <c r="AG114" s="855">
        <v>0</v>
      </c>
      <c r="AH114" s="855">
        <v>0</v>
      </c>
      <c r="AI114" s="855">
        <v>0</v>
      </c>
      <c r="AJ114" s="855">
        <v>10000</v>
      </c>
      <c r="AK114" s="862">
        <v>0</v>
      </c>
      <c r="AL114" s="863">
        <v>0</v>
      </c>
      <c r="AM114" s="854">
        <v>750</v>
      </c>
      <c r="AN114" s="855">
        <v>525</v>
      </c>
      <c r="AO114" s="855">
        <f t="shared" si="32"/>
        <v>909</v>
      </c>
      <c r="AP114" s="859">
        <f t="shared" si="33"/>
        <v>159</v>
      </c>
      <c r="AQ114" s="860">
        <v>5</v>
      </c>
      <c r="AR114" s="855">
        <v>3750</v>
      </c>
      <c r="AS114" s="855">
        <v>26250</v>
      </c>
      <c r="AT114" s="855">
        <v>750</v>
      </c>
      <c r="AU114" s="859">
        <v>5250</v>
      </c>
      <c r="AV114" s="861">
        <v>22</v>
      </c>
      <c r="AW114" s="855">
        <v>2200000</v>
      </c>
      <c r="AX114" s="855">
        <v>0</v>
      </c>
      <c r="AY114" s="855">
        <v>1</v>
      </c>
      <c r="AZ114" s="855">
        <v>0</v>
      </c>
      <c r="BA114" s="855">
        <v>10000</v>
      </c>
      <c r="BB114" s="862">
        <v>25.055555555555557</v>
      </c>
      <c r="BC114" s="863">
        <v>100000</v>
      </c>
      <c r="BD114" s="854">
        <v>873</v>
      </c>
      <c r="BE114" s="855">
        <v>610</v>
      </c>
      <c r="BF114" s="855">
        <f t="shared" si="34"/>
        <v>1056</v>
      </c>
      <c r="BG114" s="859">
        <f t="shared" si="35"/>
        <v>183</v>
      </c>
      <c r="BH114" s="860">
        <v>5</v>
      </c>
      <c r="BI114" s="855">
        <v>4365</v>
      </c>
      <c r="BJ114" s="855">
        <v>30555</v>
      </c>
      <c r="BK114" s="855">
        <v>873</v>
      </c>
      <c r="BL114" s="859">
        <v>6111</v>
      </c>
      <c r="BM114" s="861">
        <v>52</v>
      </c>
      <c r="BN114" s="855">
        <v>3200000</v>
      </c>
      <c r="BO114" s="855">
        <v>0</v>
      </c>
      <c r="BP114" s="855">
        <v>3</v>
      </c>
      <c r="BQ114" s="855">
        <v>0</v>
      </c>
      <c r="BR114" s="855">
        <v>10000</v>
      </c>
      <c r="BS114" s="862">
        <v>32.407407407407412</v>
      </c>
      <c r="BT114" s="863">
        <v>61538</v>
      </c>
      <c r="BU114" s="854">
        <v>950</v>
      </c>
      <c r="BV114" s="855">
        <v>665</v>
      </c>
      <c r="BW114" s="855">
        <f t="shared" si="36"/>
        <v>1152</v>
      </c>
      <c r="BX114" s="859">
        <f t="shared" si="37"/>
        <v>202</v>
      </c>
      <c r="BY114" s="860">
        <v>5</v>
      </c>
      <c r="BZ114" s="855">
        <v>4750</v>
      </c>
      <c r="CA114" s="855">
        <v>33250</v>
      </c>
      <c r="CB114" s="855">
        <v>950</v>
      </c>
      <c r="CC114" s="859">
        <v>6650</v>
      </c>
      <c r="CD114" s="861">
        <v>100</v>
      </c>
      <c r="CE114" s="855">
        <v>4200000</v>
      </c>
      <c r="CF114" s="855">
        <v>0</v>
      </c>
      <c r="CG114" s="855">
        <v>5</v>
      </c>
      <c r="CH114" s="855">
        <v>0</v>
      </c>
      <c r="CI114" s="855">
        <v>10000</v>
      </c>
      <c r="CJ114" s="862">
        <v>40.671052631578945</v>
      </c>
      <c r="CK114" s="863">
        <v>42000</v>
      </c>
      <c r="CL114" s="854">
        <v>1000</v>
      </c>
      <c r="CM114" s="855">
        <v>700</v>
      </c>
      <c r="CN114" s="855">
        <f t="shared" si="38"/>
        <v>1212</v>
      </c>
      <c r="CO114" s="859">
        <f t="shared" si="39"/>
        <v>212</v>
      </c>
      <c r="CP114" s="860">
        <v>5</v>
      </c>
      <c r="CQ114" s="855">
        <v>5000</v>
      </c>
      <c r="CR114" s="855">
        <v>35000</v>
      </c>
      <c r="CS114" s="855">
        <v>1000</v>
      </c>
      <c r="CT114" s="859">
        <v>7000</v>
      </c>
      <c r="CU114" s="861">
        <v>172</v>
      </c>
      <c r="CV114" s="855">
        <v>5200000</v>
      </c>
      <c r="CW114" s="855">
        <v>0</v>
      </c>
      <c r="CX114" s="855">
        <v>10</v>
      </c>
      <c r="CY114" s="855">
        <v>0</v>
      </c>
      <c r="CZ114" s="855">
        <v>10000</v>
      </c>
      <c r="DA114" s="862">
        <v>50.141666666666673</v>
      </c>
      <c r="DB114" s="863">
        <v>30232</v>
      </c>
      <c r="DC114" s="864">
        <v>352</v>
      </c>
      <c r="DD114" s="855">
        <v>14800000</v>
      </c>
      <c r="DE114" s="865">
        <v>0</v>
      </c>
      <c r="DF114" s="865">
        <v>19</v>
      </c>
      <c r="DG114" s="865">
        <v>0</v>
      </c>
      <c r="DH114" s="855">
        <v>50000</v>
      </c>
      <c r="DI114" s="862">
        <v>123.33333333333333</v>
      </c>
      <c r="DJ114" s="863">
        <v>42045.454545454544</v>
      </c>
      <c r="DK114" s="866">
        <v>96</v>
      </c>
      <c r="DL114" s="867" t="s">
        <v>43</v>
      </c>
      <c r="DM114" s="868">
        <v>10000</v>
      </c>
      <c r="DN114" s="869">
        <v>130000</v>
      </c>
      <c r="DO114" s="870">
        <v>260000</v>
      </c>
      <c r="DP114" s="870">
        <v>520000</v>
      </c>
      <c r="DQ114" s="870"/>
      <c r="DR114" s="870"/>
      <c r="DS114" s="870"/>
      <c r="DT114" s="870"/>
      <c r="DU114" s="870"/>
      <c r="DV114" s="870"/>
      <c r="DW114" s="870"/>
      <c r="DX114" s="871"/>
      <c r="DY114" s="872" t="s">
        <v>43</v>
      </c>
      <c r="DZ114" s="873"/>
      <c r="EA114" s="852"/>
      <c r="EB114" s="852"/>
      <c r="EC114" s="874"/>
      <c r="ED114" s="875"/>
      <c r="EE114" s="855"/>
      <c r="EF114" s="855"/>
      <c r="EG114" s="855"/>
      <c r="EH114" s="859"/>
      <c r="EI114" s="876"/>
      <c r="EJ114" s="877"/>
    </row>
    <row r="115" spans="2:140">
      <c r="B115" s="1124" t="s">
        <v>165</v>
      </c>
      <c r="C115" s="841" t="s">
        <v>77</v>
      </c>
      <c r="D115" s="842"/>
      <c r="E115" s="843" t="s">
        <v>43</v>
      </c>
      <c r="F115" s="844"/>
      <c r="G115" s="845"/>
      <c r="H115" s="846">
        <v>6</v>
      </c>
      <c r="I115" s="847" t="s">
        <v>270</v>
      </c>
      <c r="J115" s="848">
        <v>7</v>
      </c>
      <c r="K115" s="849">
        <v>0.2</v>
      </c>
      <c r="L115" s="850">
        <v>1.4285714285714286</v>
      </c>
      <c r="M115" s="851">
        <v>30</v>
      </c>
      <c r="N115" s="844">
        <v>6010</v>
      </c>
      <c r="O115" s="878">
        <v>42273</v>
      </c>
      <c r="P115" s="853" t="s">
        <v>98</v>
      </c>
      <c r="Q115" s="854">
        <v>510</v>
      </c>
      <c r="R115" s="855">
        <v>357</v>
      </c>
      <c r="S115" s="856">
        <v>17850</v>
      </c>
      <c r="T115" s="857" t="s">
        <v>457</v>
      </c>
      <c r="U115" s="858" t="s">
        <v>662</v>
      </c>
      <c r="V115" s="854">
        <v>510</v>
      </c>
      <c r="W115" s="855">
        <v>357</v>
      </c>
      <c r="X115" s="855">
        <f t="shared" si="30"/>
        <v>618</v>
      </c>
      <c r="Y115" s="859">
        <f t="shared" si="31"/>
        <v>108</v>
      </c>
      <c r="Z115" s="860">
        <v>5</v>
      </c>
      <c r="AA115" s="855">
        <v>2550</v>
      </c>
      <c r="AB115" s="855">
        <v>17850</v>
      </c>
      <c r="AC115" s="855">
        <v>510</v>
      </c>
      <c r="AD115" s="859">
        <v>3570</v>
      </c>
      <c r="AE115" s="861">
        <v>2</v>
      </c>
      <c r="AF115" s="855">
        <v>0</v>
      </c>
      <c r="AG115" s="855">
        <v>0</v>
      </c>
      <c r="AH115" s="855">
        <v>0</v>
      </c>
      <c r="AI115" s="855">
        <v>0</v>
      </c>
      <c r="AJ115" s="855">
        <v>10000</v>
      </c>
      <c r="AK115" s="862">
        <v>0</v>
      </c>
      <c r="AL115" s="863">
        <v>0</v>
      </c>
      <c r="AM115" s="854">
        <v>765</v>
      </c>
      <c r="AN115" s="855">
        <v>535</v>
      </c>
      <c r="AO115" s="855">
        <f t="shared" si="32"/>
        <v>926</v>
      </c>
      <c r="AP115" s="859">
        <f t="shared" si="33"/>
        <v>161</v>
      </c>
      <c r="AQ115" s="860">
        <v>5</v>
      </c>
      <c r="AR115" s="855">
        <v>3825</v>
      </c>
      <c r="AS115" s="855">
        <v>26775</v>
      </c>
      <c r="AT115" s="855">
        <v>765</v>
      </c>
      <c r="AU115" s="859">
        <v>5355</v>
      </c>
      <c r="AV115" s="861">
        <v>24</v>
      </c>
      <c r="AW115" s="855">
        <v>2120000</v>
      </c>
      <c r="AX115" s="855">
        <v>0</v>
      </c>
      <c r="AY115" s="855">
        <v>1</v>
      </c>
      <c r="AZ115" s="855">
        <v>0</v>
      </c>
      <c r="BA115" s="855">
        <v>10000</v>
      </c>
      <c r="BB115" s="862">
        <v>23.760348583877995</v>
      </c>
      <c r="BC115" s="863">
        <v>88333</v>
      </c>
      <c r="BD115" s="854">
        <v>889</v>
      </c>
      <c r="BE115" s="855">
        <v>622</v>
      </c>
      <c r="BF115" s="855">
        <f t="shared" si="34"/>
        <v>1077</v>
      </c>
      <c r="BG115" s="859">
        <f t="shared" si="35"/>
        <v>188</v>
      </c>
      <c r="BH115" s="860">
        <v>5</v>
      </c>
      <c r="BI115" s="855">
        <v>4445</v>
      </c>
      <c r="BJ115" s="855">
        <v>31115</v>
      </c>
      <c r="BK115" s="855">
        <v>889</v>
      </c>
      <c r="BL115" s="859">
        <v>6223</v>
      </c>
      <c r="BM115" s="861">
        <v>56</v>
      </c>
      <c r="BN115" s="855">
        <v>3180000</v>
      </c>
      <c r="BO115" s="855">
        <v>0</v>
      </c>
      <c r="BP115" s="855">
        <v>3</v>
      </c>
      <c r="BQ115" s="855">
        <v>0</v>
      </c>
      <c r="BR115" s="855">
        <v>10000</v>
      </c>
      <c r="BS115" s="862">
        <v>31.816647919010123</v>
      </c>
      <c r="BT115" s="863">
        <v>56785</v>
      </c>
      <c r="BU115" s="854">
        <v>969</v>
      </c>
      <c r="BV115" s="855">
        <v>678</v>
      </c>
      <c r="BW115" s="855">
        <f t="shared" si="36"/>
        <v>1174</v>
      </c>
      <c r="BX115" s="859">
        <f t="shared" si="37"/>
        <v>205</v>
      </c>
      <c r="BY115" s="860">
        <v>5</v>
      </c>
      <c r="BZ115" s="855">
        <v>4845</v>
      </c>
      <c r="CA115" s="855">
        <v>33915</v>
      </c>
      <c r="CB115" s="855">
        <v>969</v>
      </c>
      <c r="CC115" s="859">
        <v>6783</v>
      </c>
      <c r="CD115" s="861">
        <v>102</v>
      </c>
      <c r="CE115" s="855">
        <v>4240000</v>
      </c>
      <c r="CF115" s="855">
        <v>0</v>
      </c>
      <c r="CG115" s="855">
        <v>5</v>
      </c>
      <c r="CH115" s="855">
        <v>0</v>
      </c>
      <c r="CI115" s="855">
        <v>10000</v>
      </c>
      <c r="CJ115" s="862">
        <v>40.362831097351226</v>
      </c>
      <c r="CK115" s="863">
        <v>41568</v>
      </c>
      <c r="CL115" s="854">
        <v>1020</v>
      </c>
      <c r="CM115" s="855">
        <v>714</v>
      </c>
      <c r="CN115" s="855">
        <f t="shared" si="38"/>
        <v>1237</v>
      </c>
      <c r="CO115" s="859">
        <f t="shared" si="39"/>
        <v>217</v>
      </c>
      <c r="CP115" s="860">
        <v>5</v>
      </c>
      <c r="CQ115" s="855">
        <v>5100</v>
      </c>
      <c r="CR115" s="855">
        <v>35700</v>
      </c>
      <c r="CS115" s="855">
        <v>1020</v>
      </c>
      <c r="CT115" s="859">
        <v>7140</v>
      </c>
      <c r="CU115" s="861">
        <v>192</v>
      </c>
      <c r="CV115" s="855">
        <v>5300000</v>
      </c>
      <c r="CW115" s="855">
        <v>0</v>
      </c>
      <c r="CX115" s="855">
        <v>10</v>
      </c>
      <c r="CY115" s="855">
        <v>0</v>
      </c>
      <c r="CZ115" s="855">
        <v>10000</v>
      </c>
      <c r="DA115" s="862">
        <v>50.900653594771235</v>
      </c>
      <c r="DB115" s="863">
        <v>27604</v>
      </c>
      <c r="DC115" s="864">
        <v>376</v>
      </c>
      <c r="DD115" s="855">
        <v>14840000</v>
      </c>
      <c r="DE115" s="865">
        <v>0</v>
      </c>
      <c r="DF115" s="865">
        <v>19</v>
      </c>
      <c r="DG115" s="865">
        <v>0</v>
      </c>
      <c r="DH115" s="855">
        <v>50000</v>
      </c>
      <c r="DI115" s="862">
        <v>121.24183006535948</v>
      </c>
      <c r="DJ115" s="863">
        <v>39468.085106382976</v>
      </c>
      <c r="DK115" s="866">
        <v>103</v>
      </c>
      <c r="DL115" s="867" t="s">
        <v>43</v>
      </c>
      <c r="DM115" s="868">
        <v>10000</v>
      </c>
      <c r="DN115" s="869">
        <v>110000</v>
      </c>
      <c r="DO115" s="870">
        <v>220000</v>
      </c>
      <c r="DP115" s="870">
        <v>440000</v>
      </c>
      <c r="DQ115" s="870">
        <v>880000</v>
      </c>
      <c r="DR115" s="870"/>
      <c r="DS115" s="870"/>
      <c r="DT115" s="870"/>
      <c r="DU115" s="870"/>
      <c r="DV115" s="870"/>
      <c r="DW115" s="870"/>
      <c r="DX115" s="871"/>
      <c r="DY115" s="872" t="s">
        <v>43</v>
      </c>
      <c r="DZ115" s="873"/>
      <c r="EA115" s="852"/>
      <c r="EB115" s="852"/>
      <c r="EC115" s="874"/>
      <c r="ED115" s="875"/>
      <c r="EE115" s="855"/>
      <c r="EF115" s="855"/>
      <c r="EG115" s="855"/>
      <c r="EH115" s="859"/>
      <c r="EI115" s="876"/>
      <c r="EJ115" s="877"/>
    </row>
    <row r="116" spans="2:140">
      <c r="B116" s="1124" t="s">
        <v>178</v>
      </c>
      <c r="C116" s="841" t="s">
        <v>77</v>
      </c>
      <c r="D116" s="842"/>
      <c r="E116" s="843" t="s">
        <v>43</v>
      </c>
      <c r="F116" s="844" t="s">
        <v>43</v>
      </c>
      <c r="G116" s="845"/>
      <c r="H116" s="846">
        <v>6</v>
      </c>
      <c r="I116" s="847" t="s">
        <v>270</v>
      </c>
      <c r="J116" s="848">
        <v>7</v>
      </c>
      <c r="K116" s="849">
        <v>0.2</v>
      </c>
      <c r="L116" s="850">
        <v>1.4246575342465753</v>
      </c>
      <c r="M116" s="851">
        <v>30</v>
      </c>
      <c r="N116" s="844">
        <v>6015</v>
      </c>
      <c r="O116" s="878">
        <v>42301</v>
      </c>
      <c r="P116" s="853" t="s">
        <v>98</v>
      </c>
      <c r="Q116" s="854">
        <v>520</v>
      </c>
      <c r="R116" s="855">
        <v>365</v>
      </c>
      <c r="S116" s="856">
        <v>18200</v>
      </c>
      <c r="T116" s="857" t="s">
        <v>458</v>
      </c>
      <c r="U116" s="858" t="s">
        <v>685</v>
      </c>
      <c r="V116" s="854">
        <v>520</v>
      </c>
      <c r="W116" s="855">
        <v>365</v>
      </c>
      <c r="X116" s="855">
        <f t="shared" si="30"/>
        <v>632</v>
      </c>
      <c r="Y116" s="859">
        <f t="shared" si="31"/>
        <v>112</v>
      </c>
      <c r="Z116" s="860">
        <v>5</v>
      </c>
      <c r="AA116" s="855">
        <v>2600</v>
      </c>
      <c r="AB116" s="855">
        <v>18200</v>
      </c>
      <c r="AC116" s="855">
        <v>520</v>
      </c>
      <c r="AD116" s="859">
        <v>3640</v>
      </c>
      <c r="AE116" s="861">
        <v>2</v>
      </c>
      <c r="AF116" s="855">
        <v>0</v>
      </c>
      <c r="AG116" s="855">
        <v>0</v>
      </c>
      <c r="AH116" s="855">
        <v>0</v>
      </c>
      <c r="AI116" s="855">
        <v>0</v>
      </c>
      <c r="AJ116" s="855">
        <v>10000</v>
      </c>
      <c r="AK116" s="862">
        <v>0</v>
      </c>
      <c r="AL116" s="863">
        <v>0</v>
      </c>
      <c r="AM116" s="854">
        <v>780</v>
      </c>
      <c r="AN116" s="855">
        <v>548</v>
      </c>
      <c r="AO116" s="855">
        <f t="shared" si="32"/>
        <v>949</v>
      </c>
      <c r="AP116" s="859">
        <f t="shared" si="33"/>
        <v>169</v>
      </c>
      <c r="AQ116" s="860">
        <v>5</v>
      </c>
      <c r="AR116" s="855">
        <v>3900</v>
      </c>
      <c r="AS116" s="855">
        <v>27300</v>
      </c>
      <c r="AT116" s="855">
        <v>780</v>
      </c>
      <c r="AU116" s="859">
        <v>5460</v>
      </c>
      <c r="AV116" s="861">
        <v>24</v>
      </c>
      <c r="AW116" s="855">
        <v>2160000</v>
      </c>
      <c r="AX116" s="855">
        <v>0</v>
      </c>
      <c r="AY116" s="855">
        <v>1</v>
      </c>
      <c r="AZ116" s="855">
        <v>0</v>
      </c>
      <c r="BA116" s="855">
        <v>10000</v>
      </c>
      <c r="BB116" s="862">
        <v>23.743589743589741</v>
      </c>
      <c r="BC116" s="863">
        <v>90000</v>
      </c>
      <c r="BD116" s="854">
        <v>908</v>
      </c>
      <c r="BE116" s="855">
        <v>637</v>
      </c>
      <c r="BF116" s="855">
        <f t="shared" si="34"/>
        <v>1103</v>
      </c>
      <c r="BG116" s="859">
        <f t="shared" si="35"/>
        <v>195</v>
      </c>
      <c r="BH116" s="860">
        <v>5</v>
      </c>
      <c r="BI116" s="855">
        <v>4540</v>
      </c>
      <c r="BJ116" s="855">
        <v>31780</v>
      </c>
      <c r="BK116" s="855">
        <v>908</v>
      </c>
      <c r="BL116" s="859">
        <v>6356</v>
      </c>
      <c r="BM116" s="861">
        <v>56</v>
      </c>
      <c r="BN116" s="855">
        <v>3240000</v>
      </c>
      <c r="BO116" s="855">
        <v>0</v>
      </c>
      <c r="BP116" s="855">
        <v>3</v>
      </c>
      <c r="BQ116" s="855">
        <v>0</v>
      </c>
      <c r="BR116" s="855">
        <v>10000</v>
      </c>
      <c r="BS116" s="862">
        <v>31.740088105726873</v>
      </c>
      <c r="BT116" s="863">
        <v>57857</v>
      </c>
      <c r="BU116" s="854">
        <v>988</v>
      </c>
      <c r="BV116" s="855">
        <v>694</v>
      </c>
      <c r="BW116" s="855">
        <f t="shared" si="36"/>
        <v>1202</v>
      </c>
      <c r="BX116" s="859">
        <f t="shared" si="37"/>
        <v>214</v>
      </c>
      <c r="BY116" s="860">
        <v>5</v>
      </c>
      <c r="BZ116" s="855">
        <v>4940</v>
      </c>
      <c r="CA116" s="855">
        <v>34580</v>
      </c>
      <c r="CB116" s="855">
        <v>988</v>
      </c>
      <c r="CC116" s="859">
        <v>6916</v>
      </c>
      <c r="CD116" s="861">
        <v>102</v>
      </c>
      <c r="CE116" s="855">
        <v>4320000</v>
      </c>
      <c r="CF116" s="855">
        <v>0</v>
      </c>
      <c r="CG116" s="855">
        <v>5</v>
      </c>
      <c r="CH116" s="855">
        <v>0</v>
      </c>
      <c r="CI116" s="855">
        <v>10000</v>
      </c>
      <c r="CJ116" s="862">
        <v>40.343117408906885</v>
      </c>
      <c r="CK116" s="863">
        <v>42352</v>
      </c>
      <c r="CL116" s="854">
        <v>1040</v>
      </c>
      <c r="CM116" s="855">
        <v>730</v>
      </c>
      <c r="CN116" s="855">
        <f t="shared" si="38"/>
        <v>1264</v>
      </c>
      <c r="CO116" s="859">
        <f t="shared" si="39"/>
        <v>224</v>
      </c>
      <c r="CP116" s="860">
        <v>5</v>
      </c>
      <c r="CQ116" s="855">
        <v>5200</v>
      </c>
      <c r="CR116" s="855">
        <v>36400</v>
      </c>
      <c r="CS116" s="855">
        <v>1040</v>
      </c>
      <c r="CT116" s="859">
        <v>7280</v>
      </c>
      <c r="CU116" s="861">
        <v>192</v>
      </c>
      <c r="CV116" s="855">
        <v>5400000</v>
      </c>
      <c r="CW116" s="855">
        <v>0</v>
      </c>
      <c r="CX116" s="855">
        <v>10</v>
      </c>
      <c r="CY116" s="855">
        <v>0</v>
      </c>
      <c r="CZ116" s="855">
        <v>10000</v>
      </c>
      <c r="DA116" s="862">
        <v>50.869230769230768</v>
      </c>
      <c r="DB116" s="863">
        <v>28125</v>
      </c>
      <c r="DC116" s="864">
        <v>376</v>
      </c>
      <c r="DD116" s="855">
        <v>15120000</v>
      </c>
      <c r="DE116" s="865">
        <v>0</v>
      </c>
      <c r="DF116" s="865">
        <v>19</v>
      </c>
      <c r="DG116" s="865">
        <v>0</v>
      </c>
      <c r="DH116" s="855">
        <v>50000</v>
      </c>
      <c r="DI116" s="862">
        <v>121.15384615384615</v>
      </c>
      <c r="DJ116" s="863">
        <v>40212.765957446805</v>
      </c>
      <c r="DK116" s="866">
        <v>103</v>
      </c>
      <c r="DL116" s="867" t="s">
        <v>43</v>
      </c>
      <c r="DM116" s="868">
        <v>10000</v>
      </c>
      <c r="DN116" s="869">
        <v>110000</v>
      </c>
      <c r="DO116" s="870">
        <v>220000</v>
      </c>
      <c r="DP116" s="870">
        <v>440000</v>
      </c>
      <c r="DQ116" s="870">
        <v>880000</v>
      </c>
      <c r="DR116" s="870"/>
      <c r="DS116" s="870"/>
      <c r="DT116" s="870"/>
      <c r="DU116" s="870"/>
      <c r="DV116" s="870"/>
      <c r="DW116" s="870"/>
      <c r="DX116" s="871"/>
      <c r="DY116" s="872" t="s">
        <v>43</v>
      </c>
      <c r="DZ116" s="873"/>
      <c r="EA116" s="852"/>
      <c r="EB116" s="852"/>
      <c r="EC116" s="874"/>
      <c r="ED116" s="875"/>
      <c r="EE116" s="855"/>
      <c r="EF116" s="855"/>
      <c r="EG116" s="855"/>
      <c r="EH116" s="859"/>
      <c r="EI116" s="876"/>
      <c r="EJ116" s="877"/>
    </row>
    <row r="117" spans="2:140">
      <c r="B117" s="1124" t="s">
        <v>205</v>
      </c>
      <c r="C117" s="841" t="s">
        <v>77</v>
      </c>
      <c r="D117" s="842"/>
      <c r="E117" s="843" t="s">
        <v>43</v>
      </c>
      <c r="F117" s="844"/>
      <c r="G117" s="845"/>
      <c r="H117" s="846">
        <v>6</v>
      </c>
      <c r="I117" s="847" t="s">
        <v>270</v>
      </c>
      <c r="J117" s="848">
        <v>7</v>
      </c>
      <c r="K117" s="849">
        <v>0.2</v>
      </c>
      <c r="L117" s="850">
        <v>1.44</v>
      </c>
      <c r="M117" s="851">
        <v>30</v>
      </c>
      <c r="N117" s="844">
        <v>6020</v>
      </c>
      <c r="O117" s="878">
        <v>42336</v>
      </c>
      <c r="P117" s="853" t="s">
        <v>206</v>
      </c>
      <c r="Q117" s="854">
        <v>1080</v>
      </c>
      <c r="R117" s="855">
        <v>750</v>
      </c>
      <c r="S117" s="856">
        <v>45360</v>
      </c>
      <c r="T117" s="857" t="s">
        <v>459</v>
      </c>
      <c r="U117" s="858" t="s">
        <v>687</v>
      </c>
      <c r="V117" s="854">
        <v>360</v>
      </c>
      <c r="W117" s="855">
        <v>250</v>
      </c>
      <c r="X117" s="855">
        <f t="shared" si="30"/>
        <v>433</v>
      </c>
      <c r="Y117" s="859">
        <f t="shared" si="31"/>
        <v>73</v>
      </c>
      <c r="Z117" s="860">
        <v>5</v>
      </c>
      <c r="AA117" s="855">
        <v>1800</v>
      </c>
      <c r="AB117" s="855">
        <v>12600</v>
      </c>
      <c r="AC117" s="855">
        <v>360</v>
      </c>
      <c r="AD117" s="859">
        <v>2520</v>
      </c>
      <c r="AE117" s="861">
        <v>2.5</v>
      </c>
      <c r="AF117" s="855">
        <v>0</v>
      </c>
      <c r="AG117" s="855">
        <v>0</v>
      </c>
      <c r="AH117" s="855">
        <v>0</v>
      </c>
      <c r="AI117" s="855">
        <v>0</v>
      </c>
      <c r="AJ117" s="855">
        <v>10000</v>
      </c>
      <c r="AK117" s="862">
        <v>0</v>
      </c>
      <c r="AL117" s="863">
        <v>0</v>
      </c>
      <c r="AM117" s="854">
        <v>450</v>
      </c>
      <c r="AN117" s="855">
        <v>313</v>
      </c>
      <c r="AO117" s="855">
        <f t="shared" si="32"/>
        <v>542</v>
      </c>
      <c r="AP117" s="859">
        <f t="shared" si="33"/>
        <v>92</v>
      </c>
      <c r="AQ117" s="860">
        <v>5</v>
      </c>
      <c r="AR117" s="855">
        <v>2250</v>
      </c>
      <c r="AS117" s="855">
        <v>15750</v>
      </c>
      <c r="AT117" s="855">
        <v>450</v>
      </c>
      <c r="AU117" s="859">
        <v>3150</v>
      </c>
      <c r="AV117" s="861">
        <v>32</v>
      </c>
      <c r="AW117" s="855">
        <v>2200000</v>
      </c>
      <c r="AX117" s="855">
        <v>0</v>
      </c>
      <c r="AY117" s="855">
        <v>2</v>
      </c>
      <c r="AZ117" s="855">
        <v>0</v>
      </c>
      <c r="BA117" s="855">
        <v>10000</v>
      </c>
      <c r="BB117" s="862">
        <v>41.807407407407403</v>
      </c>
      <c r="BC117" s="863">
        <v>68750</v>
      </c>
      <c r="BD117" s="854">
        <v>540</v>
      </c>
      <c r="BE117" s="855">
        <v>375</v>
      </c>
      <c r="BF117" s="855">
        <f t="shared" si="34"/>
        <v>649</v>
      </c>
      <c r="BG117" s="859">
        <f t="shared" si="35"/>
        <v>109</v>
      </c>
      <c r="BH117" s="860">
        <v>5</v>
      </c>
      <c r="BI117" s="855">
        <v>2700</v>
      </c>
      <c r="BJ117" s="855">
        <v>18900</v>
      </c>
      <c r="BK117" s="855">
        <v>540</v>
      </c>
      <c r="BL117" s="859">
        <v>3780</v>
      </c>
      <c r="BM117" s="861">
        <v>72</v>
      </c>
      <c r="BN117" s="855">
        <v>3300000</v>
      </c>
      <c r="BO117" s="855">
        <v>0</v>
      </c>
      <c r="BP117" s="855">
        <v>4</v>
      </c>
      <c r="BQ117" s="855">
        <v>0</v>
      </c>
      <c r="BR117" s="855">
        <v>10000</v>
      </c>
      <c r="BS117" s="862">
        <v>53.425925925925924</v>
      </c>
      <c r="BT117" s="863">
        <v>45833</v>
      </c>
      <c r="BU117" s="854">
        <v>720</v>
      </c>
      <c r="BV117" s="855">
        <v>500</v>
      </c>
      <c r="BW117" s="855">
        <f t="shared" si="36"/>
        <v>866</v>
      </c>
      <c r="BX117" s="859">
        <f t="shared" si="37"/>
        <v>146</v>
      </c>
      <c r="BY117" s="860">
        <v>5</v>
      </c>
      <c r="BZ117" s="855">
        <v>3600</v>
      </c>
      <c r="CA117" s="855">
        <v>25200</v>
      </c>
      <c r="CB117" s="855">
        <v>720</v>
      </c>
      <c r="CC117" s="859">
        <v>5040</v>
      </c>
      <c r="CD117" s="861">
        <v>120</v>
      </c>
      <c r="CE117" s="855">
        <v>4400000</v>
      </c>
      <c r="CF117" s="855">
        <v>0</v>
      </c>
      <c r="CG117" s="855">
        <v>6</v>
      </c>
      <c r="CH117" s="855">
        <v>0</v>
      </c>
      <c r="CI117" s="855">
        <v>10000</v>
      </c>
      <c r="CJ117" s="862">
        <v>54.675925925925924</v>
      </c>
      <c r="CK117" s="863">
        <v>36666</v>
      </c>
      <c r="CL117" s="854">
        <v>1080</v>
      </c>
      <c r="CM117" s="855">
        <v>750</v>
      </c>
      <c r="CN117" s="855">
        <f t="shared" si="38"/>
        <v>1299</v>
      </c>
      <c r="CO117" s="859">
        <f t="shared" si="39"/>
        <v>219</v>
      </c>
      <c r="CP117" s="860">
        <v>6</v>
      </c>
      <c r="CQ117" s="855">
        <v>6480</v>
      </c>
      <c r="CR117" s="855">
        <v>45360</v>
      </c>
      <c r="CS117" s="855">
        <v>1296</v>
      </c>
      <c r="CT117" s="859">
        <v>9072</v>
      </c>
      <c r="CU117" s="861">
        <v>216</v>
      </c>
      <c r="CV117" s="855">
        <v>5500000</v>
      </c>
      <c r="CW117" s="855">
        <v>0</v>
      </c>
      <c r="CX117" s="855">
        <v>12</v>
      </c>
      <c r="CY117" s="855">
        <v>0</v>
      </c>
      <c r="CZ117" s="987">
        <v>10000</v>
      </c>
      <c r="DA117" s="862">
        <v>40.365226337448561</v>
      </c>
      <c r="DB117" s="863">
        <v>25462</v>
      </c>
      <c r="DC117" s="864">
        <v>442.5</v>
      </c>
      <c r="DD117" s="855">
        <v>15400000</v>
      </c>
      <c r="DE117" s="865">
        <v>0</v>
      </c>
      <c r="DF117" s="865">
        <v>24</v>
      </c>
      <c r="DG117" s="865">
        <v>0</v>
      </c>
      <c r="DH117" s="987">
        <v>50000</v>
      </c>
      <c r="DI117" s="862">
        <v>99.022633744855966</v>
      </c>
      <c r="DJ117" s="863">
        <v>34802.259887005646</v>
      </c>
      <c r="DK117" s="866"/>
      <c r="DL117" s="867"/>
      <c r="DM117" s="868">
        <v>10000</v>
      </c>
      <c r="DN117" s="869">
        <v>200000</v>
      </c>
      <c r="DO117" s="870">
        <v>400000</v>
      </c>
      <c r="DP117" s="870">
        <v>800000</v>
      </c>
      <c r="DQ117" s="870"/>
      <c r="DR117" s="870"/>
      <c r="DS117" s="870"/>
      <c r="DT117" s="870"/>
      <c r="DU117" s="870"/>
      <c r="DV117" s="870"/>
      <c r="DW117" s="870"/>
      <c r="DX117" s="871"/>
      <c r="DY117" s="872" t="s">
        <v>43</v>
      </c>
      <c r="DZ117" s="873"/>
      <c r="EA117" s="852"/>
      <c r="EB117" s="852"/>
      <c r="EC117" s="874"/>
      <c r="ED117" s="875"/>
      <c r="EE117" s="855"/>
      <c r="EF117" s="855"/>
      <c r="EG117" s="855"/>
      <c r="EH117" s="859"/>
      <c r="EI117" s="876"/>
      <c r="EJ117" s="877"/>
    </row>
    <row r="118" spans="2:140">
      <c r="B118" s="1124" t="s">
        <v>232</v>
      </c>
      <c r="C118" s="841" t="s">
        <v>77</v>
      </c>
      <c r="D118" s="842"/>
      <c r="E118" s="843" t="s">
        <v>43</v>
      </c>
      <c r="F118" s="844" t="s">
        <v>43</v>
      </c>
      <c r="G118" s="845"/>
      <c r="H118" s="846">
        <v>6</v>
      </c>
      <c r="I118" s="847" t="s">
        <v>270</v>
      </c>
      <c r="J118" s="848">
        <v>7</v>
      </c>
      <c r="K118" s="849">
        <v>0.2</v>
      </c>
      <c r="L118" s="850">
        <v>1.4419525065963061</v>
      </c>
      <c r="M118" s="851">
        <v>30</v>
      </c>
      <c r="N118" s="844">
        <v>6024</v>
      </c>
      <c r="O118" s="878">
        <v>42363</v>
      </c>
      <c r="P118" s="853" t="s">
        <v>206</v>
      </c>
      <c r="Q118" s="854">
        <v>1093</v>
      </c>
      <c r="R118" s="855">
        <v>758</v>
      </c>
      <c r="S118" s="856">
        <v>45906</v>
      </c>
      <c r="T118" s="857" t="s">
        <v>460</v>
      </c>
      <c r="U118" s="858" t="s">
        <v>524</v>
      </c>
      <c r="V118" s="854">
        <v>365</v>
      </c>
      <c r="W118" s="855">
        <v>253</v>
      </c>
      <c r="X118" s="855">
        <f t="shared" si="30"/>
        <v>438</v>
      </c>
      <c r="Y118" s="859">
        <f t="shared" si="31"/>
        <v>73</v>
      </c>
      <c r="Z118" s="860">
        <v>6</v>
      </c>
      <c r="AA118" s="855">
        <v>2190</v>
      </c>
      <c r="AB118" s="855">
        <v>15330</v>
      </c>
      <c r="AC118" s="855">
        <v>438</v>
      </c>
      <c r="AD118" s="859">
        <v>3066</v>
      </c>
      <c r="AE118" s="861">
        <v>3</v>
      </c>
      <c r="AF118" s="855">
        <v>0</v>
      </c>
      <c r="AG118" s="855">
        <v>0</v>
      </c>
      <c r="AH118" s="855">
        <v>0</v>
      </c>
      <c r="AI118" s="855">
        <v>0</v>
      </c>
      <c r="AJ118" s="855">
        <v>10000</v>
      </c>
      <c r="AK118" s="862">
        <v>0</v>
      </c>
      <c r="AL118" s="863">
        <v>0</v>
      </c>
      <c r="AM118" s="854">
        <v>456</v>
      </c>
      <c r="AN118" s="855">
        <v>316</v>
      </c>
      <c r="AO118" s="855">
        <f t="shared" si="32"/>
        <v>547</v>
      </c>
      <c r="AP118" s="859">
        <f t="shared" si="33"/>
        <v>91</v>
      </c>
      <c r="AQ118" s="860">
        <v>6</v>
      </c>
      <c r="AR118" s="855">
        <v>2736</v>
      </c>
      <c r="AS118" s="855">
        <v>19152</v>
      </c>
      <c r="AT118" s="855">
        <v>547</v>
      </c>
      <c r="AU118" s="859">
        <v>3830</v>
      </c>
      <c r="AV118" s="861">
        <v>36</v>
      </c>
      <c r="AW118" s="855">
        <v>2280000</v>
      </c>
      <c r="AX118" s="855">
        <v>0</v>
      </c>
      <c r="AY118" s="855">
        <v>3</v>
      </c>
      <c r="AZ118" s="855">
        <v>0</v>
      </c>
      <c r="BA118" s="855">
        <v>10000</v>
      </c>
      <c r="BB118" s="862">
        <v>35.922880116959064</v>
      </c>
      <c r="BC118" s="863">
        <v>63333</v>
      </c>
      <c r="BD118" s="854">
        <v>547</v>
      </c>
      <c r="BE118" s="855">
        <v>379</v>
      </c>
      <c r="BF118" s="855">
        <f t="shared" si="34"/>
        <v>656</v>
      </c>
      <c r="BG118" s="859">
        <f t="shared" si="35"/>
        <v>109</v>
      </c>
      <c r="BH118" s="860">
        <v>6</v>
      </c>
      <c r="BI118" s="855">
        <v>3282</v>
      </c>
      <c r="BJ118" s="855">
        <v>22974</v>
      </c>
      <c r="BK118" s="855">
        <v>656</v>
      </c>
      <c r="BL118" s="859">
        <v>4594</v>
      </c>
      <c r="BM118" s="861">
        <v>96</v>
      </c>
      <c r="BN118" s="855">
        <v>3420000</v>
      </c>
      <c r="BO118" s="855">
        <v>0</v>
      </c>
      <c r="BP118" s="855">
        <v>5</v>
      </c>
      <c r="BQ118" s="855">
        <v>0</v>
      </c>
      <c r="BR118" s="855">
        <v>10000</v>
      </c>
      <c r="BS118" s="862">
        <v>46.75319926873857</v>
      </c>
      <c r="BT118" s="863">
        <v>35625</v>
      </c>
      <c r="BU118" s="854">
        <v>729</v>
      </c>
      <c r="BV118" s="855">
        <v>506</v>
      </c>
      <c r="BW118" s="855">
        <f t="shared" si="36"/>
        <v>876</v>
      </c>
      <c r="BX118" s="859">
        <f t="shared" si="37"/>
        <v>147</v>
      </c>
      <c r="BY118" s="860">
        <v>6</v>
      </c>
      <c r="BZ118" s="855">
        <v>4374</v>
      </c>
      <c r="CA118" s="855">
        <v>30618</v>
      </c>
      <c r="CB118" s="855">
        <v>874</v>
      </c>
      <c r="CC118" s="859">
        <v>6123</v>
      </c>
      <c r="CD118" s="861">
        <v>144</v>
      </c>
      <c r="CE118" s="855">
        <v>4560000</v>
      </c>
      <c r="CF118" s="855">
        <v>0</v>
      </c>
      <c r="CG118" s="855">
        <v>8</v>
      </c>
      <c r="CH118" s="855">
        <v>0</v>
      </c>
      <c r="CI118" s="855">
        <v>10000</v>
      </c>
      <c r="CJ118" s="862">
        <v>47.940557841792412</v>
      </c>
      <c r="CK118" s="863">
        <v>31666</v>
      </c>
      <c r="CL118" s="854">
        <v>1093</v>
      </c>
      <c r="CM118" s="855">
        <v>758</v>
      </c>
      <c r="CN118" s="855">
        <f t="shared" si="38"/>
        <v>1313</v>
      </c>
      <c r="CO118" s="859">
        <f t="shared" si="39"/>
        <v>220</v>
      </c>
      <c r="CP118" s="860">
        <v>6</v>
      </c>
      <c r="CQ118" s="855">
        <v>6558</v>
      </c>
      <c r="CR118" s="855">
        <v>45906</v>
      </c>
      <c r="CS118" s="855">
        <v>1311</v>
      </c>
      <c r="CT118" s="859">
        <v>9181</v>
      </c>
      <c r="CU118" s="861">
        <v>216</v>
      </c>
      <c r="CV118" s="855">
        <v>5700000</v>
      </c>
      <c r="CW118" s="855">
        <v>0</v>
      </c>
      <c r="CX118" s="855">
        <v>10</v>
      </c>
      <c r="CY118" s="855">
        <v>0</v>
      </c>
      <c r="CZ118" s="855">
        <v>10000</v>
      </c>
      <c r="DA118" s="862">
        <v>42.218054284842943</v>
      </c>
      <c r="DB118" s="863">
        <v>26388</v>
      </c>
      <c r="DC118" s="864">
        <v>495</v>
      </c>
      <c r="DD118" s="855">
        <v>15960000</v>
      </c>
      <c r="DE118" s="865">
        <v>0</v>
      </c>
      <c r="DF118" s="865">
        <v>26</v>
      </c>
      <c r="DG118" s="865">
        <v>0</v>
      </c>
      <c r="DH118" s="855">
        <v>50000</v>
      </c>
      <c r="DI118" s="862">
        <v>101.40286672766086</v>
      </c>
      <c r="DJ118" s="863">
        <v>32242.424242424244</v>
      </c>
      <c r="DK118" s="866">
        <v>135</v>
      </c>
      <c r="DL118" s="867" t="s">
        <v>43</v>
      </c>
      <c r="DM118" s="868">
        <v>10000</v>
      </c>
      <c r="DN118" s="869">
        <v>250000</v>
      </c>
      <c r="DO118" s="870">
        <v>500000</v>
      </c>
      <c r="DP118" s="870">
        <v>1000000</v>
      </c>
      <c r="DQ118" s="870"/>
      <c r="DR118" s="870"/>
      <c r="DS118" s="870"/>
      <c r="DT118" s="870"/>
      <c r="DU118" s="870"/>
      <c r="DV118" s="870"/>
      <c r="DW118" s="870"/>
      <c r="DX118" s="871"/>
      <c r="DY118" s="872" t="s">
        <v>43</v>
      </c>
      <c r="DZ118" s="873"/>
      <c r="EA118" s="852"/>
      <c r="EB118" s="852"/>
      <c r="EC118" s="874"/>
      <c r="ED118" s="875"/>
      <c r="EE118" s="855"/>
      <c r="EF118" s="855"/>
      <c r="EG118" s="855"/>
      <c r="EH118" s="859"/>
      <c r="EI118" s="876"/>
      <c r="EJ118" s="877"/>
    </row>
    <row r="119" spans="2:140">
      <c r="B119" s="1124" t="s">
        <v>240</v>
      </c>
      <c r="C119" s="841" t="s">
        <v>77</v>
      </c>
      <c r="D119" s="842"/>
      <c r="E119" s="843" t="s">
        <v>43</v>
      </c>
      <c r="F119" s="844"/>
      <c r="G119" s="845"/>
      <c r="H119" s="846">
        <v>6</v>
      </c>
      <c r="I119" s="847" t="s">
        <v>270</v>
      </c>
      <c r="J119" s="848">
        <v>7</v>
      </c>
      <c r="K119" s="996">
        <v>0.2</v>
      </c>
      <c r="L119" s="850">
        <v>1.2402088772845954</v>
      </c>
      <c r="M119" s="851">
        <v>30</v>
      </c>
      <c r="N119" s="844">
        <v>6028</v>
      </c>
      <c r="O119" s="878">
        <v>42367</v>
      </c>
      <c r="P119" s="853" t="s">
        <v>206</v>
      </c>
      <c r="Q119" s="854">
        <v>950</v>
      </c>
      <c r="R119" s="855">
        <v>766</v>
      </c>
      <c r="S119" s="856">
        <v>46550</v>
      </c>
      <c r="T119" s="857" t="s">
        <v>461</v>
      </c>
      <c r="U119" s="858" t="s">
        <v>522</v>
      </c>
      <c r="V119" s="854">
        <v>317</v>
      </c>
      <c r="W119" s="855">
        <v>256</v>
      </c>
      <c r="X119" s="855">
        <f t="shared" si="30"/>
        <v>443</v>
      </c>
      <c r="Y119" s="859">
        <f t="shared" si="31"/>
        <v>126</v>
      </c>
      <c r="Z119" s="860">
        <v>7</v>
      </c>
      <c r="AA119" s="855">
        <v>2219</v>
      </c>
      <c r="AB119" s="855">
        <v>15533</v>
      </c>
      <c r="AC119" s="987">
        <v>443</v>
      </c>
      <c r="AD119" s="989">
        <v>3106</v>
      </c>
      <c r="AE119" s="861">
        <v>3</v>
      </c>
      <c r="AF119" s="855">
        <v>0</v>
      </c>
      <c r="AG119" s="855">
        <v>0</v>
      </c>
      <c r="AH119" s="855">
        <v>0</v>
      </c>
      <c r="AI119" s="855">
        <v>0</v>
      </c>
      <c r="AJ119" s="987">
        <v>10000</v>
      </c>
      <c r="AK119" s="862">
        <v>0</v>
      </c>
      <c r="AL119" s="863">
        <v>0</v>
      </c>
      <c r="AM119" s="988">
        <v>396</v>
      </c>
      <c r="AN119" s="987">
        <v>320</v>
      </c>
      <c r="AO119" s="987">
        <f t="shared" si="32"/>
        <v>554</v>
      </c>
      <c r="AP119" s="989">
        <f t="shared" si="33"/>
        <v>158</v>
      </c>
      <c r="AQ119" s="860">
        <v>7</v>
      </c>
      <c r="AR119" s="987">
        <v>2772</v>
      </c>
      <c r="AS119" s="987">
        <v>19404</v>
      </c>
      <c r="AT119" s="987">
        <v>554</v>
      </c>
      <c r="AU119" s="989">
        <v>3880</v>
      </c>
      <c r="AV119" s="861"/>
      <c r="AW119" s="855"/>
      <c r="AX119" s="855"/>
      <c r="AY119" s="855"/>
      <c r="AZ119" s="855"/>
      <c r="BA119" s="987">
        <v>10000</v>
      </c>
      <c r="BB119" s="991">
        <v>0</v>
      </c>
      <c r="BC119" s="863">
        <v>0</v>
      </c>
      <c r="BD119" s="988">
        <v>475</v>
      </c>
      <c r="BE119" s="987">
        <v>383</v>
      </c>
      <c r="BF119" s="987">
        <f t="shared" si="34"/>
        <v>663</v>
      </c>
      <c r="BG119" s="989">
        <f t="shared" si="35"/>
        <v>188</v>
      </c>
      <c r="BH119" s="860">
        <v>7</v>
      </c>
      <c r="BI119" s="987">
        <v>3325</v>
      </c>
      <c r="BJ119" s="987">
        <v>23275</v>
      </c>
      <c r="BK119" s="987">
        <v>665</v>
      </c>
      <c r="BL119" s="989">
        <v>4655</v>
      </c>
      <c r="BM119" s="861"/>
      <c r="BN119" s="855"/>
      <c r="BO119" s="855"/>
      <c r="BP119" s="855"/>
      <c r="BQ119" s="855"/>
      <c r="BR119" s="987">
        <v>10000</v>
      </c>
      <c r="BS119" s="991">
        <v>0</v>
      </c>
      <c r="BT119" s="863">
        <v>0</v>
      </c>
      <c r="BU119" s="988">
        <v>634</v>
      </c>
      <c r="BV119" s="987">
        <v>511</v>
      </c>
      <c r="BW119" s="987">
        <f t="shared" si="36"/>
        <v>885</v>
      </c>
      <c r="BX119" s="989">
        <f t="shared" si="37"/>
        <v>251</v>
      </c>
      <c r="BY119" s="860">
        <v>7</v>
      </c>
      <c r="BZ119" s="987">
        <v>4438</v>
      </c>
      <c r="CA119" s="987">
        <v>31066</v>
      </c>
      <c r="CB119" s="987">
        <v>887</v>
      </c>
      <c r="CC119" s="989">
        <v>6213</v>
      </c>
      <c r="CD119" s="861"/>
      <c r="CE119" s="855"/>
      <c r="CF119" s="855"/>
      <c r="CG119" s="855"/>
      <c r="CH119" s="855"/>
      <c r="CI119" s="987">
        <v>10000</v>
      </c>
      <c r="CJ119" s="991">
        <v>0</v>
      </c>
      <c r="CK119" s="863">
        <v>0</v>
      </c>
      <c r="CL119" s="854">
        <v>950</v>
      </c>
      <c r="CM119" s="855">
        <v>766</v>
      </c>
      <c r="CN119" s="855">
        <f t="shared" si="38"/>
        <v>1327</v>
      </c>
      <c r="CO119" s="859">
        <f t="shared" si="39"/>
        <v>377</v>
      </c>
      <c r="CP119" s="860">
        <v>7</v>
      </c>
      <c r="CQ119" s="855">
        <v>6650</v>
      </c>
      <c r="CR119" s="855">
        <v>46550</v>
      </c>
      <c r="CS119" s="987">
        <v>1330</v>
      </c>
      <c r="CT119" s="989">
        <v>9310</v>
      </c>
      <c r="CU119" s="861"/>
      <c r="CV119" s="855"/>
      <c r="CW119" s="855"/>
      <c r="CX119" s="855"/>
      <c r="CY119" s="855"/>
      <c r="CZ119" s="987">
        <v>10000</v>
      </c>
      <c r="DA119" s="862">
        <v>0</v>
      </c>
      <c r="DB119" s="863">
        <v>0</v>
      </c>
      <c r="DC119" s="864"/>
      <c r="DD119" s="855"/>
      <c r="DE119" s="865"/>
      <c r="DF119" s="865"/>
      <c r="DG119" s="865"/>
      <c r="DH119" s="987">
        <v>50000</v>
      </c>
      <c r="DI119" s="991"/>
      <c r="DJ119" s="863"/>
      <c r="DK119" s="866"/>
      <c r="DL119" s="867"/>
      <c r="DM119" s="868">
        <v>10000</v>
      </c>
      <c r="DN119" s="869">
        <v>280000</v>
      </c>
      <c r="DO119" s="870">
        <v>560000</v>
      </c>
      <c r="DP119" s="870"/>
      <c r="DQ119" s="870"/>
      <c r="DR119" s="870"/>
      <c r="DS119" s="870"/>
      <c r="DT119" s="870"/>
      <c r="DU119" s="870"/>
      <c r="DV119" s="870"/>
      <c r="DW119" s="870"/>
      <c r="DX119" s="871"/>
      <c r="DY119" s="872" t="s">
        <v>43</v>
      </c>
      <c r="DZ119" s="873"/>
      <c r="EA119" s="852"/>
      <c r="EB119" s="852"/>
      <c r="EC119" s="874"/>
      <c r="ED119" s="875"/>
      <c r="EE119" s="855"/>
      <c r="EF119" s="855"/>
      <c r="EG119" s="855"/>
      <c r="EH119" s="859"/>
      <c r="EI119" s="876"/>
      <c r="EJ119" s="877"/>
    </row>
    <row r="120" spans="2:140">
      <c r="B120" s="1124" t="s">
        <v>244</v>
      </c>
      <c r="C120" s="841" t="s">
        <v>77</v>
      </c>
      <c r="D120" s="842"/>
      <c r="E120" s="843" t="s">
        <v>43</v>
      </c>
      <c r="F120" s="844"/>
      <c r="G120" s="845"/>
      <c r="H120" s="846">
        <v>6</v>
      </c>
      <c r="I120" s="847" t="s">
        <v>270</v>
      </c>
      <c r="J120" s="848">
        <v>7</v>
      </c>
      <c r="K120" s="996">
        <v>0.2</v>
      </c>
      <c r="L120" s="850">
        <v>1.2403100775193798</v>
      </c>
      <c r="M120" s="851">
        <v>30</v>
      </c>
      <c r="N120" s="844">
        <v>6033</v>
      </c>
      <c r="O120" s="878">
        <v>42372</v>
      </c>
      <c r="P120" s="853" t="s">
        <v>206</v>
      </c>
      <c r="Q120" s="854">
        <v>960</v>
      </c>
      <c r="R120" s="855">
        <v>774</v>
      </c>
      <c r="S120" s="856">
        <v>47040</v>
      </c>
      <c r="T120" s="857" t="s">
        <v>462</v>
      </c>
      <c r="U120" s="858" t="s">
        <v>520</v>
      </c>
      <c r="V120" s="854">
        <v>320</v>
      </c>
      <c r="W120" s="855">
        <v>258</v>
      </c>
      <c r="X120" s="855">
        <f t="shared" si="30"/>
        <v>446</v>
      </c>
      <c r="Y120" s="859">
        <f t="shared" si="31"/>
        <v>126</v>
      </c>
      <c r="Z120" s="860">
        <v>7</v>
      </c>
      <c r="AA120" s="855">
        <v>2240</v>
      </c>
      <c r="AB120" s="855">
        <v>15680</v>
      </c>
      <c r="AC120" s="987">
        <v>448</v>
      </c>
      <c r="AD120" s="989">
        <v>3136</v>
      </c>
      <c r="AE120" s="861">
        <v>3</v>
      </c>
      <c r="AF120" s="855">
        <v>0</v>
      </c>
      <c r="AG120" s="855">
        <v>0</v>
      </c>
      <c r="AH120" s="855">
        <v>0</v>
      </c>
      <c r="AI120" s="855">
        <v>0</v>
      </c>
      <c r="AJ120" s="987">
        <v>10000</v>
      </c>
      <c r="AK120" s="862">
        <v>0</v>
      </c>
      <c r="AL120" s="863">
        <v>0</v>
      </c>
      <c r="AM120" s="988">
        <v>400</v>
      </c>
      <c r="AN120" s="987">
        <v>323</v>
      </c>
      <c r="AO120" s="987">
        <f t="shared" si="32"/>
        <v>559</v>
      </c>
      <c r="AP120" s="989">
        <f t="shared" si="33"/>
        <v>159</v>
      </c>
      <c r="AQ120" s="860">
        <v>7</v>
      </c>
      <c r="AR120" s="987">
        <v>2800</v>
      </c>
      <c r="AS120" s="987">
        <v>19600</v>
      </c>
      <c r="AT120" s="987">
        <v>560</v>
      </c>
      <c r="AU120" s="989">
        <v>3920</v>
      </c>
      <c r="AV120" s="861"/>
      <c r="AW120" s="855"/>
      <c r="AX120" s="855"/>
      <c r="AY120" s="855"/>
      <c r="AZ120" s="855"/>
      <c r="BA120" s="987">
        <v>10000</v>
      </c>
      <c r="BB120" s="991">
        <v>0</v>
      </c>
      <c r="BC120" s="863">
        <v>0</v>
      </c>
      <c r="BD120" s="988">
        <v>480</v>
      </c>
      <c r="BE120" s="987">
        <v>387</v>
      </c>
      <c r="BF120" s="987">
        <f t="shared" si="34"/>
        <v>670</v>
      </c>
      <c r="BG120" s="989">
        <f t="shared" si="35"/>
        <v>190</v>
      </c>
      <c r="BH120" s="860">
        <v>7</v>
      </c>
      <c r="BI120" s="987">
        <v>3360</v>
      </c>
      <c r="BJ120" s="987">
        <v>23520</v>
      </c>
      <c r="BK120" s="987">
        <v>672</v>
      </c>
      <c r="BL120" s="989">
        <v>4704</v>
      </c>
      <c r="BM120" s="861"/>
      <c r="BN120" s="855"/>
      <c r="BO120" s="855"/>
      <c r="BP120" s="855"/>
      <c r="BQ120" s="855"/>
      <c r="BR120" s="987">
        <v>10000</v>
      </c>
      <c r="BS120" s="991">
        <v>0</v>
      </c>
      <c r="BT120" s="863">
        <v>0</v>
      </c>
      <c r="BU120" s="988">
        <v>640</v>
      </c>
      <c r="BV120" s="987">
        <v>516</v>
      </c>
      <c r="BW120" s="987">
        <f t="shared" si="36"/>
        <v>893</v>
      </c>
      <c r="BX120" s="989">
        <f t="shared" si="37"/>
        <v>253</v>
      </c>
      <c r="BY120" s="860">
        <v>7</v>
      </c>
      <c r="BZ120" s="987">
        <v>4480</v>
      </c>
      <c r="CA120" s="987">
        <v>31360</v>
      </c>
      <c r="CB120" s="987">
        <v>896</v>
      </c>
      <c r="CC120" s="989">
        <v>6272</v>
      </c>
      <c r="CD120" s="861"/>
      <c r="CE120" s="855"/>
      <c r="CF120" s="855"/>
      <c r="CG120" s="855"/>
      <c r="CH120" s="855"/>
      <c r="CI120" s="987">
        <v>10000</v>
      </c>
      <c r="CJ120" s="991">
        <v>0</v>
      </c>
      <c r="CK120" s="863">
        <v>0</v>
      </c>
      <c r="CL120" s="854">
        <v>960</v>
      </c>
      <c r="CM120" s="855">
        <v>774</v>
      </c>
      <c r="CN120" s="855">
        <f t="shared" si="38"/>
        <v>1340</v>
      </c>
      <c r="CO120" s="859">
        <f t="shared" si="39"/>
        <v>380</v>
      </c>
      <c r="CP120" s="860">
        <v>7</v>
      </c>
      <c r="CQ120" s="855">
        <v>6720</v>
      </c>
      <c r="CR120" s="855">
        <v>47040</v>
      </c>
      <c r="CS120" s="987">
        <v>1344</v>
      </c>
      <c r="CT120" s="989">
        <v>9408</v>
      </c>
      <c r="CU120" s="861"/>
      <c r="CV120" s="855"/>
      <c r="CW120" s="855"/>
      <c r="CX120" s="855"/>
      <c r="CY120" s="855"/>
      <c r="CZ120" s="987">
        <v>10000</v>
      </c>
      <c r="DA120" s="862">
        <v>0</v>
      </c>
      <c r="DB120" s="863">
        <v>0</v>
      </c>
      <c r="DC120" s="864"/>
      <c r="DD120" s="855"/>
      <c r="DE120" s="865"/>
      <c r="DF120" s="865"/>
      <c r="DG120" s="865"/>
      <c r="DH120" s="987">
        <v>50000</v>
      </c>
      <c r="DI120" s="991"/>
      <c r="DJ120" s="863"/>
      <c r="DK120" s="866"/>
      <c r="DL120" s="867"/>
      <c r="DM120" s="868">
        <v>10000</v>
      </c>
      <c r="DN120" s="869">
        <v>330000</v>
      </c>
      <c r="DO120" s="870">
        <v>660000</v>
      </c>
      <c r="DP120" s="870"/>
      <c r="DQ120" s="870"/>
      <c r="DR120" s="870"/>
      <c r="DS120" s="870"/>
      <c r="DT120" s="870"/>
      <c r="DU120" s="870"/>
      <c r="DV120" s="870"/>
      <c r="DW120" s="870"/>
      <c r="DX120" s="871"/>
      <c r="DY120" s="872" t="s">
        <v>43</v>
      </c>
      <c r="DZ120" s="873"/>
      <c r="EA120" s="852"/>
      <c r="EB120" s="852"/>
      <c r="EC120" s="874"/>
      <c r="ED120" s="875"/>
      <c r="EE120" s="855"/>
      <c r="EF120" s="855"/>
      <c r="EG120" s="855"/>
      <c r="EH120" s="859"/>
      <c r="EI120" s="876"/>
      <c r="EJ120" s="877"/>
    </row>
    <row r="121" spans="2:140">
      <c r="B121" s="1124" t="s">
        <v>252</v>
      </c>
      <c r="C121" s="841" t="s">
        <v>77</v>
      </c>
      <c r="D121" s="842"/>
      <c r="E121" s="843" t="s">
        <v>43</v>
      </c>
      <c r="F121" s="844"/>
      <c r="G121" s="845"/>
      <c r="H121" s="846">
        <v>6</v>
      </c>
      <c r="I121" s="847" t="s">
        <v>270</v>
      </c>
      <c r="J121" s="848">
        <v>7</v>
      </c>
      <c r="K121" s="996">
        <v>0.2</v>
      </c>
      <c r="L121" s="850">
        <v>1.2429667519181586</v>
      </c>
      <c r="M121" s="851">
        <v>30</v>
      </c>
      <c r="N121" s="844">
        <v>6037</v>
      </c>
      <c r="O121" s="878">
        <v>42379</v>
      </c>
      <c r="P121" s="853" t="s">
        <v>206</v>
      </c>
      <c r="Q121" s="854">
        <v>972</v>
      </c>
      <c r="R121" s="855">
        <v>782</v>
      </c>
      <c r="S121" s="856">
        <v>47628</v>
      </c>
      <c r="T121" s="857" t="s">
        <v>463</v>
      </c>
      <c r="U121" s="858" t="s">
        <v>689</v>
      </c>
      <c r="V121" s="854">
        <v>324</v>
      </c>
      <c r="W121" s="855">
        <v>261</v>
      </c>
      <c r="X121" s="855">
        <f t="shared" si="30"/>
        <v>452</v>
      </c>
      <c r="Y121" s="859">
        <f t="shared" si="31"/>
        <v>128</v>
      </c>
      <c r="Z121" s="860">
        <v>7</v>
      </c>
      <c r="AA121" s="855">
        <v>2268</v>
      </c>
      <c r="AB121" s="855">
        <v>15876</v>
      </c>
      <c r="AC121" s="987">
        <v>453</v>
      </c>
      <c r="AD121" s="989">
        <v>3175</v>
      </c>
      <c r="AE121" s="861">
        <v>3</v>
      </c>
      <c r="AF121" s="855">
        <v>0</v>
      </c>
      <c r="AG121" s="855">
        <v>0</v>
      </c>
      <c r="AH121" s="855">
        <v>0</v>
      </c>
      <c r="AI121" s="855">
        <v>0</v>
      </c>
      <c r="AJ121" s="987">
        <v>10000</v>
      </c>
      <c r="AK121" s="862">
        <v>0</v>
      </c>
      <c r="AL121" s="863">
        <v>0</v>
      </c>
      <c r="AM121" s="988">
        <v>405</v>
      </c>
      <c r="AN121" s="987">
        <v>326</v>
      </c>
      <c r="AO121" s="987">
        <f t="shared" si="32"/>
        <v>564</v>
      </c>
      <c r="AP121" s="989">
        <f t="shared" si="33"/>
        <v>159</v>
      </c>
      <c r="AQ121" s="860">
        <v>7</v>
      </c>
      <c r="AR121" s="987">
        <v>2835</v>
      </c>
      <c r="AS121" s="987">
        <v>19845</v>
      </c>
      <c r="AT121" s="987">
        <v>567</v>
      </c>
      <c r="AU121" s="989">
        <v>3969</v>
      </c>
      <c r="AV121" s="861"/>
      <c r="AW121" s="855"/>
      <c r="AX121" s="855"/>
      <c r="AY121" s="855"/>
      <c r="AZ121" s="855"/>
      <c r="BA121" s="987">
        <v>10000</v>
      </c>
      <c r="BB121" s="991">
        <v>0</v>
      </c>
      <c r="BC121" s="863">
        <v>0</v>
      </c>
      <c r="BD121" s="988">
        <v>486</v>
      </c>
      <c r="BE121" s="987">
        <v>391</v>
      </c>
      <c r="BF121" s="987">
        <f t="shared" si="34"/>
        <v>677</v>
      </c>
      <c r="BG121" s="989">
        <f t="shared" si="35"/>
        <v>191</v>
      </c>
      <c r="BH121" s="860">
        <v>7</v>
      </c>
      <c r="BI121" s="987">
        <v>3402</v>
      </c>
      <c r="BJ121" s="987">
        <v>23814</v>
      </c>
      <c r="BK121" s="987">
        <v>680</v>
      </c>
      <c r="BL121" s="989">
        <v>4762</v>
      </c>
      <c r="BM121" s="861"/>
      <c r="BN121" s="855"/>
      <c r="BO121" s="855"/>
      <c r="BP121" s="855"/>
      <c r="BQ121" s="855"/>
      <c r="BR121" s="987">
        <v>10000</v>
      </c>
      <c r="BS121" s="991">
        <v>0</v>
      </c>
      <c r="BT121" s="863">
        <v>0</v>
      </c>
      <c r="BU121" s="988">
        <v>648</v>
      </c>
      <c r="BV121" s="987">
        <v>522</v>
      </c>
      <c r="BW121" s="987">
        <f t="shared" si="36"/>
        <v>904</v>
      </c>
      <c r="BX121" s="989">
        <f t="shared" si="37"/>
        <v>256</v>
      </c>
      <c r="BY121" s="860">
        <v>7</v>
      </c>
      <c r="BZ121" s="987">
        <v>4536</v>
      </c>
      <c r="CA121" s="987">
        <v>31752</v>
      </c>
      <c r="CB121" s="987">
        <v>907</v>
      </c>
      <c r="CC121" s="989">
        <v>6350</v>
      </c>
      <c r="CD121" s="861"/>
      <c r="CE121" s="855"/>
      <c r="CF121" s="855"/>
      <c r="CG121" s="855"/>
      <c r="CH121" s="855"/>
      <c r="CI121" s="987">
        <v>10000</v>
      </c>
      <c r="CJ121" s="991">
        <v>0</v>
      </c>
      <c r="CK121" s="863">
        <v>0</v>
      </c>
      <c r="CL121" s="854">
        <v>972</v>
      </c>
      <c r="CM121" s="855">
        <v>782</v>
      </c>
      <c r="CN121" s="855">
        <f t="shared" si="38"/>
        <v>1354</v>
      </c>
      <c r="CO121" s="859">
        <f t="shared" si="39"/>
        <v>382</v>
      </c>
      <c r="CP121" s="860">
        <v>7</v>
      </c>
      <c r="CQ121" s="855">
        <v>6804</v>
      </c>
      <c r="CR121" s="855">
        <v>47628</v>
      </c>
      <c r="CS121" s="987">
        <v>1360</v>
      </c>
      <c r="CT121" s="989">
        <v>9525</v>
      </c>
      <c r="CU121" s="861"/>
      <c r="CV121" s="855"/>
      <c r="CW121" s="855"/>
      <c r="CX121" s="855"/>
      <c r="CY121" s="855"/>
      <c r="CZ121" s="987">
        <v>10000</v>
      </c>
      <c r="DA121" s="862">
        <v>0</v>
      </c>
      <c r="DB121" s="863">
        <v>0</v>
      </c>
      <c r="DC121" s="864"/>
      <c r="DD121" s="855"/>
      <c r="DE121" s="865"/>
      <c r="DF121" s="865"/>
      <c r="DG121" s="865"/>
      <c r="DH121" s="987">
        <v>50000</v>
      </c>
      <c r="DI121" s="991"/>
      <c r="DJ121" s="863"/>
      <c r="DK121" s="866"/>
      <c r="DL121" s="867"/>
      <c r="DM121" s="868">
        <v>10000</v>
      </c>
      <c r="DN121" s="869">
        <v>370000</v>
      </c>
      <c r="DO121" s="870">
        <v>740000</v>
      </c>
      <c r="DP121" s="870"/>
      <c r="DQ121" s="870"/>
      <c r="DR121" s="870"/>
      <c r="DS121" s="870"/>
      <c r="DT121" s="870"/>
      <c r="DU121" s="870"/>
      <c r="DV121" s="870"/>
      <c r="DW121" s="870"/>
      <c r="DX121" s="871"/>
      <c r="DY121" s="872" t="s">
        <v>43</v>
      </c>
      <c r="DZ121" s="873"/>
      <c r="EA121" s="852"/>
      <c r="EB121" s="852"/>
      <c r="EC121" s="874"/>
      <c r="ED121" s="875"/>
      <c r="EE121" s="855"/>
      <c r="EF121" s="855"/>
      <c r="EG121" s="855"/>
      <c r="EH121" s="859"/>
      <c r="EI121" s="876"/>
      <c r="EJ121" s="877"/>
    </row>
    <row r="122" spans="2:140">
      <c r="B122" s="1124" t="s">
        <v>436</v>
      </c>
      <c r="C122" s="841" t="s">
        <v>77</v>
      </c>
      <c r="D122" s="842"/>
      <c r="E122" s="843" t="s">
        <v>43</v>
      </c>
      <c r="F122" s="844"/>
      <c r="G122" s="845"/>
      <c r="H122" s="846">
        <v>6</v>
      </c>
      <c r="I122" s="847" t="s">
        <v>270</v>
      </c>
      <c r="J122" s="848">
        <v>7</v>
      </c>
      <c r="K122" s="996">
        <v>0.2</v>
      </c>
      <c r="L122" s="850">
        <v>1.2443037974683544</v>
      </c>
      <c r="M122" s="851">
        <v>30</v>
      </c>
      <c r="N122" s="844">
        <v>6040</v>
      </c>
      <c r="O122" s="878">
        <v>42399</v>
      </c>
      <c r="P122" s="853" t="s">
        <v>206</v>
      </c>
      <c r="Q122" s="854">
        <v>983</v>
      </c>
      <c r="R122" s="855">
        <v>790</v>
      </c>
      <c r="S122" s="856">
        <v>48167</v>
      </c>
      <c r="T122" s="857" t="s">
        <v>464</v>
      </c>
      <c r="U122" s="858" t="s">
        <v>691</v>
      </c>
      <c r="V122" s="854">
        <v>328</v>
      </c>
      <c r="W122" s="855">
        <v>264</v>
      </c>
      <c r="X122" s="855">
        <f t="shared" si="30"/>
        <v>457</v>
      </c>
      <c r="Y122" s="859">
        <f t="shared" si="31"/>
        <v>129</v>
      </c>
      <c r="Z122" s="860">
        <v>7</v>
      </c>
      <c r="AA122" s="855">
        <v>2296</v>
      </c>
      <c r="AB122" s="855">
        <v>16072</v>
      </c>
      <c r="AC122" s="987">
        <v>459</v>
      </c>
      <c r="AD122" s="989">
        <v>3214</v>
      </c>
      <c r="AE122" s="861">
        <v>3</v>
      </c>
      <c r="AF122" s="855">
        <v>0</v>
      </c>
      <c r="AG122" s="855">
        <v>0</v>
      </c>
      <c r="AH122" s="855">
        <v>0</v>
      </c>
      <c r="AI122" s="855">
        <v>0</v>
      </c>
      <c r="AJ122" s="855">
        <v>10000</v>
      </c>
      <c r="AK122" s="862">
        <v>0</v>
      </c>
      <c r="AL122" s="863">
        <v>0</v>
      </c>
      <c r="AM122" s="854">
        <v>410</v>
      </c>
      <c r="AN122" s="855">
        <v>330</v>
      </c>
      <c r="AO122" s="855">
        <f t="shared" si="32"/>
        <v>571</v>
      </c>
      <c r="AP122" s="859">
        <f t="shared" si="33"/>
        <v>161</v>
      </c>
      <c r="AQ122" s="860">
        <v>7</v>
      </c>
      <c r="AR122" s="855">
        <v>2870</v>
      </c>
      <c r="AS122" s="855">
        <v>20090</v>
      </c>
      <c r="AT122" s="987">
        <v>574</v>
      </c>
      <c r="AU122" s="989">
        <v>4018</v>
      </c>
      <c r="AV122" s="861">
        <v>36</v>
      </c>
      <c r="AW122" s="855">
        <v>2400000</v>
      </c>
      <c r="AX122" s="855">
        <v>0</v>
      </c>
      <c r="AY122" s="855">
        <v>5</v>
      </c>
      <c r="AZ122" s="855">
        <v>0</v>
      </c>
      <c r="BA122" s="855">
        <v>10000</v>
      </c>
      <c r="BB122" s="862">
        <v>36.043205574912896</v>
      </c>
      <c r="BC122" s="863">
        <v>66666</v>
      </c>
      <c r="BD122" s="854">
        <v>492</v>
      </c>
      <c r="BE122" s="855">
        <v>395</v>
      </c>
      <c r="BF122" s="855">
        <f t="shared" si="34"/>
        <v>684</v>
      </c>
      <c r="BG122" s="859">
        <f t="shared" si="35"/>
        <v>192</v>
      </c>
      <c r="BH122" s="860">
        <v>7</v>
      </c>
      <c r="BI122" s="855">
        <v>3444</v>
      </c>
      <c r="BJ122" s="855">
        <v>24108</v>
      </c>
      <c r="BK122" s="987">
        <v>688</v>
      </c>
      <c r="BL122" s="989">
        <v>4821</v>
      </c>
      <c r="BM122" s="861">
        <v>96</v>
      </c>
      <c r="BN122" s="855">
        <v>3600000</v>
      </c>
      <c r="BO122" s="855">
        <v>0</v>
      </c>
      <c r="BP122" s="855">
        <v>7</v>
      </c>
      <c r="BQ122" s="855">
        <v>0</v>
      </c>
      <c r="BR122" s="855">
        <v>10000</v>
      </c>
      <c r="BS122" s="862">
        <v>46.887340301974454</v>
      </c>
      <c r="BT122" s="863">
        <v>37500</v>
      </c>
      <c r="BU122" s="854">
        <v>656</v>
      </c>
      <c r="BV122" s="855">
        <v>527</v>
      </c>
      <c r="BW122" s="855">
        <f t="shared" si="36"/>
        <v>913</v>
      </c>
      <c r="BX122" s="859">
        <f t="shared" si="37"/>
        <v>257</v>
      </c>
      <c r="BY122" s="860">
        <v>7</v>
      </c>
      <c r="BZ122" s="855">
        <v>4592</v>
      </c>
      <c r="CA122" s="855">
        <v>32144</v>
      </c>
      <c r="CB122" s="987">
        <v>918</v>
      </c>
      <c r="CC122" s="989">
        <v>6428</v>
      </c>
      <c r="CD122" s="861">
        <v>144</v>
      </c>
      <c r="CE122" s="855">
        <v>4800000</v>
      </c>
      <c r="CF122" s="855">
        <v>0</v>
      </c>
      <c r="CG122" s="855">
        <v>10</v>
      </c>
      <c r="CH122" s="855">
        <v>0</v>
      </c>
      <c r="CI122" s="987">
        <v>10000</v>
      </c>
      <c r="CJ122" s="862">
        <v>48.054006968641119</v>
      </c>
      <c r="CK122" s="863">
        <v>33333</v>
      </c>
      <c r="CL122" s="854">
        <v>983</v>
      </c>
      <c r="CM122" s="855">
        <v>790</v>
      </c>
      <c r="CN122" s="855">
        <f t="shared" si="38"/>
        <v>1368</v>
      </c>
      <c r="CO122" s="859">
        <f t="shared" si="39"/>
        <v>385</v>
      </c>
      <c r="CP122" s="860">
        <v>7</v>
      </c>
      <c r="CQ122" s="855">
        <v>6881</v>
      </c>
      <c r="CR122" s="855">
        <v>48167</v>
      </c>
      <c r="CS122" s="987">
        <v>1376</v>
      </c>
      <c r="CT122" s="989">
        <v>9633</v>
      </c>
      <c r="CU122" s="992">
        <v>216</v>
      </c>
      <c r="CV122" s="987">
        <v>6000000</v>
      </c>
      <c r="CW122" s="987">
        <v>0</v>
      </c>
      <c r="CX122" s="987">
        <v>12</v>
      </c>
      <c r="CY122" s="987">
        <v>0</v>
      </c>
      <c r="CZ122" s="987">
        <v>10000</v>
      </c>
      <c r="DA122" s="991">
        <v>42.338032262752506</v>
      </c>
      <c r="DB122" s="993">
        <v>27777</v>
      </c>
      <c r="DC122" s="994">
        <v>495</v>
      </c>
      <c r="DD122" s="987">
        <v>16800000</v>
      </c>
      <c r="DE122" s="995">
        <v>0</v>
      </c>
      <c r="DF122" s="995">
        <v>34</v>
      </c>
      <c r="DG122" s="995">
        <v>0</v>
      </c>
      <c r="DH122" s="987">
        <v>50000</v>
      </c>
      <c r="DI122" s="991">
        <v>101.7293997965412</v>
      </c>
      <c r="DJ122" s="993">
        <v>33939.393939393936</v>
      </c>
      <c r="DK122" s="866"/>
      <c r="DL122" s="867"/>
      <c r="DM122" s="868">
        <v>10000</v>
      </c>
      <c r="DN122" s="869">
        <v>410000</v>
      </c>
      <c r="DO122" s="870">
        <v>820000</v>
      </c>
      <c r="DP122" s="870">
        <v>1640000</v>
      </c>
      <c r="DQ122" s="870"/>
      <c r="DR122" s="870"/>
      <c r="DS122" s="870"/>
      <c r="DT122" s="870"/>
      <c r="DU122" s="870"/>
      <c r="DV122" s="870"/>
      <c r="DW122" s="870"/>
      <c r="DX122" s="871"/>
      <c r="DY122" s="872" t="s">
        <v>43</v>
      </c>
      <c r="DZ122" s="873"/>
      <c r="EA122" s="852"/>
      <c r="EB122" s="852"/>
      <c r="EC122" s="874"/>
      <c r="ED122" s="875"/>
      <c r="EE122" s="855"/>
      <c r="EF122" s="855"/>
      <c r="EG122" s="855"/>
      <c r="EH122" s="859"/>
      <c r="EI122" s="876"/>
      <c r="EJ122" s="877"/>
    </row>
    <row r="123" spans="2:140">
      <c r="B123" s="1124" t="s">
        <v>106</v>
      </c>
      <c r="C123" s="841" t="s">
        <v>77</v>
      </c>
      <c r="D123" s="842"/>
      <c r="E123" s="843" t="s">
        <v>43</v>
      </c>
      <c r="F123" s="844"/>
      <c r="G123" s="845"/>
      <c r="H123" s="846">
        <v>4</v>
      </c>
      <c r="I123" s="847" t="s">
        <v>272</v>
      </c>
      <c r="J123" s="848">
        <v>3</v>
      </c>
      <c r="K123" s="849">
        <v>0.22500000000000001</v>
      </c>
      <c r="L123" s="850">
        <v>0.4854368932038835</v>
      </c>
      <c r="M123" s="851">
        <v>100</v>
      </c>
      <c r="N123" s="844">
        <v>505</v>
      </c>
      <c r="O123" s="878">
        <v>42172</v>
      </c>
      <c r="P123" s="853" t="s">
        <v>98</v>
      </c>
      <c r="Q123" s="854">
        <v>100</v>
      </c>
      <c r="R123" s="855">
        <v>206</v>
      </c>
      <c r="S123" s="856">
        <v>1800</v>
      </c>
      <c r="T123" s="857" t="s">
        <v>465</v>
      </c>
      <c r="U123" s="858" t="s">
        <v>663</v>
      </c>
      <c r="V123" s="854">
        <v>100</v>
      </c>
      <c r="W123" s="855">
        <v>206</v>
      </c>
      <c r="X123" s="855">
        <f t="shared" si="30"/>
        <v>356</v>
      </c>
      <c r="Y123" s="859">
        <f t="shared" si="31"/>
        <v>256</v>
      </c>
      <c r="Z123" s="860">
        <v>6</v>
      </c>
      <c r="AA123" s="855">
        <v>600</v>
      </c>
      <c r="AB123" s="855">
        <v>1800</v>
      </c>
      <c r="AC123" s="855">
        <v>135</v>
      </c>
      <c r="AD123" s="859">
        <v>405</v>
      </c>
      <c r="AE123" s="861">
        <v>9</v>
      </c>
      <c r="AF123" s="855">
        <v>0</v>
      </c>
      <c r="AG123" s="855">
        <v>0</v>
      </c>
      <c r="AH123" s="855">
        <v>0</v>
      </c>
      <c r="AI123" s="855">
        <v>0</v>
      </c>
      <c r="AJ123" s="855">
        <v>1015</v>
      </c>
      <c r="AK123" s="862">
        <v>0</v>
      </c>
      <c r="AL123" s="863">
        <v>0</v>
      </c>
      <c r="AM123" s="854">
        <v>150</v>
      </c>
      <c r="AN123" s="855">
        <v>308</v>
      </c>
      <c r="AO123" s="855">
        <f t="shared" si="32"/>
        <v>533</v>
      </c>
      <c r="AP123" s="859">
        <f t="shared" si="33"/>
        <v>383</v>
      </c>
      <c r="AQ123" s="860">
        <v>6</v>
      </c>
      <c r="AR123" s="855">
        <v>900</v>
      </c>
      <c r="AS123" s="855">
        <v>2700</v>
      </c>
      <c r="AT123" s="855">
        <v>202</v>
      </c>
      <c r="AU123" s="859">
        <v>607</v>
      </c>
      <c r="AV123" s="861">
        <v>3</v>
      </c>
      <c r="AW123" s="855">
        <v>750000</v>
      </c>
      <c r="AX123" s="855">
        <v>0</v>
      </c>
      <c r="AY123" s="855">
        <v>0</v>
      </c>
      <c r="AZ123" s="855">
        <v>0</v>
      </c>
      <c r="BA123" s="855">
        <v>379</v>
      </c>
      <c r="BB123" s="862">
        <v>34.805555555555557</v>
      </c>
      <c r="BC123" s="863">
        <v>250000</v>
      </c>
      <c r="BD123" s="854">
        <v>174</v>
      </c>
      <c r="BE123" s="855">
        <v>360</v>
      </c>
      <c r="BF123" s="855">
        <f t="shared" si="34"/>
        <v>623</v>
      </c>
      <c r="BG123" s="859">
        <f t="shared" si="35"/>
        <v>449</v>
      </c>
      <c r="BH123" s="860">
        <v>6</v>
      </c>
      <c r="BI123" s="855">
        <v>1044</v>
      </c>
      <c r="BJ123" s="855">
        <v>3132</v>
      </c>
      <c r="BK123" s="855">
        <v>234</v>
      </c>
      <c r="BL123" s="859">
        <v>704</v>
      </c>
      <c r="BM123" s="861">
        <v>6</v>
      </c>
      <c r="BN123" s="855">
        <v>1150000</v>
      </c>
      <c r="BO123" s="855">
        <v>0</v>
      </c>
      <c r="BP123" s="855">
        <v>1</v>
      </c>
      <c r="BQ123" s="855">
        <v>0</v>
      </c>
      <c r="BR123" s="855">
        <v>885</v>
      </c>
      <c r="BS123" s="862">
        <v>46.112707535121331</v>
      </c>
      <c r="BT123" s="863">
        <v>191666</v>
      </c>
      <c r="BU123" s="854">
        <v>190</v>
      </c>
      <c r="BV123" s="855">
        <v>390</v>
      </c>
      <c r="BW123" s="855">
        <f t="shared" si="36"/>
        <v>675</v>
      </c>
      <c r="BX123" s="859">
        <f t="shared" si="37"/>
        <v>485</v>
      </c>
      <c r="BY123" s="860">
        <v>6</v>
      </c>
      <c r="BZ123" s="855">
        <v>1140</v>
      </c>
      <c r="CA123" s="855">
        <v>3420</v>
      </c>
      <c r="CB123" s="855">
        <v>256</v>
      </c>
      <c r="CC123" s="859">
        <v>769</v>
      </c>
      <c r="CD123" s="861">
        <v>9</v>
      </c>
      <c r="CE123" s="855">
        <v>1500000</v>
      </c>
      <c r="CF123" s="855">
        <v>0</v>
      </c>
      <c r="CG123" s="855">
        <v>0</v>
      </c>
      <c r="CH123" s="855">
        <v>0</v>
      </c>
      <c r="CI123" s="855">
        <v>1441</v>
      </c>
      <c r="CJ123" s="862">
        <v>55.167982456140351</v>
      </c>
      <c r="CK123" s="863">
        <v>166666</v>
      </c>
      <c r="CL123" s="854">
        <v>200</v>
      </c>
      <c r="CM123" s="855">
        <v>412</v>
      </c>
      <c r="CN123" s="855">
        <f t="shared" si="38"/>
        <v>713</v>
      </c>
      <c r="CO123" s="859">
        <f t="shared" si="39"/>
        <v>513</v>
      </c>
      <c r="CP123" s="860">
        <v>6</v>
      </c>
      <c r="CQ123" s="855">
        <v>1200</v>
      </c>
      <c r="CR123" s="855">
        <v>3600</v>
      </c>
      <c r="CS123" s="855">
        <v>270</v>
      </c>
      <c r="CT123" s="859">
        <v>810</v>
      </c>
      <c r="CU123" s="861">
        <v>11</v>
      </c>
      <c r="CV123" s="855">
        <v>1900000</v>
      </c>
      <c r="CW123" s="855">
        <v>0</v>
      </c>
      <c r="CX123" s="855">
        <v>0</v>
      </c>
      <c r="CY123" s="855">
        <v>1</v>
      </c>
      <c r="CZ123" s="855">
        <v>2032</v>
      </c>
      <c r="DA123" s="862">
        <v>66.407638888888883</v>
      </c>
      <c r="DB123" s="863">
        <v>172727</v>
      </c>
      <c r="DC123" s="864">
        <v>38</v>
      </c>
      <c r="DD123" s="855">
        <v>5300000</v>
      </c>
      <c r="DE123" s="865">
        <v>0</v>
      </c>
      <c r="DF123" s="865">
        <v>1</v>
      </c>
      <c r="DG123" s="865">
        <v>1</v>
      </c>
      <c r="DH123" s="855">
        <v>5752</v>
      </c>
      <c r="DI123" s="862">
        <v>184.0277777777778</v>
      </c>
      <c r="DJ123" s="863">
        <v>139473.68421052632</v>
      </c>
      <c r="DK123" s="866">
        <v>2</v>
      </c>
      <c r="DL123" s="867" t="s">
        <v>43</v>
      </c>
      <c r="DM123" s="868"/>
      <c r="DN123" s="869"/>
      <c r="DO123" s="870"/>
      <c r="DP123" s="870"/>
      <c r="DQ123" s="870"/>
      <c r="DR123" s="870"/>
      <c r="DS123" s="870"/>
      <c r="DT123" s="870"/>
      <c r="DU123" s="870"/>
      <c r="DV123" s="870"/>
      <c r="DW123" s="870"/>
      <c r="DX123" s="871"/>
      <c r="DY123" s="872" t="s">
        <v>43</v>
      </c>
      <c r="DZ123" s="873"/>
      <c r="EA123" s="852"/>
      <c r="EB123" s="852"/>
      <c r="EC123" s="874"/>
      <c r="ED123" s="875"/>
      <c r="EE123" s="855"/>
      <c r="EF123" s="855"/>
      <c r="EG123" s="855"/>
      <c r="EH123" s="859"/>
      <c r="EI123" s="876"/>
      <c r="EJ123" s="877"/>
    </row>
    <row r="124" spans="2:140">
      <c r="B124" s="1124" t="s">
        <v>104</v>
      </c>
      <c r="C124" s="841" t="s">
        <v>77</v>
      </c>
      <c r="D124" s="842"/>
      <c r="E124" s="843" t="s">
        <v>43</v>
      </c>
      <c r="F124" s="844" t="s">
        <v>43</v>
      </c>
      <c r="G124" s="845"/>
      <c r="H124" s="846">
        <v>4</v>
      </c>
      <c r="I124" s="847" t="s">
        <v>272</v>
      </c>
      <c r="J124" s="848">
        <v>3</v>
      </c>
      <c r="K124" s="849">
        <v>0.22500000000000001</v>
      </c>
      <c r="L124" s="850">
        <v>0.49180327868852458</v>
      </c>
      <c r="M124" s="851">
        <v>100</v>
      </c>
      <c r="N124" s="844">
        <v>506</v>
      </c>
      <c r="O124" s="878">
        <v>42172</v>
      </c>
      <c r="P124" s="853" t="s">
        <v>98</v>
      </c>
      <c r="Q124" s="854">
        <v>120</v>
      </c>
      <c r="R124" s="855">
        <v>244</v>
      </c>
      <c r="S124" s="856">
        <v>2160</v>
      </c>
      <c r="T124" s="857" t="s">
        <v>466</v>
      </c>
      <c r="U124" s="858" t="s">
        <v>663</v>
      </c>
      <c r="V124" s="854">
        <v>120</v>
      </c>
      <c r="W124" s="855">
        <v>244</v>
      </c>
      <c r="X124" s="855">
        <f t="shared" si="30"/>
        <v>422</v>
      </c>
      <c r="Y124" s="859">
        <f t="shared" si="31"/>
        <v>302</v>
      </c>
      <c r="Z124" s="860">
        <v>6</v>
      </c>
      <c r="AA124" s="855">
        <v>720</v>
      </c>
      <c r="AB124" s="855">
        <v>2160</v>
      </c>
      <c r="AC124" s="855">
        <v>162</v>
      </c>
      <c r="AD124" s="859">
        <v>486</v>
      </c>
      <c r="AE124" s="861">
        <v>14</v>
      </c>
      <c r="AF124" s="855">
        <v>0</v>
      </c>
      <c r="AG124" s="855">
        <v>0</v>
      </c>
      <c r="AH124" s="855">
        <v>0</v>
      </c>
      <c r="AI124" s="855">
        <v>0</v>
      </c>
      <c r="AJ124" s="855">
        <v>1354</v>
      </c>
      <c r="AK124" s="862">
        <v>0</v>
      </c>
      <c r="AL124" s="863">
        <v>0</v>
      </c>
      <c r="AM124" s="854">
        <v>180</v>
      </c>
      <c r="AN124" s="855">
        <v>366</v>
      </c>
      <c r="AO124" s="855">
        <f t="shared" si="32"/>
        <v>634</v>
      </c>
      <c r="AP124" s="859">
        <f t="shared" si="33"/>
        <v>454</v>
      </c>
      <c r="AQ124" s="860">
        <v>6</v>
      </c>
      <c r="AR124" s="855">
        <v>1080</v>
      </c>
      <c r="AS124" s="855">
        <v>3240</v>
      </c>
      <c r="AT124" s="855">
        <v>243</v>
      </c>
      <c r="AU124" s="859">
        <v>729</v>
      </c>
      <c r="AV124" s="861">
        <v>4</v>
      </c>
      <c r="AW124" s="855">
        <v>1000000</v>
      </c>
      <c r="AX124" s="855">
        <v>0</v>
      </c>
      <c r="AY124" s="855">
        <v>0</v>
      </c>
      <c r="AZ124" s="855">
        <v>0</v>
      </c>
      <c r="BA124" s="855">
        <v>506</v>
      </c>
      <c r="BB124" s="862">
        <v>38.691358024691361</v>
      </c>
      <c r="BC124" s="863">
        <v>250000</v>
      </c>
      <c r="BD124" s="854">
        <v>210</v>
      </c>
      <c r="BE124" s="855">
        <v>426</v>
      </c>
      <c r="BF124" s="855">
        <f t="shared" si="34"/>
        <v>738</v>
      </c>
      <c r="BG124" s="859">
        <f t="shared" si="35"/>
        <v>528</v>
      </c>
      <c r="BH124" s="860">
        <v>6</v>
      </c>
      <c r="BI124" s="855">
        <v>1260</v>
      </c>
      <c r="BJ124" s="855">
        <v>3780</v>
      </c>
      <c r="BK124" s="855">
        <v>283</v>
      </c>
      <c r="BL124" s="859">
        <v>850</v>
      </c>
      <c r="BM124" s="861">
        <v>8</v>
      </c>
      <c r="BN124" s="855">
        <v>1500000</v>
      </c>
      <c r="BO124" s="855">
        <v>0</v>
      </c>
      <c r="BP124" s="855">
        <v>1</v>
      </c>
      <c r="BQ124" s="855">
        <v>0</v>
      </c>
      <c r="BR124" s="855">
        <v>1180</v>
      </c>
      <c r="BS124" s="862">
        <v>49.888888888888886</v>
      </c>
      <c r="BT124" s="863">
        <v>187500</v>
      </c>
      <c r="BU124" s="854">
        <v>228</v>
      </c>
      <c r="BV124" s="855">
        <v>462</v>
      </c>
      <c r="BW124" s="855">
        <f t="shared" si="36"/>
        <v>800</v>
      </c>
      <c r="BX124" s="859">
        <f t="shared" si="37"/>
        <v>572</v>
      </c>
      <c r="BY124" s="860">
        <v>6</v>
      </c>
      <c r="BZ124" s="855">
        <v>1368</v>
      </c>
      <c r="CA124" s="855">
        <v>4104</v>
      </c>
      <c r="CB124" s="855">
        <v>307</v>
      </c>
      <c r="CC124" s="859">
        <v>923</v>
      </c>
      <c r="CD124" s="861">
        <v>12</v>
      </c>
      <c r="CE124" s="855">
        <v>2000000</v>
      </c>
      <c r="CF124" s="855">
        <v>0</v>
      </c>
      <c r="CG124" s="855">
        <v>0</v>
      </c>
      <c r="CH124" s="855">
        <v>0</v>
      </c>
      <c r="CI124" s="855">
        <v>1922</v>
      </c>
      <c r="CJ124" s="862">
        <v>61.376705653021446</v>
      </c>
      <c r="CK124" s="863">
        <v>166666</v>
      </c>
      <c r="CL124" s="854">
        <v>240</v>
      </c>
      <c r="CM124" s="855">
        <v>488</v>
      </c>
      <c r="CN124" s="855">
        <f t="shared" si="38"/>
        <v>845</v>
      </c>
      <c r="CO124" s="859">
        <f t="shared" si="39"/>
        <v>605</v>
      </c>
      <c r="CP124" s="860">
        <v>6</v>
      </c>
      <c r="CQ124" s="855">
        <v>1440</v>
      </c>
      <c r="CR124" s="855">
        <v>4320</v>
      </c>
      <c r="CS124" s="855">
        <v>324</v>
      </c>
      <c r="CT124" s="859">
        <v>972</v>
      </c>
      <c r="CU124" s="861">
        <v>14</v>
      </c>
      <c r="CV124" s="855">
        <v>2500000</v>
      </c>
      <c r="CW124" s="855">
        <v>0</v>
      </c>
      <c r="CX124" s="855">
        <v>0</v>
      </c>
      <c r="CY124" s="855">
        <v>1</v>
      </c>
      <c r="CZ124" s="855">
        <v>2710</v>
      </c>
      <c r="DA124" s="862">
        <v>72.892129629629622</v>
      </c>
      <c r="DB124" s="863">
        <v>178571</v>
      </c>
      <c r="DC124" s="864">
        <v>52</v>
      </c>
      <c r="DD124" s="855">
        <v>7000000</v>
      </c>
      <c r="DE124" s="865">
        <v>0</v>
      </c>
      <c r="DF124" s="865">
        <v>1</v>
      </c>
      <c r="DG124" s="865">
        <v>1</v>
      </c>
      <c r="DH124" s="855">
        <v>7672</v>
      </c>
      <c r="DI124" s="862">
        <v>202.5462962962963</v>
      </c>
      <c r="DJ124" s="863">
        <v>134615.38461538462</v>
      </c>
      <c r="DK124" s="866">
        <v>2</v>
      </c>
      <c r="DL124" s="867" t="s">
        <v>43</v>
      </c>
      <c r="DM124" s="868"/>
      <c r="DN124" s="869"/>
      <c r="DO124" s="870"/>
      <c r="DP124" s="870"/>
      <c r="DQ124" s="870"/>
      <c r="DR124" s="870"/>
      <c r="DS124" s="870"/>
      <c r="DT124" s="870"/>
      <c r="DU124" s="870"/>
      <c r="DV124" s="870"/>
      <c r="DW124" s="870"/>
      <c r="DX124" s="871"/>
      <c r="DY124" s="872" t="s">
        <v>43</v>
      </c>
      <c r="DZ124" s="873"/>
      <c r="EA124" s="852"/>
      <c r="EB124" s="852"/>
      <c r="EC124" s="874"/>
      <c r="ED124" s="875"/>
      <c r="EE124" s="855"/>
      <c r="EF124" s="855"/>
      <c r="EG124" s="855"/>
      <c r="EH124" s="859"/>
      <c r="EI124" s="876"/>
      <c r="EJ124" s="877"/>
    </row>
    <row r="125" spans="2:140">
      <c r="B125" s="1124" t="s">
        <v>105</v>
      </c>
      <c r="C125" s="841" t="s">
        <v>77</v>
      </c>
      <c r="D125" s="842"/>
      <c r="E125" s="843" t="s">
        <v>43</v>
      </c>
      <c r="F125" s="844"/>
      <c r="G125" s="845"/>
      <c r="H125" s="846">
        <v>4</v>
      </c>
      <c r="I125" s="847" t="s">
        <v>272</v>
      </c>
      <c r="J125" s="848">
        <v>3</v>
      </c>
      <c r="K125" s="849">
        <v>0.22500000000000001</v>
      </c>
      <c r="L125" s="850">
        <v>0.50359712230215825</v>
      </c>
      <c r="M125" s="851">
        <v>100</v>
      </c>
      <c r="N125" s="844">
        <v>507</v>
      </c>
      <c r="O125" s="878">
        <v>42172</v>
      </c>
      <c r="P125" s="853" t="s">
        <v>98</v>
      </c>
      <c r="Q125" s="854">
        <v>140</v>
      </c>
      <c r="R125" s="855">
        <v>278</v>
      </c>
      <c r="S125" s="856">
        <v>2520</v>
      </c>
      <c r="T125" s="857" t="s">
        <v>467</v>
      </c>
      <c r="U125" s="858" t="s">
        <v>663</v>
      </c>
      <c r="V125" s="854">
        <v>140</v>
      </c>
      <c r="W125" s="855">
        <v>278</v>
      </c>
      <c r="X125" s="855">
        <f t="shared" si="30"/>
        <v>481</v>
      </c>
      <c r="Y125" s="859">
        <f t="shared" si="31"/>
        <v>341</v>
      </c>
      <c r="Z125" s="860">
        <v>6</v>
      </c>
      <c r="AA125" s="855">
        <v>840</v>
      </c>
      <c r="AB125" s="855">
        <v>2520</v>
      </c>
      <c r="AC125" s="855">
        <v>189</v>
      </c>
      <c r="AD125" s="859">
        <v>567</v>
      </c>
      <c r="AE125" s="861">
        <v>18</v>
      </c>
      <c r="AF125" s="855">
        <v>0</v>
      </c>
      <c r="AG125" s="855">
        <v>0</v>
      </c>
      <c r="AH125" s="855">
        <v>0</v>
      </c>
      <c r="AI125" s="855">
        <v>0</v>
      </c>
      <c r="AJ125" s="855">
        <v>1692</v>
      </c>
      <c r="AK125" s="862">
        <v>0</v>
      </c>
      <c r="AL125" s="863">
        <v>0</v>
      </c>
      <c r="AM125" s="854">
        <v>210</v>
      </c>
      <c r="AN125" s="855">
        <v>416</v>
      </c>
      <c r="AO125" s="855">
        <f t="shared" si="32"/>
        <v>720</v>
      </c>
      <c r="AP125" s="859">
        <f t="shared" si="33"/>
        <v>510</v>
      </c>
      <c r="AQ125" s="860">
        <v>6</v>
      </c>
      <c r="AR125" s="855">
        <v>1260</v>
      </c>
      <c r="AS125" s="855">
        <v>3780</v>
      </c>
      <c r="AT125" s="855">
        <v>283</v>
      </c>
      <c r="AU125" s="859">
        <v>850</v>
      </c>
      <c r="AV125" s="861">
        <v>5</v>
      </c>
      <c r="AW125" s="855">
        <v>1250000</v>
      </c>
      <c r="AX125" s="855">
        <v>0</v>
      </c>
      <c r="AY125" s="855">
        <v>0</v>
      </c>
      <c r="AZ125" s="855">
        <v>0</v>
      </c>
      <c r="BA125" s="855">
        <v>632</v>
      </c>
      <c r="BB125" s="862">
        <v>41.474867724867728</v>
      </c>
      <c r="BC125" s="863">
        <v>250000</v>
      </c>
      <c r="BD125" s="854">
        <v>244</v>
      </c>
      <c r="BE125" s="855">
        <v>486</v>
      </c>
      <c r="BF125" s="855">
        <f t="shared" si="34"/>
        <v>841</v>
      </c>
      <c r="BG125" s="859">
        <f t="shared" si="35"/>
        <v>597</v>
      </c>
      <c r="BH125" s="860">
        <v>6</v>
      </c>
      <c r="BI125" s="855">
        <v>1464</v>
      </c>
      <c r="BJ125" s="855">
        <v>4392</v>
      </c>
      <c r="BK125" s="855">
        <v>329</v>
      </c>
      <c r="BL125" s="859">
        <v>988</v>
      </c>
      <c r="BM125" s="861">
        <v>10</v>
      </c>
      <c r="BN125" s="855">
        <v>1900000</v>
      </c>
      <c r="BO125" s="855">
        <v>0</v>
      </c>
      <c r="BP125" s="855">
        <v>1</v>
      </c>
      <c r="BQ125" s="855">
        <v>0</v>
      </c>
      <c r="BR125" s="855">
        <v>1475</v>
      </c>
      <c r="BS125" s="862">
        <v>54.434198542805099</v>
      </c>
      <c r="BT125" s="863">
        <v>190000</v>
      </c>
      <c r="BU125" s="854">
        <v>266</v>
      </c>
      <c r="BV125" s="855">
        <v>528</v>
      </c>
      <c r="BW125" s="855">
        <f t="shared" si="36"/>
        <v>914</v>
      </c>
      <c r="BX125" s="859">
        <f t="shared" si="37"/>
        <v>648</v>
      </c>
      <c r="BY125" s="860">
        <v>6</v>
      </c>
      <c r="BZ125" s="855">
        <v>1596</v>
      </c>
      <c r="CA125" s="855">
        <v>4788</v>
      </c>
      <c r="CB125" s="855">
        <v>359</v>
      </c>
      <c r="CC125" s="859">
        <v>1077</v>
      </c>
      <c r="CD125" s="861">
        <v>15</v>
      </c>
      <c r="CE125" s="855">
        <v>2500000</v>
      </c>
      <c r="CF125" s="855">
        <v>0</v>
      </c>
      <c r="CG125" s="855">
        <v>0</v>
      </c>
      <c r="CH125" s="855">
        <v>0</v>
      </c>
      <c r="CI125" s="855">
        <v>2402</v>
      </c>
      <c r="CJ125" s="862">
        <v>65.840643274853804</v>
      </c>
      <c r="CK125" s="863">
        <v>166666</v>
      </c>
      <c r="CL125" s="854">
        <v>280</v>
      </c>
      <c r="CM125" s="855">
        <v>556</v>
      </c>
      <c r="CN125" s="855">
        <f t="shared" si="38"/>
        <v>963</v>
      </c>
      <c r="CO125" s="859">
        <f t="shared" si="39"/>
        <v>683</v>
      </c>
      <c r="CP125" s="860">
        <v>6</v>
      </c>
      <c r="CQ125" s="855">
        <v>1680</v>
      </c>
      <c r="CR125" s="855">
        <v>5040</v>
      </c>
      <c r="CS125" s="855">
        <v>378</v>
      </c>
      <c r="CT125" s="859">
        <v>1134</v>
      </c>
      <c r="CU125" s="861">
        <v>18</v>
      </c>
      <c r="CV125" s="855">
        <v>3200000</v>
      </c>
      <c r="CW125" s="855">
        <v>0</v>
      </c>
      <c r="CX125" s="855">
        <v>0</v>
      </c>
      <c r="CY125" s="855">
        <v>1</v>
      </c>
      <c r="CZ125" s="855">
        <v>3387</v>
      </c>
      <c r="DA125" s="862">
        <v>80.077579365079359</v>
      </c>
      <c r="DB125" s="863">
        <v>177777</v>
      </c>
      <c r="DC125" s="864">
        <v>66</v>
      </c>
      <c r="DD125" s="855">
        <v>8850000</v>
      </c>
      <c r="DE125" s="865">
        <v>0</v>
      </c>
      <c r="DF125" s="865">
        <v>1</v>
      </c>
      <c r="DG125" s="865">
        <v>1</v>
      </c>
      <c r="DH125" s="855">
        <v>9588</v>
      </c>
      <c r="DI125" s="862">
        <v>219.49404761904762</v>
      </c>
      <c r="DJ125" s="863">
        <v>134090.90909090909</v>
      </c>
      <c r="DK125" s="866">
        <v>12</v>
      </c>
      <c r="DL125" s="867" t="s">
        <v>43</v>
      </c>
      <c r="DM125" s="868"/>
      <c r="DN125" s="869"/>
      <c r="DO125" s="870"/>
      <c r="DP125" s="870"/>
      <c r="DQ125" s="870"/>
      <c r="DR125" s="870"/>
      <c r="DS125" s="870"/>
      <c r="DT125" s="870"/>
      <c r="DU125" s="870"/>
      <c r="DV125" s="870"/>
      <c r="DW125" s="870"/>
      <c r="DX125" s="871"/>
      <c r="DY125" s="872" t="s">
        <v>43</v>
      </c>
      <c r="DZ125" s="873"/>
      <c r="EA125" s="852"/>
      <c r="EB125" s="852"/>
      <c r="EC125" s="874"/>
      <c r="ED125" s="875"/>
      <c r="EE125" s="855"/>
      <c r="EF125" s="855"/>
      <c r="EG125" s="855"/>
      <c r="EH125" s="859"/>
      <c r="EI125" s="876"/>
      <c r="EJ125" s="877"/>
    </row>
    <row r="126" spans="2:140">
      <c r="B126" s="1124" t="s">
        <v>102</v>
      </c>
      <c r="C126" s="841" t="s">
        <v>77</v>
      </c>
      <c r="D126" s="842"/>
      <c r="E126" s="843" t="s">
        <v>43</v>
      </c>
      <c r="F126" s="844" t="s">
        <v>43</v>
      </c>
      <c r="G126" s="845"/>
      <c r="H126" s="846">
        <v>4</v>
      </c>
      <c r="I126" s="847" t="s">
        <v>272</v>
      </c>
      <c r="J126" s="848">
        <v>4</v>
      </c>
      <c r="K126" s="996">
        <v>0.22500000000000001</v>
      </c>
      <c r="L126" s="850">
        <v>0.60509554140127386</v>
      </c>
      <c r="M126" s="851">
        <v>100</v>
      </c>
      <c r="N126" s="844">
        <v>508</v>
      </c>
      <c r="O126" s="878">
        <v>42172</v>
      </c>
      <c r="P126" s="853" t="s">
        <v>98</v>
      </c>
      <c r="Q126" s="854">
        <v>190</v>
      </c>
      <c r="R126" s="855">
        <v>314</v>
      </c>
      <c r="S126" s="856">
        <v>6080</v>
      </c>
      <c r="T126" s="857" t="s">
        <v>468</v>
      </c>
      <c r="U126" s="858" t="s">
        <v>663</v>
      </c>
      <c r="V126" s="854">
        <v>190</v>
      </c>
      <c r="W126" s="855">
        <v>314</v>
      </c>
      <c r="X126" s="855">
        <f t="shared" si="30"/>
        <v>544</v>
      </c>
      <c r="Y126" s="859">
        <f t="shared" si="31"/>
        <v>354</v>
      </c>
      <c r="Z126" s="860">
        <v>8</v>
      </c>
      <c r="AA126" s="855">
        <v>1520</v>
      </c>
      <c r="AB126" s="855">
        <v>6080</v>
      </c>
      <c r="AC126" s="987">
        <v>342</v>
      </c>
      <c r="AD126" s="989">
        <v>1368</v>
      </c>
      <c r="AE126" s="861">
        <v>21</v>
      </c>
      <c r="AF126" s="855">
        <v>0</v>
      </c>
      <c r="AG126" s="855">
        <v>0</v>
      </c>
      <c r="AH126" s="855">
        <v>0</v>
      </c>
      <c r="AI126" s="855">
        <v>0</v>
      </c>
      <c r="AJ126" s="987">
        <v>1974</v>
      </c>
      <c r="AK126" s="862">
        <v>0</v>
      </c>
      <c r="AL126" s="863">
        <v>0</v>
      </c>
      <c r="AM126" s="854">
        <v>284</v>
      </c>
      <c r="AN126" s="855">
        <v>470</v>
      </c>
      <c r="AO126" s="855">
        <f t="shared" si="32"/>
        <v>814</v>
      </c>
      <c r="AP126" s="859">
        <f t="shared" si="33"/>
        <v>530</v>
      </c>
      <c r="AQ126" s="860">
        <v>8</v>
      </c>
      <c r="AR126" s="855">
        <v>2272</v>
      </c>
      <c r="AS126" s="855">
        <v>9088</v>
      </c>
      <c r="AT126" s="987">
        <v>511</v>
      </c>
      <c r="AU126" s="989">
        <v>2044</v>
      </c>
      <c r="AV126" s="861">
        <v>6</v>
      </c>
      <c r="AW126" s="855">
        <v>1500000</v>
      </c>
      <c r="AX126" s="855">
        <v>0</v>
      </c>
      <c r="AY126" s="855">
        <v>0</v>
      </c>
      <c r="AZ126" s="855">
        <v>0</v>
      </c>
      <c r="BA126" s="987">
        <v>758</v>
      </c>
      <c r="BB126" s="862">
        <v>27.676056338028172</v>
      </c>
      <c r="BC126" s="863">
        <v>250000</v>
      </c>
      <c r="BD126" s="988">
        <v>332</v>
      </c>
      <c r="BE126" s="987">
        <v>549</v>
      </c>
      <c r="BF126" s="987">
        <f t="shared" si="34"/>
        <v>951</v>
      </c>
      <c r="BG126" s="989">
        <f t="shared" si="35"/>
        <v>619</v>
      </c>
      <c r="BH126" s="860">
        <v>8</v>
      </c>
      <c r="BI126" s="987">
        <v>2656</v>
      </c>
      <c r="BJ126" s="987">
        <v>10624</v>
      </c>
      <c r="BK126" s="987">
        <v>597</v>
      </c>
      <c r="BL126" s="989">
        <v>2390</v>
      </c>
      <c r="BM126" s="992">
        <v>12</v>
      </c>
      <c r="BN126" s="987">
        <v>2250000</v>
      </c>
      <c r="BO126" s="987">
        <v>0</v>
      </c>
      <c r="BP126" s="987">
        <v>1</v>
      </c>
      <c r="BQ126" s="987">
        <v>0</v>
      </c>
      <c r="BR126" s="987">
        <v>1770</v>
      </c>
      <c r="BS126" s="991">
        <v>35.725150602409634</v>
      </c>
      <c r="BT126" s="993">
        <v>187500</v>
      </c>
      <c r="BU126" s="988">
        <v>361</v>
      </c>
      <c r="BV126" s="987">
        <v>596</v>
      </c>
      <c r="BW126" s="987">
        <f t="shared" si="36"/>
        <v>1032</v>
      </c>
      <c r="BX126" s="989">
        <f t="shared" si="37"/>
        <v>671</v>
      </c>
      <c r="BY126" s="860">
        <v>8</v>
      </c>
      <c r="BZ126" s="987">
        <v>2888</v>
      </c>
      <c r="CA126" s="987">
        <v>11552</v>
      </c>
      <c r="CB126" s="987">
        <v>649</v>
      </c>
      <c r="CC126" s="989">
        <v>2599</v>
      </c>
      <c r="CD126" s="992">
        <v>18</v>
      </c>
      <c r="CE126" s="987">
        <v>3000000</v>
      </c>
      <c r="CF126" s="987">
        <v>0</v>
      </c>
      <c r="CG126" s="987">
        <v>0</v>
      </c>
      <c r="CH126" s="987">
        <v>0</v>
      </c>
      <c r="CI126" s="987">
        <v>2882</v>
      </c>
      <c r="CJ126" s="991">
        <v>43.97229916897507</v>
      </c>
      <c r="CK126" s="993">
        <v>166666</v>
      </c>
      <c r="CL126" s="854">
        <v>380</v>
      </c>
      <c r="CM126" s="855">
        <v>628</v>
      </c>
      <c r="CN126" s="855">
        <f t="shared" si="38"/>
        <v>1088</v>
      </c>
      <c r="CO126" s="859">
        <f t="shared" si="39"/>
        <v>708</v>
      </c>
      <c r="CP126" s="860">
        <v>8</v>
      </c>
      <c r="CQ126" s="855">
        <v>3040</v>
      </c>
      <c r="CR126" s="855">
        <v>12160</v>
      </c>
      <c r="CS126" s="987">
        <v>684</v>
      </c>
      <c r="CT126" s="989">
        <v>2736</v>
      </c>
      <c r="CU126" s="992">
        <v>21</v>
      </c>
      <c r="CV126" s="987">
        <v>3750000</v>
      </c>
      <c r="CW126" s="987">
        <v>0</v>
      </c>
      <c r="CX126" s="987">
        <v>0</v>
      </c>
      <c r="CY126" s="987">
        <v>1</v>
      </c>
      <c r="CZ126" s="987">
        <v>3951</v>
      </c>
      <c r="DA126" s="991">
        <v>52.22927631578947</v>
      </c>
      <c r="DB126" s="993">
        <v>178571</v>
      </c>
      <c r="DC126" s="994">
        <v>78</v>
      </c>
      <c r="DD126" s="987">
        <v>10500000</v>
      </c>
      <c r="DE126" s="995">
        <v>0</v>
      </c>
      <c r="DF126" s="995">
        <v>1</v>
      </c>
      <c r="DG126" s="995">
        <v>1</v>
      </c>
      <c r="DH126" s="987">
        <v>11335</v>
      </c>
      <c r="DI126" s="991">
        <v>143.91447368421052</v>
      </c>
      <c r="DJ126" s="993">
        <v>134615.38461538462</v>
      </c>
      <c r="DK126" s="997">
        <v>14</v>
      </c>
      <c r="DL126" s="867" t="s">
        <v>43</v>
      </c>
      <c r="DM126" s="868"/>
      <c r="DN126" s="869"/>
      <c r="DO126" s="870"/>
      <c r="DP126" s="870"/>
      <c r="DQ126" s="870"/>
      <c r="DR126" s="870"/>
      <c r="DS126" s="870"/>
      <c r="DT126" s="870"/>
      <c r="DU126" s="870"/>
      <c r="DV126" s="870"/>
      <c r="DW126" s="870"/>
      <c r="DX126" s="871"/>
      <c r="DY126" s="872" t="s">
        <v>43</v>
      </c>
      <c r="DZ126" s="873"/>
      <c r="EA126" s="852"/>
      <c r="EB126" s="852"/>
      <c r="EC126" s="874"/>
      <c r="ED126" s="875"/>
      <c r="EE126" s="855"/>
      <c r="EF126" s="855"/>
      <c r="EG126" s="855"/>
      <c r="EH126" s="859"/>
      <c r="EI126" s="876"/>
      <c r="EJ126" s="877"/>
    </row>
    <row r="127" spans="2:140">
      <c r="B127" s="1124" t="s">
        <v>253</v>
      </c>
      <c r="C127" s="841" t="s">
        <v>77</v>
      </c>
      <c r="D127" s="842"/>
      <c r="E127" s="843" t="s">
        <v>43</v>
      </c>
      <c r="F127" s="844"/>
      <c r="G127" s="845"/>
      <c r="H127" s="846">
        <v>7</v>
      </c>
      <c r="I127" s="847" t="s">
        <v>271</v>
      </c>
      <c r="J127" s="848">
        <v>12</v>
      </c>
      <c r="K127" s="849">
        <v>0.2</v>
      </c>
      <c r="L127" s="850">
        <v>2</v>
      </c>
      <c r="M127" s="851">
        <v>100</v>
      </c>
      <c r="N127" s="844">
        <v>530</v>
      </c>
      <c r="O127" s="878">
        <v>42382</v>
      </c>
      <c r="P127" s="853" t="s">
        <v>206</v>
      </c>
      <c r="Q127" s="854">
        <v>1000</v>
      </c>
      <c r="R127" s="855">
        <v>500</v>
      </c>
      <c r="S127" s="856">
        <v>156000</v>
      </c>
      <c r="T127" s="857" t="s">
        <v>469</v>
      </c>
      <c r="U127" s="858" t="s">
        <v>526</v>
      </c>
      <c r="V127" s="854">
        <v>334</v>
      </c>
      <c r="W127" s="855">
        <v>167</v>
      </c>
      <c r="X127" s="855">
        <f t="shared" si="30"/>
        <v>289</v>
      </c>
      <c r="Y127" s="859">
        <f t="shared" si="31"/>
        <v>-45</v>
      </c>
      <c r="Z127" s="860">
        <v>13</v>
      </c>
      <c r="AA127" s="855">
        <v>4342</v>
      </c>
      <c r="AB127" s="855">
        <v>52104</v>
      </c>
      <c r="AC127" s="855">
        <v>868</v>
      </c>
      <c r="AD127" s="859">
        <v>10420</v>
      </c>
      <c r="AE127" s="861">
        <v>1.5</v>
      </c>
      <c r="AF127" s="855">
        <v>0</v>
      </c>
      <c r="AG127" s="855">
        <v>0</v>
      </c>
      <c r="AH127" s="855">
        <v>0</v>
      </c>
      <c r="AI127" s="855">
        <v>0</v>
      </c>
      <c r="AJ127" s="855">
        <v>1303</v>
      </c>
      <c r="AK127" s="862">
        <v>0</v>
      </c>
      <c r="AL127" s="863">
        <v>0</v>
      </c>
      <c r="AM127" s="854">
        <v>417</v>
      </c>
      <c r="AN127" s="855">
        <v>209</v>
      </c>
      <c r="AO127" s="855">
        <f t="shared" si="32"/>
        <v>362</v>
      </c>
      <c r="AP127" s="859">
        <f t="shared" si="33"/>
        <v>-55</v>
      </c>
      <c r="AQ127" s="860">
        <v>13</v>
      </c>
      <c r="AR127" s="855">
        <v>5421</v>
      </c>
      <c r="AS127" s="855">
        <v>65052</v>
      </c>
      <c r="AT127" s="855">
        <v>1084</v>
      </c>
      <c r="AU127" s="859">
        <v>13010</v>
      </c>
      <c r="AV127" s="861">
        <v>9</v>
      </c>
      <c r="AW127" s="855">
        <v>4000000</v>
      </c>
      <c r="AX127" s="855">
        <v>0</v>
      </c>
      <c r="AY127" s="855">
        <v>5</v>
      </c>
      <c r="AZ127" s="855">
        <v>0</v>
      </c>
      <c r="BA127" s="855">
        <v>9758</v>
      </c>
      <c r="BB127" s="862">
        <v>31.044994773412039</v>
      </c>
      <c r="BC127" s="863">
        <v>444444</v>
      </c>
      <c r="BD127" s="854">
        <v>500</v>
      </c>
      <c r="BE127" s="855">
        <v>250</v>
      </c>
      <c r="BF127" s="855">
        <f t="shared" si="34"/>
        <v>433</v>
      </c>
      <c r="BG127" s="859">
        <f t="shared" si="35"/>
        <v>-67</v>
      </c>
      <c r="BH127" s="860">
        <v>13</v>
      </c>
      <c r="BI127" s="855">
        <v>6500</v>
      </c>
      <c r="BJ127" s="855">
        <v>78000</v>
      </c>
      <c r="BK127" s="855">
        <v>1300</v>
      </c>
      <c r="BL127" s="859">
        <v>15600</v>
      </c>
      <c r="BM127" s="861">
        <v>18</v>
      </c>
      <c r="BN127" s="855">
        <v>6000000</v>
      </c>
      <c r="BO127" s="855">
        <v>0</v>
      </c>
      <c r="BP127" s="855">
        <v>10</v>
      </c>
      <c r="BQ127" s="855">
        <v>0</v>
      </c>
      <c r="BR127" s="855">
        <v>10000</v>
      </c>
      <c r="BS127" s="862">
        <v>39.087038461538462</v>
      </c>
      <c r="BT127" s="863">
        <v>333333</v>
      </c>
      <c r="BU127" s="854">
        <v>667</v>
      </c>
      <c r="BV127" s="855">
        <v>334</v>
      </c>
      <c r="BW127" s="855">
        <f t="shared" si="36"/>
        <v>578</v>
      </c>
      <c r="BX127" s="859">
        <f t="shared" si="37"/>
        <v>-89</v>
      </c>
      <c r="BY127" s="860">
        <v>13</v>
      </c>
      <c r="BZ127" s="855">
        <v>8671</v>
      </c>
      <c r="CA127" s="855">
        <v>104052</v>
      </c>
      <c r="CB127" s="855">
        <v>1734</v>
      </c>
      <c r="CC127" s="859">
        <v>20810</v>
      </c>
      <c r="CD127" s="861">
        <v>36</v>
      </c>
      <c r="CE127" s="855">
        <v>8000000</v>
      </c>
      <c r="CF127" s="855">
        <v>0</v>
      </c>
      <c r="CG127" s="855">
        <v>0</v>
      </c>
      <c r="CH127" s="855">
        <v>5</v>
      </c>
      <c r="CI127" s="855">
        <v>10000</v>
      </c>
      <c r="CJ127" s="862">
        <v>39.566755083996462</v>
      </c>
      <c r="CK127" s="863">
        <v>222222</v>
      </c>
      <c r="CL127" s="854">
        <v>1000</v>
      </c>
      <c r="CM127" s="855">
        <v>500</v>
      </c>
      <c r="CN127" s="855">
        <f t="shared" si="38"/>
        <v>866</v>
      </c>
      <c r="CO127" s="859">
        <f t="shared" si="39"/>
        <v>-134</v>
      </c>
      <c r="CP127" s="860">
        <v>13</v>
      </c>
      <c r="CQ127" s="855">
        <v>13000</v>
      </c>
      <c r="CR127" s="855">
        <v>156000</v>
      </c>
      <c r="CS127" s="855">
        <v>2600</v>
      </c>
      <c r="CT127" s="859">
        <v>31200</v>
      </c>
      <c r="CU127" s="861">
        <v>72</v>
      </c>
      <c r="CV127" s="855">
        <v>10000000</v>
      </c>
      <c r="CW127" s="855">
        <v>0</v>
      </c>
      <c r="CX127" s="855">
        <v>0</v>
      </c>
      <c r="CY127" s="855">
        <v>10</v>
      </c>
      <c r="CZ127" s="987">
        <v>10000</v>
      </c>
      <c r="DA127" s="862">
        <v>34.052282051282056</v>
      </c>
      <c r="DB127" s="863">
        <v>138888</v>
      </c>
      <c r="DC127" s="864">
        <v>136.5</v>
      </c>
      <c r="DD127" s="855">
        <v>28000000</v>
      </c>
      <c r="DE127" s="865">
        <v>0</v>
      </c>
      <c r="DF127" s="865">
        <v>15</v>
      </c>
      <c r="DG127" s="865">
        <v>15</v>
      </c>
      <c r="DH127" s="987">
        <v>41061</v>
      </c>
      <c r="DI127" s="862">
        <v>89.743589743589737</v>
      </c>
      <c r="DJ127" s="863">
        <v>205128.20512820513</v>
      </c>
      <c r="DK127" s="866"/>
      <c r="DL127" s="867"/>
      <c r="DM127" s="868"/>
      <c r="DN127" s="869"/>
      <c r="DO127" s="870"/>
      <c r="DP127" s="870"/>
      <c r="DQ127" s="870"/>
      <c r="DR127" s="870"/>
      <c r="DS127" s="870"/>
      <c r="DT127" s="870"/>
      <c r="DU127" s="870"/>
      <c r="DV127" s="870"/>
      <c r="DW127" s="870"/>
      <c r="DX127" s="871"/>
      <c r="DY127" s="872" t="s">
        <v>43</v>
      </c>
      <c r="DZ127" s="873"/>
      <c r="EA127" s="852"/>
      <c r="EB127" s="852"/>
      <c r="EC127" s="874"/>
      <c r="ED127" s="875"/>
      <c r="EE127" s="855"/>
      <c r="EF127" s="855"/>
      <c r="EG127" s="855"/>
      <c r="EH127" s="859"/>
      <c r="EI127" s="876"/>
      <c r="EJ127" s="877"/>
    </row>
    <row r="128" spans="2:140">
      <c r="B128" s="1127" t="s">
        <v>65</v>
      </c>
      <c r="C128" s="879" t="s">
        <v>42</v>
      </c>
      <c r="D128" s="880"/>
      <c r="E128" s="881" t="s">
        <v>43</v>
      </c>
      <c r="F128" s="882" t="s">
        <v>43</v>
      </c>
      <c r="G128" s="883"/>
      <c r="H128" s="884">
        <v>1</v>
      </c>
      <c r="I128" s="885" t="s">
        <v>268</v>
      </c>
      <c r="J128" s="886">
        <v>2.5</v>
      </c>
      <c r="K128" s="887">
        <v>0.1</v>
      </c>
      <c r="L128" s="888">
        <v>0.88888888888888884</v>
      </c>
      <c r="M128" s="889">
        <v>30</v>
      </c>
      <c r="N128" s="882">
        <v>16</v>
      </c>
      <c r="O128" s="890" t="s">
        <v>47</v>
      </c>
      <c r="P128" s="891" t="s">
        <v>98</v>
      </c>
      <c r="Q128" s="892">
        <v>120</v>
      </c>
      <c r="R128" s="893">
        <v>135</v>
      </c>
      <c r="S128" s="894">
        <v>900</v>
      </c>
      <c r="T128" s="895" t="s">
        <v>473</v>
      </c>
      <c r="U128" s="896" t="s">
        <v>47</v>
      </c>
      <c r="V128" s="892">
        <v>120</v>
      </c>
      <c r="W128" s="893">
        <v>135</v>
      </c>
      <c r="X128" s="893">
        <f t="shared" si="30"/>
        <v>233</v>
      </c>
      <c r="Y128" s="897">
        <f t="shared" si="31"/>
        <v>113</v>
      </c>
      <c r="Z128" s="898">
        <v>3</v>
      </c>
      <c r="AA128" s="893">
        <v>360</v>
      </c>
      <c r="AB128" s="893">
        <v>900</v>
      </c>
      <c r="AC128" s="893">
        <v>36</v>
      </c>
      <c r="AD128" s="897">
        <v>90</v>
      </c>
      <c r="AE128" s="899">
        <v>2</v>
      </c>
      <c r="AF128" s="893">
        <v>4000</v>
      </c>
      <c r="AG128" s="893">
        <v>0</v>
      </c>
      <c r="AH128" s="893">
        <v>0</v>
      </c>
      <c r="AI128" s="893">
        <v>0</v>
      </c>
      <c r="AJ128" s="893">
        <v>72</v>
      </c>
      <c r="AK128" s="900">
        <v>0.46296296296296297</v>
      </c>
      <c r="AL128" s="901">
        <v>2000</v>
      </c>
      <c r="AM128" s="892">
        <v>180</v>
      </c>
      <c r="AN128" s="893">
        <v>202</v>
      </c>
      <c r="AO128" s="893">
        <f t="shared" si="32"/>
        <v>349</v>
      </c>
      <c r="AP128" s="897">
        <f t="shared" si="33"/>
        <v>169</v>
      </c>
      <c r="AQ128" s="898">
        <v>3</v>
      </c>
      <c r="AR128" s="893">
        <v>540</v>
      </c>
      <c r="AS128" s="893">
        <v>1350</v>
      </c>
      <c r="AT128" s="893">
        <v>54</v>
      </c>
      <c r="AU128" s="897">
        <v>135</v>
      </c>
      <c r="AV128" s="899">
        <v>0.5</v>
      </c>
      <c r="AW128" s="893">
        <v>5000</v>
      </c>
      <c r="AX128" s="893">
        <v>0</v>
      </c>
      <c r="AY128" s="893">
        <v>0</v>
      </c>
      <c r="AZ128" s="893">
        <v>0</v>
      </c>
      <c r="BA128" s="893">
        <v>27</v>
      </c>
      <c r="BB128" s="900">
        <v>0.39969135802469141</v>
      </c>
      <c r="BC128" s="901">
        <v>10000</v>
      </c>
      <c r="BD128" s="892">
        <v>210</v>
      </c>
      <c r="BE128" s="893">
        <v>236</v>
      </c>
      <c r="BF128" s="893">
        <f t="shared" si="34"/>
        <v>408</v>
      </c>
      <c r="BG128" s="897">
        <f t="shared" si="35"/>
        <v>198</v>
      </c>
      <c r="BH128" s="898">
        <v>3</v>
      </c>
      <c r="BI128" s="893">
        <v>630</v>
      </c>
      <c r="BJ128" s="893">
        <v>1575</v>
      </c>
      <c r="BK128" s="893">
        <v>63</v>
      </c>
      <c r="BL128" s="897">
        <v>157</v>
      </c>
      <c r="BM128" s="899">
        <v>1</v>
      </c>
      <c r="BN128" s="893">
        <v>10000</v>
      </c>
      <c r="BO128" s="893">
        <v>1</v>
      </c>
      <c r="BP128" s="893">
        <v>0</v>
      </c>
      <c r="BQ128" s="893">
        <v>0</v>
      </c>
      <c r="BR128" s="893">
        <v>63</v>
      </c>
      <c r="BS128" s="900">
        <v>0.69708994708994709</v>
      </c>
      <c r="BT128" s="901">
        <v>10000</v>
      </c>
      <c r="BU128" s="892">
        <v>228</v>
      </c>
      <c r="BV128" s="893">
        <v>256</v>
      </c>
      <c r="BW128" s="893">
        <f t="shared" si="36"/>
        <v>443</v>
      </c>
      <c r="BX128" s="897">
        <f t="shared" si="37"/>
        <v>215</v>
      </c>
      <c r="BY128" s="898">
        <v>3</v>
      </c>
      <c r="BZ128" s="893">
        <v>684</v>
      </c>
      <c r="CA128" s="893">
        <v>1710</v>
      </c>
      <c r="CB128" s="893">
        <v>68</v>
      </c>
      <c r="CC128" s="897">
        <v>171</v>
      </c>
      <c r="CD128" s="899">
        <v>2</v>
      </c>
      <c r="CE128" s="893">
        <v>15000</v>
      </c>
      <c r="CF128" s="893">
        <v>0</v>
      </c>
      <c r="CG128" s="893">
        <v>0</v>
      </c>
      <c r="CH128" s="893">
        <v>0</v>
      </c>
      <c r="CI128" s="893">
        <v>102</v>
      </c>
      <c r="CJ128" s="900">
        <v>0.99049707602339188</v>
      </c>
      <c r="CK128" s="901">
        <v>7500</v>
      </c>
      <c r="CL128" s="892">
        <v>240</v>
      </c>
      <c r="CM128" s="893">
        <v>270</v>
      </c>
      <c r="CN128" s="893">
        <f t="shared" si="38"/>
        <v>467</v>
      </c>
      <c r="CO128" s="897">
        <f t="shared" si="39"/>
        <v>227</v>
      </c>
      <c r="CP128" s="898">
        <v>3</v>
      </c>
      <c r="CQ128" s="893">
        <v>720</v>
      </c>
      <c r="CR128" s="893">
        <v>1800</v>
      </c>
      <c r="CS128" s="893">
        <v>72</v>
      </c>
      <c r="CT128" s="897">
        <v>180</v>
      </c>
      <c r="CU128" s="899">
        <v>2</v>
      </c>
      <c r="CV128" s="893">
        <v>20000</v>
      </c>
      <c r="CW128" s="893">
        <v>0</v>
      </c>
      <c r="CX128" s="893">
        <v>1</v>
      </c>
      <c r="CY128" s="893">
        <v>0</v>
      </c>
      <c r="CZ128" s="893">
        <v>144</v>
      </c>
      <c r="DA128" s="900">
        <v>1.236574074074074</v>
      </c>
      <c r="DB128" s="901">
        <v>10000</v>
      </c>
      <c r="DC128" s="902">
        <v>7.5</v>
      </c>
      <c r="DD128" s="893">
        <v>54000</v>
      </c>
      <c r="DE128" s="903">
        <v>1</v>
      </c>
      <c r="DF128" s="903">
        <v>1</v>
      </c>
      <c r="DG128" s="903">
        <v>0</v>
      </c>
      <c r="DH128" s="893">
        <v>408</v>
      </c>
      <c r="DI128" s="900">
        <v>3.125</v>
      </c>
      <c r="DJ128" s="901">
        <v>7200</v>
      </c>
      <c r="DK128" s="904">
        <v>2</v>
      </c>
      <c r="DL128" s="905" t="s">
        <v>43</v>
      </c>
      <c r="DM128" s="906"/>
      <c r="DN128" s="907"/>
      <c r="DO128" s="908"/>
      <c r="DP128" s="908"/>
      <c r="DQ128" s="908"/>
      <c r="DR128" s="908"/>
      <c r="DS128" s="908"/>
      <c r="DT128" s="908"/>
      <c r="DU128" s="908"/>
      <c r="DV128" s="908"/>
      <c r="DW128" s="908"/>
      <c r="DX128" s="909"/>
      <c r="DY128" s="910" t="s">
        <v>43</v>
      </c>
      <c r="DZ128" s="911">
        <v>6</v>
      </c>
      <c r="EA128" s="890">
        <v>6</v>
      </c>
      <c r="EB128" s="890">
        <v>16</v>
      </c>
      <c r="EC128" s="912">
        <v>26</v>
      </c>
      <c r="ED128" s="913"/>
      <c r="EE128" s="893"/>
      <c r="EF128" s="893"/>
      <c r="EG128" s="893"/>
      <c r="EH128" s="897"/>
      <c r="EI128" s="914"/>
      <c r="EJ128" s="915"/>
    </row>
    <row r="129" spans="2:140">
      <c r="B129" s="1127" t="s">
        <v>16</v>
      </c>
      <c r="C129" s="879" t="s">
        <v>42</v>
      </c>
      <c r="D129" s="880"/>
      <c r="E129" s="881"/>
      <c r="F129" s="882" t="s">
        <v>43</v>
      </c>
      <c r="G129" s="883"/>
      <c r="H129" s="884">
        <v>1</v>
      </c>
      <c r="I129" s="885" t="s">
        <v>268</v>
      </c>
      <c r="J129" s="886">
        <v>1</v>
      </c>
      <c r="K129" s="887">
        <v>0.13250000000000001</v>
      </c>
      <c r="L129" s="888">
        <v>0.57647058823529407</v>
      </c>
      <c r="M129" s="889">
        <v>30</v>
      </c>
      <c r="N129" s="882">
        <v>9</v>
      </c>
      <c r="O129" s="890" t="s">
        <v>47</v>
      </c>
      <c r="P129" s="891" t="s">
        <v>98</v>
      </c>
      <c r="Q129" s="892">
        <v>98</v>
      </c>
      <c r="R129" s="893">
        <v>170</v>
      </c>
      <c r="S129" s="894">
        <v>686</v>
      </c>
      <c r="T129" s="895" t="s">
        <v>474</v>
      </c>
      <c r="U129" s="896" t="s">
        <v>47</v>
      </c>
      <c r="V129" s="892">
        <v>98</v>
      </c>
      <c r="W129" s="893">
        <v>170</v>
      </c>
      <c r="X129" s="893">
        <f t="shared" si="30"/>
        <v>294</v>
      </c>
      <c r="Y129" s="897">
        <f t="shared" si="31"/>
        <v>196</v>
      </c>
      <c r="Z129" s="898">
        <v>7</v>
      </c>
      <c r="AA129" s="893">
        <v>686</v>
      </c>
      <c r="AB129" s="893">
        <v>686</v>
      </c>
      <c r="AC129" s="893">
        <v>90</v>
      </c>
      <c r="AD129" s="897">
        <v>90</v>
      </c>
      <c r="AE129" s="899">
        <v>4</v>
      </c>
      <c r="AF129" s="893">
        <v>10000</v>
      </c>
      <c r="AG129" s="893">
        <v>0</v>
      </c>
      <c r="AH129" s="893">
        <v>0</v>
      </c>
      <c r="AI129" s="893">
        <v>0</v>
      </c>
      <c r="AJ129" s="893">
        <v>363</v>
      </c>
      <c r="AK129" s="900">
        <v>0.60738581146744408</v>
      </c>
      <c r="AL129" s="901">
        <v>2500</v>
      </c>
      <c r="AM129" s="892">
        <v>147</v>
      </c>
      <c r="AN129" s="893">
        <v>255</v>
      </c>
      <c r="AO129" s="893">
        <f t="shared" si="32"/>
        <v>441</v>
      </c>
      <c r="AP129" s="897">
        <f t="shared" si="33"/>
        <v>294</v>
      </c>
      <c r="AQ129" s="898">
        <v>7</v>
      </c>
      <c r="AR129" s="893">
        <v>1029</v>
      </c>
      <c r="AS129" s="893">
        <v>1029</v>
      </c>
      <c r="AT129" s="893">
        <v>136</v>
      </c>
      <c r="AU129" s="897">
        <v>136</v>
      </c>
      <c r="AV129" s="899">
        <v>1</v>
      </c>
      <c r="AW129" s="893">
        <v>10000</v>
      </c>
      <c r="AX129" s="893">
        <v>0</v>
      </c>
      <c r="AY129" s="893">
        <v>0</v>
      </c>
      <c r="AZ129" s="893">
        <v>0</v>
      </c>
      <c r="BA129" s="893">
        <v>136</v>
      </c>
      <c r="BB129" s="900">
        <v>0.4327016520894072</v>
      </c>
      <c r="BC129" s="901">
        <v>10000</v>
      </c>
      <c r="BD129" s="892">
        <v>171</v>
      </c>
      <c r="BE129" s="893">
        <v>297</v>
      </c>
      <c r="BF129" s="893">
        <f t="shared" si="34"/>
        <v>514</v>
      </c>
      <c r="BG129" s="897">
        <f t="shared" si="35"/>
        <v>343</v>
      </c>
      <c r="BH129" s="898">
        <v>8</v>
      </c>
      <c r="BI129" s="893">
        <v>1368</v>
      </c>
      <c r="BJ129" s="893">
        <v>1368</v>
      </c>
      <c r="BK129" s="893">
        <v>181</v>
      </c>
      <c r="BL129" s="897">
        <v>181</v>
      </c>
      <c r="BM129" s="899">
        <v>2</v>
      </c>
      <c r="BN129" s="893">
        <v>15000</v>
      </c>
      <c r="BO129" s="893">
        <v>1</v>
      </c>
      <c r="BP129" s="893">
        <v>0</v>
      </c>
      <c r="BQ129" s="893">
        <v>0</v>
      </c>
      <c r="BR129" s="893">
        <v>362</v>
      </c>
      <c r="BS129" s="900">
        <v>0.51955409356725146</v>
      </c>
      <c r="BT129" s="901">
        <v>7500</v>
      </c>
      <c r="BU129" s="892">
        <v>186</v>
      </c>
      <c r="BV129" s="893">
        <v>323</v>
      </c>
      <c r="BW129" s="893">
        <f t="shared" si="36"/>
        <v>559</v>
      </c>
      <c r="BX129" s="897">
        <f t="shared" si="37"/>
        <v>373</v>
      </c>
      <c r="BY129" s="898">
        <v>8</v>
      </c>
      <c r="BZ129" s="893">
        <v>1488</v>
      </c>
      <c r="CA129" s="893">
        <v>1488</v>
      </c>
      <c r="CB129" s="893">
        <v>197</v>
      </c>
      <c r="CC129" s="897">
        <v>197</v>
      </c>
      <c r="CD129" s="899">
        <v>3</v>
      </c>
      <c r="CE129" s="893">
        <v>20000</v>
      </c>
      <c r="CF129" s="893">
        <v>0</v>
      </c>
      <c r="CG129" s="893">
        <v>0</v>
      </c>
      <c r="CH129" s="893">
        <v>0</v>
      </c>
      <c r="CI129" s="893">
        <v>591</v>
      </c>
      <c r="CJ129" s="900">
        <v>0.67495519713261654</v>
      </c>
      <c r="CK129" s="901">
        <v>6666</v>
      </c>
      <c r="CL129" s="892">
        <v>196</v>
      </c>
      <c r="CM129" s="893">
        <v>340</v>
      </c>
      <c r="CN129" s="893">
        <f t="shared" si="38"/>
        <v>589</v>
      </c>
      <c r="CO129" s="897">
        <f t="shared" si="39"/>
        <v>393</v>
      </c>
      <c r="CP129" s="898">
        <v>8</v>
      </c>
      <c r="CQ129" s="893">
        <v>1568</v>
      </c>
      <c r="CR129" s="893">
        <v>1568</v>
      </c>
      <c r="CS129" s="893">
        <v>207</v>
      </c>
      <c r="CT129" s="897">
        <v>207</v>
      </c>
      <c r="CU129" s="899">
        <v>4</v>
      </c>
      <c r="CV129" s="893">
        <v>25000</v>
      </c>
      <c r="CW129" s="893">
        <v>0</v>
      </c>
      <c r="CX129" s="893">
        <v>1</v>
      </c>
      <c r="CY129" s="893">
        <v>0</v>
      </c>
      <c r="CZ129" s="893">
        <v>831</v>
      </c>
      <c r="DA129" s="900">
        <v>0.8224914965986394</v>
      </c>
      <c r="DB129" s="901">
        <v>6250</v>
      </c>
      <c r="DC129" s="902">
        <v>14</v>
      </c>
      <c r="DD129" s="893">
        <v>80000</v>
      </c>
      <c r="DE129" s="903">
        <v>1</v>
      </c>
      <c r="DF129" s="903">
        <v>1</v>
      </c>
      <c r="DG129" s="903">
        <v>0</v>
      </c>
      <c r="DH129" s="893">
        <v>2283</v>
      </c>
      <c r="DI129" s="900">
        <v>2.1258503401360547</v>
      </c>
      <c r="DJ129" s="901">
        <v>5714.2857142857147</v>
      </c>
      <c r="DK129" s="904">
        <v>4</v>
      </c>
      <c r="DL129" s="905" t="s">
        <v>43</v>
      </c>
      <c r="DM129" s="906"/>
      <c r="DN129" s="907"/>
      <c r="DO129" s="908"/>
      <c r="DP129" s="908"/>
      <c r="DQ129" s="908"/>
      <c r="DR129" s="908"/>
      <c r="DS129" s="908"/>
      <c r="DT129" s="908"/>
      <c r="DU129" s="908"/>
      <c r="DV129" s="908"/>
      <c r="DW129" s="908"/>
      <c r="DX129" s="909"/>
      <c r="DY129" s="910" t="s">
        <v>43</v>
      </c>
      <c r="DZ129" s="911">
        <v>9</v>
      </c>
      <c r="EA129" s="890">
        <v>9</v>
      </c>
      <c r="EB129" s="890">
        <v>19</v>
      </c>
      <c r="EC129" s="912">
        <v>29</v>
      </c>
      <c r="ED129" s="913"/>
      <c r="EE129" s="893"/>
      <c r="EF129" s="893"/>
      <c r="EG129" s="893"/>
      <c r="EH129" s="897"/>
      <c r="EI129" s="914"/>
      <c r="EJ129" s="915"/>
    </row>
    <row r="130" spans="2:140">
      <c r="B130" s="1127" t="s">
        <v>71</v>
      </c>
      <c r="C130" s="879" t="s">
        <v>42</v>
      </c>
      <c r="D130" s="880"/>
      <c r="E130" s="881" t="s">
        <v>43</v>
      </c>
      <c r="F130" s="882" t="s">
        <v>43</v>
      </c>
      <c r="G130" s="883"/>
      <c r="H130" s="884">
        <v>2</v>
      </c>
      <c r="I130" s="885" t="s">
        <v>268</v>
      </c>
      <c r="J130" s="886">
        <v>3</v>
      </c>
      <c r="K130" s="887">
        <v>0.1</v>
      </c>
      <c r="L130" s="888">
        <v>0.90322580645161288</v>
      </c>
      <c r="M130" s="889">
        <v>30</v>
      </c>
      <c r="N130" s="882">
        <v>24</v>
      </c>
      <c r="O130" s="890" t="s">
        <v>47</v>
      </c>
      <c r="P130" s="891" t="s">
        <v>98</v>
      </c>
      <c r="Q130" s="892">
        <v>140</v>
      </c>
      <c r="R130" s="893">
        <v>155</v>
      </c>
      <c r="S130" s="894">
        <v>1260</v>
      </c>
      <c r="T130" s="895" t="s">
        <v>475</v>
      </c>
      <c r="U130" s="896" t="s">
        <v>47</v>
      </c>
      <c r="V130" s="892">
        <v>140</v>
      </c>
      <c r="W130" s="893">
        <v>155</v>
      </c>
      <c r="X130" s="893">
        <f t="shared" si="30"/>
        <v>268</v>
      </c>
      <c r="Y130" s="897">
        <f t="shared" si="31"/>
        <v>128</v>
      </c>
      <c r="Z130" s="898">
        <v>3</v>
      </c>
      <c r="AA130" s="893">
        <v>420</v>
      </c>
      <c r="AB130" s="893">
        <v>1260</v>
      </c>
      <c r="AC130" s="893">
        <v>42</v>
      </c>
      <c r="AD130" s="897">
        <v>126</v>
      </c>
      <c r="AE130" s="899">
        <v>8</v>
      </c>
      <c r="AF130" s="893">
        <v>25000</v>
      </c>
      <c r="AG130" s="893">
        <v>0</v>
      </c>
      <c r="AH130" s="893">
        <v>0</v>
      </c>
      <c r="AI130" s="893">
        <v>0</v>
      </c>
      <c r="AJ130" s="893">
        <v>336</v>
      </c>
      <c r="AK130" s="900">
        <v>2.4801587301587302</v>
      </c>
      <c r="AL130" s="901">
        <v>3125</v>
      </c>
      <c r="AM130" s="892">
        <v>210</v>
      </c>
      <c r="AN130" s="893">
        <v>232</v>
      </c>
      <c r="AO130" s="893">
        <f t="shared" si="32"/>
        <v>401</v>
      </c>
      <c r="AP130" s="897">
        <f t="shared" si="33"/>
        <v>191</v>
      </c>
      <c r="AQ130" s="898">
        <v>3</v>
      </c>
      <c r="AR130" s="893">
        <v>630</v>
      </c>
      <c r="AS130" s="893">
        <v>1890</v>
      </c>
      <c r="AT130" s="893">
        <v>63</v>
      </c>
      <c r="AU130" s="897">
        <v>189</v>
      </c>
      <c r="AV130" s="899">
        <v>2</v>
      </c>
      <c r="AW130" s="893">
        <v>25000</v>
      </c>
      <c r="AX130" s="893">
        <v>0</v>
      </c>
      <c r="AY130" s="893">
        <v>0</v>
      </c>
      <c r="AZ130" s="893">
        <v>0</v>
      </c>
      <c r="BA130" s="893">
        <v>126</v>
      </c>
      <c r="BB130" s="900">
        <v>1.7089947089947091</v>
      </c>
      <c r="BC130" s="901">
        <v>12500</v>
      </c>
      <c r="BD130" s="892">
        <v>245</v>
      </c>
      <c r="BE130" s="893">
        <v>271</v>
      </c>
      <c r="BF130" s="893">
        <f t="shared" si="34"/>
        <v>469</v>
      </c>
      <c r="BG130" s="897">
        <f t="shared" si="35"/>
        <v>224</v>
      </c>
      <c r="BH130" s="898">
        <v>3</v>
      </c>
      <c r="BI130" s="893">
        <v>735</v>
      </c>
      <c r="BJ130" s="893">
        <v>2205</v>
      </c>
      <c r="BK130" s="893">
        <v>73</v>
      </c>
      <c r="BL130" s="897">
        <v>220</v>
      </c>
      <c r="BM130" s="899">
        <v>4</v>
      </c>
      <c r="BN130" s="893">
        <v>37500</v>
      </c>
      <c r="BO130" s="893">
        <v>1</v>
      </c>
      <c r="BP130" s="893">
        <v>0</v>
      </c>
      <c r="BQ130" s="893">
        <v>0</v>
      </c>
      <c r="BR130" s="893">
        <v>294</v>
      </c>
      <c r="BS130" s="900">
        <v>2.268707482993197</v>
      </c>
      <c r="BT130" s="901">
        <v>9375</v>
      </c>
      <c r="BU130" s="892">
        <v>266</v>
      </c>
      <c r="BV130" s="893">
        <v>294</v>
      </c>
      <c r="BW130" s="893">
        <f t="shared" si="36"/>
        <v>509</v>
      </c>
      <c r="BX130" s="897">
        <f t="shared" si="37"/>
        <v>243</v>
      </c>
      <c r="BY130" s="898">
        <v>3</v>
      </c>
      <c r="BZ130" s="893">
        <v>798</v>
      </c>
      <c r="CA130" s="893">
        <v>2394</v>
      </c>
      <c r="CB130" s="893">
        <v>79</v>
      </c>
      <c r="CC130" s="897">
        <v>239</v>
      </c>
      <c r="CD130" s="899">
        <v>6</v>
      </c>
      <c r="CE130" s="893">
        <v>50000</v>
      </c>
      <c r="CF130" s="893">
        <v>0</v>
      </c>
      <c r="CG130" s="893">
        <v>0</v>
      </c>
      <c r="CH130" s="893">
        <v>0</v>
      </c>
      <c r="CI130" s="893">
        <v>478</v>
      </c>
      <c r="CJ130" s="900">
        <v>2.840956558061821</v>
      </c>
      <c r="CK130" s="901">
        <v>8333</v>
      </c>
      <c r="CL130" s="892">
        <v>280</v>
      </c>
      <c r="CM130" s="893">
        <v>310</v>
      </c>
      <c r="CN130" s="893">
        <f t="shared" si="38"/>
        <v>537</v>
      </c>
      <c r="CO130" s="897">
        <f t="shared" si="39"/>
        <v>257</v>
      </c>
      <c r="CP130" s="898">
        <v>3</v>
      </c>
      <c r="CQ130" s="893">
        <v>840</v>
      </c>
      <c r="CR130" s="893">
        <v>2520</v>
      </c>
      <c r="CS130" s="893">
        <v>84</v>
      </c>
      <c r="CT130" s="897">
        <v>252</v>
      </c>
      <c r="CU130" s="899">
        <v>8</v>
      </c>
      <c r="CV130" s="893">
        <v>62500</v>
      </c>
      <c r="CW130" s="893">
        <v>0</v>
      </c>
      <c r="CX130" s="893">
        <v>1</v>
      </c>
      <c r="CY130" s="893">
        <v>0</v>
      </c>
      <c r="CZ130" s="893">
        <v>672</v>
      </c>
      <c r="DA130" s="900">
        <v>3.4168650793650794</v>
      </c>
      <c r="DB130" s="901">
        <v>7812</v>
      </c>
      <c r="DC130" s="902">
        <v>28</v>
      </c>
      <c r="DD130" s="893">
        <v>200000</v>
      </c>
      <c r="DE130" s="903">
        <v>1</v>
      </c>
      <c r="DF130" s="903">
        <v>1</v>
      </c>
      <c r="DG130" s="903">
        <v>0</v>
      </c>
      <c r="DH130" s="893">
        <v>1906</v>
      </c>
      <c r="DI130" s="900">
        <v>9.9206349206349209</v>
      </c>
      <c r="DJ130" s="901">
        <v>7142.8571428571431</v>
      </c>
      <c r="DK130" s="904">
        <v>8</v>
      </c>
      <c r="DL130" s="905" t="s">
        <v>43</v>
      </c>
      <c r="DM130" s="906"/>
      <c r="DN130" s="907"/>
      <c r="DO130" s="908"/>
      <c r="DP130" s="908"/>
      <c r="DQ130" s="908"/>
      <c r="DR130" s="908"/>
      <c r="DS130" s="908"/>
      <c r="DT130" s="908"/>
      <c r="DU130" s="908"/>
      <c r="DV130" s="908"/>
      <c r="DW130" s="908"/>
      <c r="DX130" s="909"/>
      <c r="DY130" s="910" t="s">
        <v>43</v>
      </c>
      <c r="DZ130" s="911">
        <v>11</v>
      </c>
      <c r="EA130" s="890">
        <v>11</v>
      </c>
      <c r="EB130" s="890">
        <v>21</v>
      </c>
      <c r="EC130" s="912">
        <v>31</v>
      </c>
      <c r="ED130" s="913"/>
      <c r="EE130" s="893"/>
      <c r="EF130" s="893"/>
      <c r="EG130" s="893"/>
      <c r="EH130" s="897"/>
      <c r="EI130" s="914"/>
      <c r="EJ130" s="915"/>
    </row>
    <row r="131" spans="2:140">
      <c r="B131" s="1127" t="s">
        <v>75</v>
      </c>
      <c r="C131" s="879" t="s">
        <v>42</v>
      </c>
      <c r="D131" s="880"/>
      <c r="E131" s="881" t="s">
        <v>43</v>
      </c>
      <c r="F131" s="882"/>
      <c r="G131" s="883"/>
      <c r="H131" s="884">
        <v>3</v>
      </c>
      <c r="I131" s="885" t="s">
        <v>268</v>
      </c>
      <c r="J131" s="886">
        <v>3.5</v>
      </c>
      <c r="K131" s="887">
        <v>0.1</v>
      </c>
      <c r="L131" s="888">
        <v>0.93567251461988299</v>
      </c>
      <c r="M131" s="889">
        <v>30</v>
      </c>
      <c r="N131" s="882">
        <v>33</v>
      </c>
      <c r="O131" s="890" t="s">
        <v>47</v>
      </c>
      <c r="P131" s="891" t="s">
        <v>98</v>
      </c>
      <c r="Q131" s="892">
        <v>160</v>
      </c>
      <c r="R131" s="893">
        <v>171</v>
      </c>
      <c r="S131" s="894">
        <v>2240</v>
      </c>
      <c r="T131" s="895" t="s">
        <v>476</v>
      </c>
      <c r="U131" s="896" t="s">
        <v>47</v>
      </c>
      <c r="V131" s="892">
        <v>160</v>
      </c>
      <c r="W131" s="893">
        <v>171</v>
      </c>
      <c r="X131" s="893">
        <f t="shared" si="30"/>
        <v>296</v>
      </c>
      <c r="Y131" s="897">
        <f t="shared" si="31"/>
        <v>136</v>
      </c>
      <c r="Z131" s="898">
        <v>4</v>
      </c>
      <c r="AA131" s="893">
        <v>640</v>
      </c>
      <c r="AB131" s="893">
        <v>2240</v>
      </c>
      <c r="AC131" s="893">
        <v>64</v>
      </c>
      <c r="AD131" s="897">
        <v>224</v>
      </c>
      <c r="AE131" s="899">
        <v>36</v>
      </c>
      <c r="AF131" s="893">
        <v>170000</v>
      </c>
      <c r="AG131" s="893">
        <v>0</v>
      </c>
      <c r="AH131" s="893">
        <v>0</v>
      </c>
      <c r="AI131" s="893">
        <v>0</v>
      </c>
      <c r="AJ131" s="893">
        <v>2304</v>
      </c>
      <c r="AK131" s="900">
        <v>11.067708333333334</v>
      </c>
      <c r="AL131" s="901">
        <v>4722</v>
      </c>
      <c r="AM131" s="892">
        <v>240</v>
      </c>
      <c r="AN131" s="893">
        <v>256</v>
      </c>
      <c r="AO131" s="893">
        <f t="shared" si="32"/>
        <v>443</v>
      </c>
      <c r="AP131" s="897">
        <f t="shared" si="33"/>
        <v>203</v>
      </c>
      <c r="AQ131" s="898">
        <v>4</v>
      </c>
      <c r="AR131" s="893">
        <v>960</v>
      </c>
      <c r="AS131" s="893">
        <v>3360</v>
      </c>
      <c r="AT131" s="893">
        <v>96</v>
      </c>
      <c r="AU131" s="897">
        <v>336</v>
      </c>
      <c r="AV131" s="899">
        <v>9</v>
      </c>
      <c r="AW131" s="893">
        <v>170000</v>
      </c>
      <c r="AX131" s="893">
        <v>0</v>
      </c>
      <c r="AY131" s="893">
        <v>0</v>
      </c>
      <c r="AZ131" s="893">
        <v>0</v>
      </c>
      <c r="BA131" s="893">
        <v>864</v>
      </c>
      <c r="BB131" s="900">
        <v>7.6284722222222223</v>
      </c>
      <c r="BC131" s="901">
        <v>18888</v>
      </c>
      <c r="BD131" s="892">
        <v>280</v>
      </c>
      <c r="BE131" s="893">
        <v>299</v>
      </c>
      <c r="BF131" s="893">
        <f t="shared" si="34"/>
        <v>518</v>
      </c>
      <c r="BG131" s="897">
        <f t="shared" si="35"/>
        <v>238</v>
      </c>
      <c r="BH131" s="898">
        <v>4</v>
      </c>
      <c r="BI131" s="893">
        <v>1120</v>
      </c>
      <c r="BJ131" s="893">
        <v>3920</v>
      </c>
      <c r="BK131" s="893">
        <v>112</v>
      </c>
      <c r="BL131" s="897">
        <v>392</v>
      </c>
      <c r="BM131" s="899">
        <v>18</v>
      </c>
      <c r="BN131" s="893">
        <v>255000</v>
      </c>
      <c r="BO131" s="893">
        <v>1</v>
      </c>
      <c r="BP131" s="893">
        <v>0</v>
      </c>
      <c r="BQ131" s="893">
        <v>0</v>
      </c>
      <c r="BR131" s="893">
        <v>2016</v>
      </c>
      <c r="BS131" s="900">
        <v>10.129464285714286</v>
      </c>
      <c r="BT131" s="901">
        <v>14166</v>
      </c>
      <c r="BU131" s="892">
        <v>304</v>
      </c>
      <c r="BV131" s="893">
        <v>324</v>
      </c>
      <c r="BW131" s="893">
        <f t="shared" si="36"/>
        <v>561</v>
      </c>
      <c r="BX131" s="897">
        <f t="shared" si="37"/>
        <v>257</v>
      </c>
      <c r="BY131" s="898">
        <v>4</v>
      </c>
      <c r="BZ131" s="893">
        <v>1216</v>
      </c>
      <c r="CA131" s="893">
        <v>4256</v>
      </c>
      <c r="CB131" s="893">
        <v>121</v>
      </c>
      <c r="CC131" s="897">
        <v>425</v>
      </c>
      <c r="CD131" s="899">
        <v>27</v>
      </c>
      <c r="CE131" s="893">
        <v>340000</v>
      </c>
      <c r="CF131" s="893">
        <v>0</v>
      </c>
      <c r="CG131" s="893">
        <v>0</v>
      </c>
      <c r="CH131" s="893">
        <v>0</v>
      </c>
      <c r="CI131" s="893">
        <v>3283</v>
      </c>
      <c r="CJ131" s="900">
        <v>12.68640350877193</v>
      </c>
      <c r="CK131" s="901">
        <v>12592</v>
      </c>
      <c r="CL131" s="892">
        <v>320</v>
      </c>
      <c r="CM131" s="893">
        <v>342</v>
      </c>
      <c r="CN131" s="893">
        <f t="shared" si="38"/>
        <v>592</v>
      </c>
      <c r="CO131" s="897">
        <f t="shared" si="39"/>
        <v>272</v>
      </c>
      <c r="CP131" s="898">
        <v>4</v>
      </c>
      <c r="CQ131" s="893">
        <v>1280</v>
      </c>
      <c r="CR131" s="893">
        <v>4480</v>
      </c>
      <c r="CS131" s="893">
        <v>128</v>
      </c>
      <c r="CT131" s="897">
        <v>448</v>
      </c>
      <c r="CU131" s="899">
        <v>36</v>
      </c>
      <c r="CV131" s="893">
        <v>425000</v>
      </c>
      <c r="CW131" s="893">
        <v>0</v>
      </c>
      <c r="CX131" s="893">
        <v>1</v>
      </c>
      <c r="CY131" s="893">
        <v>0</v>
      </c>
      <c r="CZ131" s="893">
        <v>4608</v>
      </c>
      <c r="DA131" s="900">
        <v>15.259635416666667</v>
      </c>
      <c r="DB131" s="901">
        <v>11805</v>
      </c>
      <c r="DC131" s="902">
        <v>126</v>
      </c>
      <c r="DD131" s="893">
        <v>1360000</v>
      </c>
      <c r="DE131" s="903">
        <v>1</v>
      </c>
      <c r="DF131" s="903">
        <v>1</v>
      </c>
      <c r="DG131" s="903">
        <v>0</v>
      </c>
      <c r="DH131" s="893">
        <v>13075</v>
      </c>
      <c r="DI131" s="900">
        <v>44.270833333333336</v>
      </c>
      <c r="DJ131" s="901">
        <v>10793.650793650793</v>
      </c>
      <c r="DK131" s="904">
        <v>34</v>
      </c>
      <c r="DL131" s="905" t="s">
        <v>43</v>
      </c>
      <c r="DM131" s="906"/>
      <c r="DN131" s="907"/>
      <c r="DO131" s="908"/>
      <c r="DP131" s="908"/>
      <c r="DQ131" s="908"/>
      <c r="DR131" s="908"/>
      <c r="DS131" s="908"/>
      <c r="DT131" s="908"/>
      <c r="DU131" s="908"/>
      <c r="DV131" s="908"/>
      <c r="DW131" s="908"/>
      <c r="DX131" s="909"/>
      <c r="DY131" s="910" t="s">
        <v>43</v>
      </c>
      <c r="DZ131" s="911">
        <v>18</v>
      </c>
      <c r="EA131" s="890">
        <v>18</v>
      </c>
      <c r="EB131" s="890">
        <v>28</v>
      </c>
      <c r="EC131" s="912">
        <v>38</v>
      </c>
      <c r="ED131" s="913"/>
      <c r="EE131" s="893"/>
      <c r="EF131" s="893"/>
      <c r="EG131" s="893"/>
      <c r="EH131" s="897"/>
      <c r="EI131" s="914"/>
      <c r="EJ131" s="915"/>
    </row>
    <row r="132" spans="2:140">
      <c r="B132" s="1127" t="s">
        <v>44</v>
      </c>
      <c r="C132" s="879" t="s">
        <v>42</v>
      </c>
      <c r="D132" s="880"/>
      <c r="E132" s="881" t="s">
        <v>43</v>
      </c>
      <c r="F132" s="882" t="s">
        <v>43</v>
      </c>
      <c r="G132" s="883"/>
      <c r="H132" s="884">
        <v>3</v>
      </c>
      <c r="I132" s="885" t="s">
        <v>268</v>
      </c>
      <c r="J132" s="886">
        <v>4</v>
      </c>
      <c r="K132" s="887">
        <v>0.1</v>
      </c>
      <c r="L132" s="888">
        <v>1.0857142857142856</v>
      </c>
      <c r="M132" s="889">
        <v>30</v>
      </c>
      <c r="N132" s="882">
        <v>46</v>
      </c>
      <c r="O132" s="890" t="s">
        <v>47</v>
      </c>
      <c r="P132" s="891" t="s">
        <v>98</v>
      </c>
      <c r="Q132" s="892">
        <v>190</v>
      </c>
      <c r="R132" s="893">
        <v>175</v>
      </c>
      <c r="S132" s="894">
        <v>3040</v>
      </c>
      <c r="T132" s="895" t="s">
        <v>477</v>
      </c>
      <c r="U132" s="896" t="s">
        <v>47</v>
      </c>
      <c r="V132" s="892">
        <v>190</v>
      </c>
      <c r="W132" s="893">
        <v>175</v>
      </c>
      <c r="X132" s="893">
        <f t="shared" si="30"/>
        <v>303</v>
      </c>
      <c r="Y132" s="897">
        <f t="shared" si="31"/>
        <v>113</v>
      </c>
      <c r="Z132" s="898">
        <v>4</v>
      </c>
      <c r="AA132" s="893">
        <v>760</v>
      </c>
      <c r="AB132" s="893">
        <v>3040</v>
      </c>
      <c r="AC132" s="893">
        <v>76</v>
      </c>
      <c r="AD132" s="897">
        <v>304</v>
      </c>
      <c r="AE132" s="899">
        <v>96</v>
      </c>
      <c r="AF132" s="893">
        <v>800000</v>
      </c>
      <c r="AG132" s="893">
        <v>0</v>
      </c>
      <c r="AH132" s="893">
        <v>0</v>
      </c>
      <c r="AI132" s="893">
        <v>0</v>
      </c>
      <c r="AJ132" s="893">
        <v>7296</v>
      </c>
      <c r="AK132" s="900">
        <v>43.859649122807014</v>
      </c>
      <c r="AL132" s="901">
        <v>8333</v>
      </c>
      <c r="AM132" s="892">
        <v>285</v>
      </c>
      <c r="AN132" s="893">
        <v>262</v>
      </c>
      <c r="AO132" s="893">
        <f t="shared" si="32"/>
        <v>453</v>
      </c>
      <c r="AP132" s="897">
        <f t="shared" si="33"/>
        <v>168</v>
      </c>
      <c r="AQ132" s="898">
        <v>4</v>
      </c>
      <c r="AR132" s="893">
        <v>1140</v>
      </c>
      <c r="AS132" s="893">
        <v>4560</v>
      </c>
      <c r="AT132" s="893">
        <v>114</v>
      </c>
      <c r="AU132" s="897">
        <v>456</v>
      </c>
      <c r="AV132" s="899">
        <v>24</v>
      </c>
      <c r="AW132" s="893">
        <v>800000</v>
      </c>
      <c r="AX132" s="893">
        <v>0</v>
      </c>
      <c r="AY132" s="893">
        <v>0</v>
      </c>
      <c r="AZ132" s="893">
        <v>0</v>
      </c>
      <c r="BA132" s="893">
        <v>2736</v>
      </c>
      <c r="BB132" s="900">
        <v>29.906432748538013</v>
      </c>
      <c r="BC132" s="901">
        <v>33333</v>
      </c>
      <c r="BD132" s="892">
        <v>332</v>
      </c>
      <c r="BE132" s="893">
        <v>306</v>
      </c>
      <c r="BF132" s="893">
        <f t="shared" si="34"/>
        <v>530</v>
      </c>
      <c r="BG132" s="897">
        <f t="shared" si="35"/>
        <v>198</v>
      </c>
      <c r="BH132" s="898">
        <v>4</v>
      </c>
      <c r="BI132" s="893">
        <v>1328</v>
      </c>
      <c r="BJ132" s="893">
        <v>5312</v>
      </c>
      <c r="BK132" s="893">
        <v>132</v>
      </c>
      <c r="BL132" s="897">
        <v>531</v>
      </c>
      <c r="BM132" s="899">
        <v>48</v>
      </c>
      <c r="BN132" s="893">
        <v>1200000</v>
      </c>
      <c r="BO132" s="893">
        <v>1</v>
      </c>
      <c r="BP132" s="893">
        <v>0</v>
      </c>
      <c r="BQ132" s="893">
        <v>0</v>
      </c>
      <c r="BR132" s="893">
        <v>6374</v>
      </c>
      <c r="BS132" s="900">
        <v>39.367469879518076</v>
      </c>
      <c r="BT132" s="901">
        <v>25000</v>
      </c>
      <c r="BU132" s="892">
        <v>361</v>
      </c>
      <c r="BV132" s="893">
        <v>332</v>
      </c>
      <c r="BW132" s="893">
        <f t="shared" si="36"/>
        <v>575</v>
      </c>
      <c r="BX132" s="897">
        <f t="shared" si="37"/>
        <v>214</v>
      </c>
      <c r="BY132" s="898">
        <v>4</v>
      </c>
      <c r="BZ132" s="893">
        <v>1444</v>
      </c>
      <c r="CA132" s="893">
        <v>5776</v>
      </c>
      <c r="CB132" s="893">
        <v>144</v>
      </c>
      <c r="CC132" s="897">
        <v>577</v>
      </c>
      <c r="CD132" s="899">
        <v>72</v>
      </c>
      <c r="CE132" s="893">
        <v>1600000</v>
      </c>
      <c r="CF132" s="893">
        <v>0</v>
      </c>
      <c r="CG132" s="893">
        <v>0</v>
      </c>
      <c r="CH132" s="893">
        <v>0</v>
      </c>
      <c r="CI132" s="893">
        <v>10000</v>
      </c>
      <c r="CJ132" s="900">
        <v>48.927054478301017</v>
      </c>
      <c r="CK132" s="901">
        <v>22222</v>
      </c>
      <c r="CL132" s="892">
        <v>380</v>
      </c>
      <c r="CM132" s="893">
        <v>350</v>
      </c>
      <c r="CN132" s="893">
        <f t="shared" si="38"/>
        <v>606</v>
      </c>
      <c r="CO132" s="897">
        <f t="shared" si="39"/>
        <v>226</v>
      </c>
      <c r="CP132" s="898">
        <v>4</v>
      </c>
      <c r="CQ132" s="893">
        <v>1520</v>
      </c>
      <c r="CR132" s="893">
        <v>6080</v>
      </c>
      <c r="CS132" s="893">
        <v>152</v>
      </c>
      <c r="CT132" s="897">
        <v>608</v>
      </c>
      <c r="CU132" s="899">
        <v>96</v>
      </c>
      <c r="CV132" s="893">
        <v>2000000</v>
      </c>
      <c r="CW132" s="893">
        <v>0</v>
      </c>
      <c r="CX132" s="893">
        <v>1</v>
      </c>
      <c r="CY132" s="893">
        <v>0</v>
      </c>
      <c r="CZ132" s="893">
        <v>10000</v>
      </c>
      <c r="DA132" s="900">
        <v>58.624561403508771</v>
      </c>
      <c r="DB132" s="901">
        <v>20833</v>
      </c>
      <c r="DC132" s="902">
        <v>336</v>
      </c>
      <c r="DD132" s="893">
        <v>6400000</v>
      </c>
      <c r="DE132" s="903">
        <v>1</v>
      </c>
      <c r="DF132" s="903">
        <v>1</v>
      </c>
      <c r="DG132" s="903">
        <v>0</v>
      </c>
      <c r="DH132" s="893">
        <v>36406</v>
      </c>
      <c r="DI132" s="900">
        <v>175.43859649122805</v>
      </c>
      <c r="DJ132" s="901">
        <v>19047.619047619046</v>
      </c>
      <c r="DK132" s="904">
        <v>92</v>
      </c>
      <c r="DL132" s="905" t="s">
        <v>43</v>
      </c>
      <c r="DM132" s="906"/>
      <c r="DN132" s="907"/>
      <c r="DO132" s="908"/>
      <c r="DP132" s="908"/>
      <c r="DQ132" s="908"/>
      <c r="DR132" s="908"/>
      <c r="DS132" s="908"/>
      <c r="DT132" s="908"/>
      <c r="DU132" s="908"/>
      <c r="DV132" s="908"/>
      <c r="DW132" s="908"/>
      <c r="DX132" s="909"/>
      <c r="DY132" s="910" t="s">
        <v>43</v>
      </c>
      <c r="DZ132" s="911">
        <v>31</v>
      </c>
      <c r="EA132" s="890">
        <v>31</v>
      </c>
      <c r="EB132" s="890">
        <v>41</v>
      </c>
      <c r="EC132" s="912">
        <v>51</v>
      </c>
      <c r="ED132" s="913"/>
      <c r="EE132" s="893"/>
      <c r="EF132" s="893"/>
      <c r="EG132" s="893"/>
      <c r="EH132" s="897"/>
      <c r="EI132" s="914"/>
      <c r="EJ132" s="915"/>
    </row>
    <row r="133" spans="2:140">
      <c r="B133" s="1127" t="s">
        <v>95</v>
      </c>
      <c r="C133" s="879" t="s">
        <v>42</v>
      </c>
      <c r="D133" s="880"/>
      <c r="E133" s="881" t="s">
        <v>43</v>
      </c>
      <c r="F133" s="882"/>
      <c r="G133" s="883"/>
      <c r="H133" s="884">
        <v>3</v>
      </c>
      <c r="I133" s="885" t="s">
        <v>268</v>
      </c>
      <c r="J133" s="886">
        <v>4.5</v>
      </c>
      <c r="K133" s="887">
        <v>0.1</v>
      </c>
      <c r="L133" s="888">
        <v>1.2359550561797752</v>
      </c>
      <c r="M133" s="889">
        <v>30</v>
      </c>
      <c r="N133" s="882">
        <v>53</v>
      </c>
      <c r="O133" s="890" t="s">
        <v>47</v>
      </c>
      <c r="P133" s="891" t="s">
        <v>98</v>
      </c>
      <c r="Q133" s="892">
        <v>220</v>
      </c>
      <c r="R133" s="893">
        <v>178</v>
      </c>
      <c r="S133" s="894">
        <v>3960</v>
      </c>
      <c r="T133" s="895" t="s">
        <v>478</v>
      </c>
      <c r="U133" s="896" t="s">
        <v>47</v>
      </c>
      <c r="V133" s="892">
        <v>220</v>
      </c>
      <c r="W133" s="893">
        <v>178</v>
      </c>
      <c r="X133" s="893">
        <f t="shared" si="30"/>
        <v>308</v>
      </c>
      <c r="Y133" s="897">
        <f t="shared" si="31"/>
        <v>88</v>
      </c>
      <c r="Z133" s="898">
        <v>4</v>
      </c>
      <c r="AA133" s="893">
        <v>880</v>
      </c>
      <c r="AB133" s="893">
        <v>3960</v>
      </c>
      <c r="AC133" s="893">
        <v>88</v>
      </c>
      <c r="AD133" s="897">
        <v>396</v>
      </c>
      <c r="AE133" s="899">
        <v>168</v>
      </c>
      <c r="AF133" s="893">
        <v>2000000</v>
      </c>
      <c r="AG133" s="893">
        <v>0</v>
      </c>
      <c r="AH133" s="893">
        <v>0</v>
      </c>
      <c r="AI133" s="893">
        <v>0</v>
      </c>
      <c r="AJ133" s="893">
        <v>10000</v>
      </c>
      <c r="AK133" s="900">
        <v>94.696969696969688</v>
      </c>
      <c r="AL133" s="901">
        <v>11904</v>
      </c>
      <c r="AM133" s="892">
        <v>330</v>
      </c>
      <c r="AN133" s="893">
        <v>267</v>
      </c>
      <c r="AO133" s="893">
        <f t="shared" si="32"/>
        <v>462</v>
      </c>
      <c r="AP133" s="897">
        <f t="shared" si="33"/>
        <v>132</v>
      </c>
      <c r="AQ133" s="898">
        <v>4</v>
      </c>
      <c r="AR133" s="893">
        <v>1320</v>
      </c>
      <c r="AS133" s="893">
        <v>5940</v>
      </c>
      <c r="AT133" s="893">
        <v>132</v>
      </c>
      <c r="AU133" s="897">
        <v>594</v>
      </c>
      <c r="AV133" s="899">
        <v>42</v>
      </c>
      <c r="AW133" s="893">
        <v>2000000</v>
      </c>
      <c r="AX133" s="893">
        <v>0</v>
      </c>
      <c r="AY133" s="893">
        <v>0</v>
      </c>
      <c r="AZ133" s="893">
        <v>0</v>
      </c>
      <c r="BA133" s="893">
        <v>5544</v>
      </c>
      <c r="BB133" s="900">
        <v>64.297979797979806</v>
      </c>
      <c r="BC133" s="901">
        <v>47619</v>
      </c>
      <c r="BD133" s="892">
        <v>385</v>
      </c>
      <c r="BE133" s="893">
        <v>311</v>
      </c>
      <c r="BF133" s="893">
        <f t="shared" si="34"/>
        <v>538</v>
      </c>
      <c r="BG133" s="897">
        <f t="shared" si="35"/>
        <v>153</v>
      </c>
      <c r="BH133" s="898">
        <v>4</v>
      </c>
      <c r="BI133" s="893">
        <v>1540</v>
      </c>
      <c r="BJ133" s="893">
        <v>6930</v>
      </c>
      <c r="BK133" s="893">
        <v>154</v>
      </c>
      <c r="BL133" s="897">
        <v>693</v>
      </c>
      <c r="BM133" s="899">
        <v>84</v>
      </c>
      <c r="BN133" s="893">
        <v>3000000</v>
      </c>
      <c r="BO133" s="893">
        <v>1</v>
      </c>
      <c r="BP133" s="893">
        <v>0</v>
      </c>
      <c r="BQ133" s="893">
        <v>0</v>
      </c>
      <c r="BR133" s="893">
        <v>10000</v>
      </c>
      <c r="BS133" s="900">
        <v>84.168831168831176</v>
      </c>
      <c r="BT133" s="901">
        <v>35714</v>
      </c>
      <c r="BU133" s="892">
        <v>418</v>
      </c>
      <c r="BV133" s="893">
        <v>338</v>
      </c>
      <c r="BW133" s="893">
        <f t="shared" si="36"/>
        <v>585</v>
      </c>
      <c r="BX133" s="897">
        <f t="shared" si="37"/>
        <v>167</v>
      </c>
      <c r="BY133" s="898">
        <v>4</v>
      </c>
      <c r="BZ133" s="893">
        <v>1672</v>
      </c>
      <c r="CA133" s="893">
        <v>7524</v>
      </c>
      <c r="CB133" s="893">
        <v>167</v>
      </c>
      <c r="CC133" s="897">
        <v>752</v>
      </c>
      <c r="CD133" s="899">
        <v>126</v>
      </c>
      <c r="CE133" s="893">
        <v>4000000</v>
      </c>
      <c r="CF133" s="893">
        <v>0</v>
      </c>
      <c r="CG133" s="893">
        <v>0</v>
      </c>
      <c r="CH133" s="893">
        <v>0</v>
      </c>
      <c r="CI133" s="893">
        <v>10000</v>
      </c>
      <c r="CJ133" s="900">
        <v>104.51654704944178</v>
      </c>
      <c r="CK133" s="901">
        <v>31746</v>
      </c>
      <c r="CL133" s="892">
        <v>440</v>
      </c>
      <c r="CM133" s="893">
        <v>356</v>
      </c>
      <c r="CN133" s="893">
        <f t="shared" si="38"/>
        <v>616</v>
      </c>
      <c r="CO133" s="897">
        <f t="shared" si="39"/>
        <v>176</v>
      </c>
      <c r="CP133" s="898">
        <v>4</v>
      </c>
      <c r="CQ133" s="893">
        <v>1760</v>
      </c>
      <c r="CR133" s="893">
        <v>7920</v>
      </c>
      <c r="CS133" s="893">
        <v>176</v>
      </c>
      <c r="CT133" s="897">
        <v>792</v>
      </c>
      <c r="CU133" s="899">
        <v>168</v>
      </c>
      <c r="CV133" s="893">
        <v>5000000</v>
      </c>
      <c r="CW133" s="893">
        <v>0</v>
      </c>
      <c r="CX133" s="893">
        <v>1</v>
      </c>
      <c r="CY133" s="893">
        <v>0</v>
      </c>
      <c r="CZ133" s="893">
        <v>10000</v>
      </c>
      <c r="DA133" s="900">
        <v>125.02121212121212</v>
      </c>
      <c r="DB133" s="901">
        <v>29761</v>
      </c>
      <c r="DC133" s="902">
        <v>588</v>
      </c>
      <c r="DD133" s="893">
        <v>16000000</v>
      </c>
      <c r="DE133" s="903">
        <v>1</v>
      </c>
      <c r="DF133" s="903">
        <v>1</v>
      </c>
      <c r="DG133" s="903">
        <v>0</v>
      </c>
      <c r="DH133" s="893">
        <v>45544</v>
      </c>
      <c r="DI133" s="900">
        <v>378.78787878787875</v>
      </c>
      <c r="DJ133" s="901">
        <v>27210.884353741498</v>
      </c>
      <c r="DK133" s="904">
        <v>160</v>
      </c>
      <c r="DL133" s="905" t="s">
        <v>43</v>
      </c>
      <c r="DM133" s="906"/>
      <c r="DN133" s="907"/>
      <c r="DO133" s="908"/>
      <c r="DP133" s="908"/>
      <c r="DQ133" s="908"/>
      <c r="DR133" s="908"/>
      <c r="DS133" s="908"/>
      <c r="DT133" s="908"/>
      <c r="DU133" s="908"/>
      <c r="DV133" s="908"/>
      <c r="DW133" s="908"/>
      <c r="DX133" s="909"/>
      <c r="DY133" s="910" t="s">
        <v>43</v>
      </c>
      <c r="DZ133" s="911">
        <v>44</v>
      </c>
      <c r="EA133" s="890">
        <v>44</v>
      </c>
      <c r="EB133" s="890">
        <v>54</v>
      </c>
      <c r="EC133" s="912">
        <v>64</v>
      </c>
      <c r="ED133" s="913"/>
      <c r="EE133" s="893"/>
      <c r="EF133" s="893"/>
      <c r="EG133" s="893"/>
      <c r="EH133" s="897"/>
      <c r="EI133" s="914"/>
      <c r="EJ133" s="915"/>
    </row>
    <row r="134" spans="2:140">
      <c r="B134" s="1127" t="s">
        <v>100</v>
      </c>
      <c r="C134" s="879" t="s">
        <v>42</v>
      </c>
      <c r="D134" s="880" t="s">
        <v>43</v>
      </c>
      <c r="E134" s="881" t="s">
        <v>43</v>
      </c>
      <c r="F134" s="882"/>
      <c r="G134" s="883"/>
      <c r="H134" s="884">
        <v>3</v>
      </c>
      <c r="I134" s="885" t="s">
        <v>268</v>
      </c>
      <c r="J134" s="886">
        <v>5</v>
      </c>
      <c r="K134" s="887">
        <v>0.1</v>
      </c>
      <c r="L134" s="888">
        <v>1.3850415512465375</v>
      </c>
      <c r="M134" s="889">
        <v>30</v>
      </c>
      <c r="N134" s="882">
        <v>62</v>
      </c>
      <c r="O134" s="890" t="s">
        <v>47</v>
      </c>
      <c r="P134" s="891" t="s">
        <v>98</v>
      </c>
      <c r="Q134" s="892">
        <v>500</v>
      </c>
      <c r="R134" s="893">
        <v>361</v>
      </c>
      <c r="S134" s="894">
        <v>22500</v>
      </c>
      <c r="T134" s="895" t="s">
        <v>479</v>
      </c>
      <c r="U134" s="896" t="s">
        <v>47</v>
      </c>
      <c r="V134" s="892">
        <v>500</v>
      </c>
      <c r="W134" s="893">
        <v>361</v>
      </c>
      <c r="X134" s="893">
        <f t="shared" ref="X134:X165" si="40">INT(W134*$C$1/100)</f>
        <v>625</v>
      </c>
      <c r="Y134" s="897">
        <f t="shared" ref="Y134:Y165" si="41">X134-V134</f>
        <v>125</v>
      </c>
      <c r="Z134" s="898">
        <v>9</v>
      </c>
      <c r="AA134" s="893">
        <v>4500</v>
      </c>
      <c r="AB134" s="893">
        <v>22500</v>
      </c>
      <c r="AC134" s="893">
        <v>450</v>
      </c>
      <c r="AD134" s="897">
        <v>2250</v>
      </c>
      <c r="AE134" s="899">
        <v>240</v>
      </c>
      <c r="AF134" s="893">
        <v>10000000</v>
      </c>
      <c r="AG134" s="893">
        <v>0</v>
      </c>
      <c r="AH134" s="893">
        <v>0</v>
      </c>
      <c r="AI134" s="893">
        <v>0</v>
      </c>
      <c r="AJ134" s="893">
        <v>10000</v>
      </c>
      <c r="AK134" s="900">
        <v>92.592592592592595</v>
      </c>
      <c r="AL134" s="901">
        <v>41666</v>
      </c>
      <c r="AM134" s="892">
        <v>750</v>
      </c>
      <c r="AN134" s="893">
        <v>541</v>
      </c>
      <c r="AO134" s="893">
        <f t="shared" ref="AO134:AO165" si="42">INT(AN134*$C$1/100)</f>
        <v>937</v>
      </c>
      <c r="AP134" s="897">
        <f t="shared" ref="AP134:AP165" si="43">AO134-AM134</f>
        <v>187</v>
      </c>
      <c r="AQ134" s="898">
        <v>9</v>
      </c>
      <c r="AR134" s="893">
        <v>6750</v>
      </c>
      <c r="AS134" s="893">
        <v>33750</v>
      </c>
      <c r="AT134" s="893">
        <v>675</v>
      </c>
      <c r="AU134" s="897">
        <v>3375</v>
      </c>
      <c r="AV134" s="899">
        <v>60</v>
      </c>
      <c r="AW134" s="893">
        <v>10000000</v>
      </c>
      <c r="AX134" s="893">
        <v>0</v>
      </c>
      <c r="AY134" s="893">
        <v>0</v>
      </c>
      <c r="AZ134" s="893">
        <v>0</v>
      </c>
      <c r="BA134" s="893">
        <v>10000</v>
      </c>
      <c r="BB134" s="900">
        <v>63.395061728395063</v>
      </c>
      <c r="BC134" s="901">
        <v>166666</v>
      </c>
      <c r="BD134" s="892">
        <v>875</v>
      </c>
      <c r="BE134" s="893">
        <v>631</v>
      </c>
      <c r="BF134" s="893">
        <f t="shared" ref="BF134:BF165" si="44">INT(BE134*$C$1/100)</f>
        <v>1093</v>
      </c>
      <c r="BG134" s="897">
        <f t="shared" ref="BG134:BG165" si="45">BF134-BD134</f>
        <v>218</v>
      </c>
      <c r="BH134" s="898">
        <v>10</v>
      </c>
      <c r="BI134" s="893">
        <v>8750</v>
      </c>
      <c r="BJ134" s="893">
        <v>43750</v>
      </c>
      <c r="BK134" s="893">
        <v>875</v>
      </c>
      <c r="BL134" s="897">
        <v>4375</v>
      </c>
      <c r="BM134" s="899">
        <v>120</v>
      </c>
      <c r="BN134" s="893">
        <v>15000000</v>
      </c>
      <c r="BO134" s="893">
        <v>1</v>
      </c>
      <c r="BP134" s="893">
        <v>0</v>
      </c>
      <c r="BQ134" s="893">
        <v>0</v>
      </c>
      <c r="BR134" s="893">
        <v>10000</v>
      </c>
      <c r="BS134" s="900">
        <v>75.285714285714292</v>
      </c>
      <c r="BT134" s="901">
        <v>125000</v>
      </c>
      <c r="BU134" s="892">
        <v>950</v>
      </c>
      <c r="BV134" s="893">
        <v>685</v>
      </c>
      <c r="BW134" s="893">
        <f t="shared" ref="BW134:BW165" si="46">INT(BV134*$C$1/100)</f>
        <v>1186</v>
      </c>
      <c r="BX134" s="897">
        <f t="shared" ref="BX134:BX165" si="47">BW134-BU134</f>
        <v>236</v>
      </c>
      <c r="BY134" s="898">
        <v>10</v>
      </c>
      <c r="BZ134" s="893">
        <v>9500</v>
      </c>
      <c r="CA134" s="893">
        <v>47500</v>
      </c>
      <c r="CB134" s="893">
        <v>950</v>
      </c>
      <c r="CC134" s="897">
        <v>4750</v>
      </c>
      <c r="CD134" s="899">
        <v>180</v>
      </c>
      <c r="CE134" s="893">
        <v>20000000</v>
      </c>
      <c r="CF134" s="893">
        <v>0</v>
      </c>
      <c r="CG134" s="893">
        <v>0</v>
      </c>
      <c r="CH134" s="893">
        <v>0</v>
      </c>
      <c r="CI134" s="893">
        <v>10000</v>
      </c>
      <c r="CJ134" s="900">
        <v>94.627192982456151</v>
      </c>
      <c r="CK134" s="901">
        <v>111111</v>
      </c>
      <c r="CL134" s="892">
        <v>1000</v>
      </c>
      <c r="CM134" s="893">
        <v>722</v>
      </c>
      <c r="CN134" s="893">
        <f t="shared" ref="CN134:CN165" si="48">INT(CM134*$C$1/100)</f>
        <v>1250</v>
      </c>
      <c r="CO134" s="897">
        <f t="shared" ref="CO134:CO165" si="49">CN134-CL134</f>
        <v>250</v>
      </c>
      <c r="CP134" s="898">
        <v>10</v>
      </c>
      <c r="CQ134" s="893">
        <v>10000</v>
      </c>
      <c r="CR134" s="893">
        <v>50000</v>
      </c>
      <c r="CS134" s="893">
        <v>1000</v>
      </c>
      <c r="CT134" s="897">
        <v>5000</v>
      </c>
      <c r="CU134" s="899">
        <v>240</v>
      </c>
      <c r="CV134" s="893">
        <v>25000000</v>
      </c>
      <c r="CW134" s="893">
        <v>0</v>
      </c>
      <c r="CX134" s="893">
        <v>1</v>
      </c>
      <c r="CY134" s="893">
        <v>0</v>
      </c>
      <c r="CZ134" s="893">
        <v>10000</v>
      </c>
      <c r="DA134" s="900">
        <v>113.66666666666667</v>
      </c>
      <c r="DB134" s="901">
        <v>104166</v>
      </c>
      <c r="DC134" s="902">
        <v>840</v>
      </c>
      <c r="DD134" s="893">
        <v>80000000</v>
      </c>
      <c r="DE134" s="903">
        <v>1</v>
      </c>
      <c r="DF134" s="903">
        <v>1</v>
      </c>
      <c r="DG134" s="903">
        <v>0</v>
      </c>
      <c r="DH134" s="893">
        <v>50000</v>
      </c>
      <c r="DI134" s="900">
        <v>333.33333333333331</v>
      </c>
      <c r="DJ134" s="901">
        <v>95238.095238095237</v>
      </c>
      <c r="DK134" s="904">
        <v>229</v>
      </c>
      <c r="DL134" s="905" t="s">
        <v>43</v>
      </c>
      <c r="DM134" s="906"/>
      <c r="DN134" s="907"/>
      <c r="DO134" s="908"/>
      <c r="DP134" s="908"/>
      <c r="DQ134" s="908"/>
      <c r="DR134" s="908"/>
      <c r="DS134" s="908"/>
      <c r="DT134" s="908"/>
      <c r="DU134" s="908"/>
      <c r="DV134" s="908"/>
      <c r="DW134" s="908"/>
      <c r="DX134" s="909"/>
      <c r="DY134" s="910" t="s">
        <v>43</v>
      </c>
      <c r="DZ134" s="911">
        <v>67</v>
      </c>
      <c r="EA134" s="890"/>
      <c r="EB134" s="890"/>
      <c r="EC134" s="912"/>
      <c r="ED134" s="913"/>
      <c r="EE134" s="893"/>
      <c r="EF134" s="893"/>
      <c r="EG134" s="893"/>
      <c r="EH134" s="897"/>
      <c r="EI134" s="914"/>
      <c r="EJ134" s="915"/>
    </row>
    <row r="135" spans="2:140">
      <c r="B135" s="1127" t="s">
        <v>69</v>
      </c>
      <c r="C135" s="879" t="s">
        <v>42</v>
      </c>
      <c r="D135" s="880"/>
      <c r="E135" s="881" t="s">
        <v>43</v>
      </c>
      <c r="F135" s="882"/>
      <c r="G135" s="883"/>
      <c r="H135" s="884">
        <v>3</v>
      </c>
      <c r="I135" s="885" t="s">
        <v>283</v>
      </c>
      <c r="J135" s="886">
        <v>1</v>
      </c>
      <c r="K135" s="887">
        <v>0.1</v>
      </c>
      <c r="L135" s="888">
        <v>0.57219251336898391</v>
      </c>
      <c r="M135" s="889">
        <v>30</v>
      </c>
      <c r="N135" s="882">
        <v>12</v>
      </c>
      <c r="O135" s="890" t="s">
        <v>47</v>
      </c>
      <c r="P135" s="891" t="s">
        <v>98</v>
      </c>
      <c r="Q135" s="892">
        <v>107</v>
      </c>
      <c r="R135" s="893">
        <v>187</v>
      </c>
      <c r="S135" s="894">
        <v>749</v>
      </c>
      <c r="T135" s="895" t="s">
        <v>480</v>
      </c>
      <c r="U135" s="896" t="s">
        <v>47</v>
      </c>
      <c r="V135" s="892">
        <v>107</v>
      </c>
      <c r="W135" s="893">
        <v>187</v>
      </c>
      <c r="X135" s="893">
        <f t="shared" si="40"/>
        <v>323</v>
      </c>
      <c r="Y135" s="897">
        <f t="shared" si="41"/>
        <v>216</v>
      </c>
      <c r="Z135" s="898">
        <v>7</v>
      </c>
      <c r="AA135" s="893">
        <v>749</v>
      </c>
      <c r="AB135" s="893">
        <v>749</v>
      </c>
      <c r="AC135" s="893">
        <v>74</v>
      </c>
      <c r="AD135" s="897">
        <v>74</v>
      </c>
      <c r="AE135" s="899">
        <v>1</v>
      </c>
      <c r="AF135" s="893">
        <v>0</v>
      </c>
      <c r="AG135" s="893">
        <v>0</v>
      </c>
      <c r="AH135" s="893">
        <v>0</v>
      </c>
      <c r="AI135" s="893">
        <v>0</v>
      </c>
      <c r="AJ135" s="893">
        <v>74</v>
      </c>
      <c r="AK135" s="900">
        <v>0</v>
      </c>
      <c r="AL135" s="901">
        <v>0</v>
      </c>
      <c r="AM135" s="892">
        <v>160</v>
      </c>
      <c r="AN135" s="893">
        <v>280</v>
      </c>
      <c r="AO135" s="893">
        <f t="shared" si="42"/>
        <v>485</v>
      </c>
      <c r="AP135" s="897">
        <f t="shared" si="43"/>
        <v>325</v>
      </c>
      <c r="AQ135" s="898">
        <v>7</v>
      </c>
      <c r="AR135" s="893">
        <v>1120</v>
      </c>
      <c r="AS135" s="893">
        <v>1120</v>
      </c>
      <c r="AT135" s="893">
        <v>112</v>
      </c>
      <c r="AU135" s="897">
        <v>112</v>
      </c>
      <c r="AV135" s="899">
        <v>0.16666666666666666</v>
      </c>
      <c r="AW135" s="893">
        <v>3000</v>
      </c>
      <c r="AX135" s="893">
        <v>0</v>
      </c>
      <c r="AY135" s="893">
        <v>0</v>
      </c>
      <c r="AZ135" s="893">
        <v>0</v>
      </c>
      <c r="BA135" s="893">
        <v>18</v>
      </c>
      <c r="BB135" s="900">
        <v>0.11625124007936509</v>
      </c>
      <c r="BC135" s="901">
        <v>18000</v>
      </c>
      <c r="BD135" s="892">
        <v>187</v>
      </c>
      <c r="BE135" s="893">
        <v>327</v>
      </c>
      <c r="BF135" s="893">
        <f t="shared" si="44"/>
        <v>566</v>
      </c>
      <c r="BG135" s="897">
        <f t="shared" si="45"/>
        <v>379</v>
      </c>
      <c r="BH135" s="898">
        <v>8</v>
      </c>
      <c r="BI135" s="893">
        <v>1496</v>
      </c>
      <c r="BJ135" s="893">
        <v>1496</v>
      </c>
      <c r="BK135" s="893">
        <v>149</v>
      </c>
      <c r="BL135" s="897">
        <v>149</v>
      </c>
      <c r="BM135" s="899">
        <v>0.5</v>
      </c>
      <c r="BN135" s="893">
        <v>4500</v>
      </c>
      <c r="BO135" s="893">
        <v>0</v>
      </c>
      <c r="BP135" s="893">
        <v>1</v>
      </c>
      <c r="BQ135" s="893">
        <v>0</v>
      </c>
      <c r="BR135" s="893">
        <v>74</v>
      </c>
      <c r="BS135" s="900">
        <v>0.14093137254901961</v>
      </c>
      <c r="BT135" s="901">
        <v>9000</v>
      </c>
      <c r="BU135" s="892">
        <v>203</v>
      </c>
      <c r="BV135" s="893">
        <v>355</v>
      </c>
      <c r="BW135" s="893">
        <f t="shared" si="46"/>
        <v>615</v>
      </c>
      <c r="BX135" s="897">
        <f t="shared" si="47"/>
        <v>412</v>
      </c>
      <c r="BY135" s="898">
        <v>8</v>
      </c>
      <c r="BZ135" s="893">
        <v>1624</v>
      </c>
      <c r="CA135" s="893">
        <v>1624</v>
      </c>
      <c r="CB135" s="893">
        <v>162</v>
      </c>
      <c r="CC135" s="897">
        <v>162</v>
      </c>
      <c r="CD135" s="899">
        <v>0.75</v>
      </c>
      <c r="CE135" s="893">
        <v>6000</v>
      </c>
      <c r="CF135" s="893">
        <v>0</v>
      </c>
      <c r="CG135" s="893">
        <v>0</v>
      </c>
      <c r="CH135" s="893">
        <v>0</v>
      </c>
      <c r="CI135" s="893">
        <v>121</v>
      </c>
      <c r="CJ135" s="900">
        <v>0.18272783251231528</v>
      </c>
      <c r="CK135" s="901">
        <v>8000</v>
      </c>
      <c r="CL135" s="892">
        <v>214</v>
      </c>
      <c r="CM135" s="893">
        <v>374</v>
      </c>
      <c r="CN135" s="893">
        <f t="shared" si="48"/>
        <v>647</v>
      </c>
      <c r="CO135" s="897">
        <f t="shared" si="49"/>
        <v>433</v>
      </c>
      <c r="CP135" s="898">
        <v>8</v>
      </c>
      <c r="CQ135" s="893">
        <v>1712</v>
      </c>
      <c r="CR135" s="893">
        <v>1712</v>
      </c>
      <c r="CS135" s="893">
        <v>171</v>
      </c>
      <c r="CT135" s="897">
        <v>171</v>
      </c>
      <c r="CU135" s="899">
        <v>1</v>
      </c>
      <c r="CV135" s="893">
        <v>7500</v>
      </c>
      <c r="CW135" s="893">
        <v>0</v>
      </c>
      <c r="CX135" s="893">
        <v>0</v>
      </c>
      <c r="CY135" s="893">
        <v>1</v>
      </c>
      <c r="CZ135" s="893">
        <v>171</v>
      </c>
      <c r="DA135" s="900">
        <v>0.22205996884735202</v>
      </c>
      <c r="DB135" s="901">
        <v>7500</v>
      </c>
      <c r="DC135" s="902">
        <v>3.416666666666667</v>
      </c>
      <c r="DD135" s="893">
        <v>21000</v>
      </c>
      <c r="DE135" s="903">
        <v>0</v>
      </c>
      <c r="DF135" s="903">
        <v>1</v>
      </c>
      <c r="DG135" s="903">
        <v>1</v>
      </c>
      <c r="DH135" s="893">
        <v>458</v>
      </c>
      <c r="DI135" s="900">
        <v>0.51109813084112143</v>
      </c>
      <c r="DJ135" s="901">
        <v>6146.3414634146338</v>
      </c>
      <c r="DK135" s="904">
        <v>1</v>
      </c>
      <c r="DL135" s="905" t="s">
        <v>43</v>
      </c>
      <c r="DM135" s="906">
        <v>100</v>
      </c>
      <c r="DN135" s="907">
        <v>300</v>
      </c>
      <c r="DO135" s="908">
        <v>1500</v>
      </c>
      <c r="DP135" s="908">
        <v>3000</v>
      </c>
      <c r="DQ135" s="908">
        <v>9000</v>
      </c>
      <c r="DR135" s="908">
        <v>18000</v>
      </c>
      <c r="DS135" s="908">
        <v>36000</v>
      </c>
      <c r="DT135" s="908">
        <v>72000</v>
      </c>
      <c r="DU135" s="908">
        <v>144000</v>
      </c>
      <c r="DV135" s="908">
        <v>288000</v>
      </c>
      <c r="DW135" s="908">
        <v>576000</v>
      </c>
      <c r="DX135" s="909"/>
      <c r="DY135" s="910" t="s">
        <v>43</v>
      </c>
      <c r="DZ135" s="911"/>
      <c r="EA135" s="890"/>
      <c r="EB135" s="890"/>
      <c r="EC135" s="912"/>
      <c r="ED135" s="913"/>
      <c r="EE135" s="893"/>
      <c r="EF135" s="893"/>
      <c r="EG135" s="893"/>
      <c r="EH135" s="897"/>
      <c r="EI135" s="914"/>
      <c r="EJ135" s="915"/>
    </row>
    <row r="136" spans="2:140">
      <c r="B136" s="1127" t="s">
        <v>33</v>
      </c>
      <c r="C136" s="879" t="s">
        <v>42</v>
      </c>
      <c r="D136" s="880"/>
      <c r="E136" s="881" t="s">
        <v>43</v>
      </c>
      <c r="F136" s="882" t="s">
        <v>43</v>
      </c>
      <c r="G136" s="883"/>
      <c r="H136" s="884">
        <v>4</v>
      </c>
      <c r="I136" s="885" t="s">
        <v>283</v>
      </c>
      <c r="J136" s="886">
        <v>3.5</v>
      </c>
      <c r="K136" s="887">
        <v>0.1</v>
      </c>
      <c r="L136" s="888">
        <v>0.93617021276595747</v>
      </c>
      <c r="M136" s="889">
        <v>30</v>
      </c>
      <c r="N136" s="882">
        <v>40</v>
      </c>
      <c r="O136" s="890" t="s">
        <v>47</v>
      </c>
      <c r="P136" s="891" t="s">
        <v>98</v>
      </c>
      <c r="Q136" s="892">
        <v>176</v>
      </c>
      <c r="R136" s="893">
        <v>188</v>
      </c>
      <c r="S136" s="894">
        <v>2464</v>
      </c>
      <c r="T136" s="895" t="s">
        <v>481</v>
      </c>
      <c r="U136" s="896" t="s">
        <v>47</v>
      </c>
      <c r="V136" s="892">
        <v>176</v>
      </c>
      <c r="W136" s="893">
        <v>188</v>
      </c>
      <c r="X136" s="893">
        <f t="shared" si="40"/>
        <v>325</v>
      </c>
      <c r="Y136" s="897">
        <f t="shared" si="41"/>
        <v>149</v>
      </c>
      <c r="Z136" s="898">
        <v>4</v>
      </c>
      <c r="AA136" s="893">
        <v>704</v>
      </c>
      <c r="AB136" s="893">
        <v>2464</v>
      </c>
      <c r="AC136" s="893">
        <v>70</v>
      </c>
      <c r="AD136" s="897">
        <v>246</v>
      </c>
      <c r="AE136" s="899">
        <v>10</v>
      </c>
      <c r="AF136" s="893">
        <v>0</v>
      </c>
      <c r="AG136" s="893">
        <v>0</v>
      </c>
      <c r="AH136" s="893">
        <v>0</v>
      </c>
      <c r="AI136" s="893">
        <v>0</v>
      </c>
      <c r="AJ136" s="893">
        <v>704</v>
      </c>
      <c r="AK136" s="900">
        <v>0</v>
      </c>
      <c r="AL136" s="901">
        <v>0</v>
      </c>
      <c r="AM136" s="892">
        <v>264</v>
      </c>
      <c r="AN136" s="893">
        <v>282</v>
      </c>
      <c r="AO136" s="893">
        <f t="shared" si="42"/>
        <v>488</v>
      </c>
      <c r="AP136" s="897">
        <f t="shared" si="43"/>
        <v>224</v>
      </c>
      <c r="AQ136" s="898">
        <v>4</v>
      </c>
      <c r="AR136" s="893">
        <v>1056</v>
      </c>
      <c r="AS136" s="893">
        <v>3696</v>
      </c>
      <c r="AT136" s="893">
        <v>105</v>
      </c>
      <c r="AU136" s="897">
        <v>369</v>
      </c>
      <c r="AV136" s="899">
        <v>3</v>
      </c>
      <c r="AW136" s="893">
        <v>500000</v>
      </c>
      <c r="AX136" s="893">
        <v>0</v>
      </c>
      <c r="AY136" s="893">
        <v>0</v>
      </c>
      <c r="AZ136" s="893">
        <v>0</v>
      </c>
      <c r="BA136" s="893">
        <v>264</v>
      </c>
      <c r="BB136" s="900">
        <v>19.811868686868689</v>
      </c>
      <c r="BC136" s="901">
        <v>166666</v>
      </c>
      <c r="BD136" s="892">
        <v>308</v>
      </c>
      <c r="BE136" s="893">
        <v>329</v>
      </c>
      <c r="BF136" s="893">
        <f t="shared" si="44"/>
        <v>569</v>
      </c>
      <c r="BG136" s="897">
        <f t="shared" si="45"/>
        <v>261</v>
      </c>
      <c r="BH136" s="898">
        <v>4</v>
      </c>
      <c r="BI136" s="893">
        <v>1232</v>
      </c>
      <c r="BJ136" s="893">
        <v>4312</v>
      </c>
      <c r="BK136" s="893">
        <v>123</v>
      </c>
      <c r="BL136" s="897">
        <v>431</v>
      </c>
      <c r="BM136" s="899">
        <v>5</v>
      </c>
      <c r="BN136" s="893">
        <v>750000</v>
      </c>
      <c r="BO136" s="893">
        <v>0</v>
      </c>
      <c r="BP136" s="893">
        <v>1</v>
      </c>
      <c r="BQ136" s="893">
        <v>0</v>
      </c>
      <c r="BR136" s="893">
        <v>616</v>
      </c>
      <c r="BS136" s="900">
        <v>25.543831168831172</v>
      </c>
      <c r="BT136" s="901">
        <v>150000</v>
      </c>
      <c r="BU136" s="892">
        <v>334</v>
      </c>
      <c r="BV136" s="893">
        <v>357</v>
      </c>
      <c r="BW136" s="893">
        <f t="shared" si="46"/>
        <v>618</v>
      </c>
      <c r="BX136" s="897">
        <f t="shared" si="47"/>
        <v>284</v>
      </c>
      <c r="BY136" s="898">
        <v>4</v>
      </c>
      <c r="BZ136" s="893">
        <v>1336</v>
      </c>
      <c r="CA136" s="893">
        <v>4676</v>
      </c>
      <c r="CB136" s="893">
        <v>133</v>
      </c>
      <c r="CC136" s="897">
        <v>467</v>
      </c>
      <c r="CD136" s="899">
        <v>8</v>
      </c>
      <c r="CE136" s="893">
        <v>1000000</v>
      </c>
      <c r="CF136" s="893">
        <v>0</v>
      </c>
      <c r="CG136" s="893">
        <v>0</v>
      </c>
      <c r="CH136" s="893">
        <v>0</v>
      </c>
      <c r="CI136" s="893">
        <v>1002</v>
      </c>
      <c r="CJ136" s="900">
        <v>31.495009980039921</v>
      </c>
      <c r="CK136" s="901">
        <v>125000</v>
      </c>
      <c r="CL136" s="892">
        <v>352</v>
      </c>
      <c r="CM136" s="893">
        <v>376</v>
      </c>
      <c r="CN136" s="893">
        <f t="shared" si="48"/>
        <v>651</v>
      </c>
      <c r="CO136" s="897">
        <f t="shared" si="49"/>
        <v>299</v>
      </c>
      <c r="CP136" s="898">
        <v>4</v>
      </c>
      <c r="CQ136" s="893">
        <v>1408</v>
      </c>
      <c r="CR136" s="893">
        <v>4928</v>
      </c>
      <c r="CS136" s="893">
        <v>140</v>
      </c>
      <c r="CT136" s="897">
        <v>492</v>
      </c>
      <c r="CU136" s="899">
        <v>10</v>
      </c>
      <c r="CV136" s="893">
        <v>1250000</v>
      </c>
      <c r="CW136" s="893">
        <v>0</v>
      </c>
      <c r="CX136" s="893">
        <v>0</v>
      </c>
      <c r="CY136" s="893">
        <v>1</v>
      </c>
      <c r="CZ136" s="893">
        <v>1408</v>
      </c>
      <c r="DA136" s="900">
        <v>37.386363636363633</v>
      </c>
      <c r="DB136" s="901">
        <v>125000</v>
      </c>
      <c r="DC136" s="902">
        <v>36</v>
      </c>
      <c r="DD136" s="893">
        <v>3500000</v>
      </c>
      <c r="DE136" s="903">
        <v>0</v>
      </c>
      <c r="DF136" s="903">
        <v>1</v>
      </c>
      <c r="DG136" s="903">
        <v>1</v>
      </c>
      <c r="DH136" s="893">
        <v>3994</v>
      </c>
      <c r="DI136" s="900">
        <v>103.57481060606061</v>
      </c>
      <c r="DJ136" s="901">
        <v>97222.222222222219</v>
      </c>
      <c r="DK136" s="904">
        <v>10</v>
      </c>
      <c r="DL136" s="905" t="s">
        <v>43</v>
      </c>
      <c r="DM136" s="906">
        <v>10000</v>
      </c>
      <c r="DN136" s="907">
        <v>40000</v>
      </c>
      <c r="DO136" s="908">
        <v>80000</v>
      </c>
      <c r="DP136" s="908">
        <v>160000</v>
      </c>
      <c r="DQ136" s="908">
        <v>320000</v>
      </c>
      <c r="DR136" s="908">
        <v>640000</v>
      </c>
      <c r="DS136" s="908"/>
      <c r="DT136" s="908"/>
      <c r="DU136" s="908"/>
      <c r="DV136" s="908"/>
      <c r="DW136" s="908"/>
      <c r="DX136" s="909"/>
      <c r="DY136" s="910" t="s">
        <v>43</v>
      </c>
      <c r="DZ136" s="911"/>
      <c r="EA136" s="890"/>
      <c r="EB136" s="890"/>
      <c r="EC136" s="912"/>
      <c r="ED136" s="913"/>
      <c r="EE136" s="893"/>
      <c r="EF136" s="893"/>
      <c r="EG136" s="893"/>
      <c r="EH136" s="897"/>
      <c r="EI136" s="914"/>
      <c r="EJ136" s="915"/>
    </row>
    <row r="137" spans="2:140">
      <c r="B137" s="1127" t="s">
        <v>68</v>
      </c>
      <c r="C137" s="879" t="s">
        <v>42</v>
      </c>
      <c r="D137" s="880"/>
      <c r="E137" s="881" t="s">
        <v>43</v>
      </c>
      <c r="F137" s="882"/>
      <c r="G137" s="883"/>
      <c r="H137" s="884">
        <v>5</v>
      </c>
      <c r="I137" s="885" t="s">
        <v>283</v>
      </c>
      <c r="J137" s="886">
        <v>4.5</v>
      </c>
      <c r="K137" s="887">
        <v>0.1</v>
      </c>
      <c r="L137" s="888">
        <v>1.2410256410256411</v>
      </c>
      <c r="M137" s="889">
        <v>30</v>
      </c>
      <c r="N137" s="882">
        <v>52</v>
      </c>
      <c r="O137" s="890" t="s">
        <v>47</v>
      </c>
      <c r="P137" s="891" t="s">
        <v>98</v>
      </c>
      <c r="Q137" s="892">
        <v>242</v>
      </c>
      <c r="R137" s="893">
        <v>195</v>
      </c>
      <c r="S137" s="894">
        <v>4356</v>
      </c>
      <c r="T137" s="895" t="s">
        <v>482</v>
      </c>
      <c r="U137" s="896" t="s">
        <v>47</v>
      </c>
      <c r="V137" s="892">
        <v>242</v>
      </c>
      <c r="W137" s="893">
        <v>195</v>
      </c>
      <c r="X137" s="893">
        <f t="shared" si="40"/>
        <v>337</v>
      </c>
      <c r="Y137" s="897">
        <f t="shared" si="41"/>
        <v>95</v>
      </c>
      <c r="Z137" s="898">
        <v>4</v>
      </c>
      <c r="AA137" s="893">
        <v>968</v>
      </c>
      <c r="AB137" s="893">
        <v>4356</v>
      </c>
      <c r="AC137" s="893">
        <v>96</v>
      </c>
      <c r="AD137" s="897">
        <v>435</v>
      </c>
      <c r="AE137" s="899">
        <v>12</v>
      </c>
      <c r="AF137" s="893">
        <v>0</v>
      </c>
      <c r="AG137" s="893">
        <v>0</v>
      </c>
      <c r="AH137" s="893">
        <v>0</v>
      </c>
      <c r="AI137" s="893">
        <v>0</v>
      </c>
      <c r="AJ137" s="893">
        <v>1161</v>
      </c>
      <c r="AK137" s="900">
        <v>0</v>
      </c>
      <c r="AL137" s="901">
        <v>0</v>
      </c>
      <c r="AM137" s="892">
        <v>363</v>
      </c>
      <c r="AN137" s="893">
        <v>292</v>
      </c>
      <c r="AO137" s="893">
        <f t="shared" si="42"/>
        <v>505</v>
      </c>
      <c r="AP137" s="897">
        <f t="shared" si="43"/>
        <v>142</v>
      </c>
      <c r="AQ137" s="898">
        <v>4</v>
      </c>
      <c r="AR137" s="893">
        <v>1452</v>
      </c>
      <c r="AS137" s="893">
        <v>6534</v>
      </c>
      <c r="AT137" s="893">
        <v>145</v>
      </c>
      <c r="AU137" s="897">
        <v>653</v>
      </c>
      <c r="AV137" s="899">
        <v>3</v>
      </c>
      <c r="AW137" s="893">
        <v>1300000</v>
      </c>
      <c r="AX137" s="893">
        <v>0</v>
      </c>
      <c r="AY137" s="893">
        <v>0</v>
      </c>
      <c r="AZ137" s="893">
        <v>0</v>
      </c>
      <c r="BA137" s="893">
        <v>435</v>
      </c>
      <c r="BB137" s="900">
        <v>37.388200183654725</v>
      </c>
      <c r="BC137" s="901">
        <v>433333</v>
      </c>
      <c r="BD137" s="892">
        <v>423</v>
      </c>
      <c r="BE137" s="893">
        <v>341</v>
      </c>
      <c r="BF137" s="893">
        <f t="shared" si="44"/>
        <v>590</v>
      </c>
      <c r="BG137" s="897">
        <f t="shared" si="45"/>
        <v>167</v>
      </c>
      <c r="BH137" s="898">
        <v>4</v>
      </c>
      <c r="BI137" s="893">
        <v>1692</v>
      </c>
      <c r="BJ137" s="893">
        <v>7614</v>
      </c>
      <c r="BK137" s="893">
        <v>169</v>
      </c>
      <c r="BL137" s="897">
        <v>761</v>
      </c>
      <c r="BM137" s="899">
        <v>6</v>
      </c>
      <c r="BN137" s="893">
        <v>1950000</v>
      </c>
      <c r="BO137" s="893">
        <v>0</v>
      </c>
      <c r="BP137" s="893">
        <v>1</v>
      </c>
      <c r="BQ137" s="893">
        <v>0</v>
      </c>
      <c r="BR137" s="893">
        <v>1015</v>
      </c>
      <c r="BS137" s="900">
        <v>48.234633569739948</v>
      </c>
      <c r="BT137" s="901">
        <v>325000</v>
      </c>
      <c r="BU137" s="892">
        <v>459</v>
      </c>
      <c r="BV137" s="893">
        <v>370</v>
      </c>
      <c r="BW137" s="893">
        <f t="shared" si="46"/>
        <v>641</v>
      </c>
      <c r="BX137" s="897">
        <f t="shared" si="47"/>
        <v>182</v>
      </c>
      <c r="BY137" s="898">
        <v>4</v>
      </c>
      <c r="BZ137" s="893">
        <v>1836</v>
      </c>
      <c r="CA137" s="893">
        <v>8262</v>
      </c>
      <c r="CB137" s="893">
        <v>183</v>
      </c>
      <c r="CC137" s="897">
        <v>826</v>
      </c>
      <c r="CD137" s="899">
        <v>9</v>
      </c>
      <c r="CE137" s="893">
        <v>2600000</v>
      </c>
      <c r="CF137" s="893">
        <v>0</v>
      </c>
      <c r="CG137" s="893">
        <v>0</v>
      </c>
      <c r="CH137" s="893">
        <v>0</v>
      </c>
      <c r="CI137" s="893">
        <v>1652</v>
      </c>
      <c r="CJ137" s="900">
        <v>59.350671750181554</v>
      </c>
      <c r="CK137" s="901">
        <v>288888</v>
      </c>
      <c r="CL137" s="892">
        <v>484</v>
      </c>
      <c r="CM137" s="893">
        <v>390</v>
      </c>
      <c r="CN137" s="893">
        <f t="shared" si="48"/>
        <v>675</v>
      </c>
      <c r="CO137" s="897">
        <f t="shared" si="49"/>
        <v>191</v>
      </c>
      <c r="CP137" s="898">
        <v>4</v>
      </c>
      <c r="CQ137" s="893">
        <v>1936</v>
      </c>
      <c r="CR137" s="893">
        <v>8712</v>
      </c>
      <c r="CS137" s="893">
        <v>193</v>
      </c>
      <c r="CT137" s="897">
        <v>871</v>
      </c>
      <c r="CU137" s="899">
        <v>12</v>
      </c>
      <c r="CV137" s="893">
        <v>3250000</v>
      </c>
      <c r="CW137" s="893">
        <v>0</v>
      </c>
      <c r="CX137" s="893">
        <v>0</v>
      </c>
      <c r="CY137" s="893">
        <v>1</v>
      </c>
      <c r="CZ137" s="893">
        <v>2323</v>
      </c>
      <c r="DA137" s="900">
        <v>70.420798898071624</v>
      </c>
      <c r="DB137" s="901">
        <v>270833</v>
      </c>
      <c r="DC137" s="902">
        <v>42</v>
      </c>
      <c r="DD137" s="893">
        <v>9100000</v>
      </c>
      <c r="DE137" s="903">
        <v>0</v>
      </c>
      <c r="DF137" s="903">
        <v>1</v>
      </c>
      <c r="DG137" s="903">
        <v>1</v>
      </c>
      <c r="DH137" s="893">
        <v>6586</v>
      </c>
      <c r="DI137" s="900">
        <v>195.85055096418731</v>
      </c>
      <c r="DJ137" s="901">
        <v>216666.66666666666</v>
      </c>
      <c r="DK137" s="904">
        <v>11</v>
      </c>
      <c r="DL137" s="905" t="s">
        <v>43</v>
      </c>
      <c r="DM137" s="906">
        <v>10000</v>
      </c>
      <c r="DN137" s="907">
        <v>300000</v>
      </c>
      <c r="DO137" s="908">
        <v>600000</v>
      </c>
      <c r="DP137" s="908">
        <v>1200000</v>
      </c>
      <c r="DQ137" s="908"/>
      <c r="DR137" s="908"/>
      <c r="DS137" s="908"/>
      <c r="DT137" s="908"/>
      <c r="DU137" s="908"/>
      <c r="DV137" s="908"/>
      <c r="DW137" s="908"/>
      <c r="DX137" s="909"/>
      <c r="DY137" s="910" t="s">
        <v>43</v>
      </c>
      <c r="DZ137" s="911"/>
      <c r="EA137" s="890"/>
      <c r="EB137" s="890"/>
      <c r="EC137" s="912"/>
      <c r="ED137" s="913"/>
      <c r="EE137" s="893"/>
      <c r="EF137" s="893"/>
      <c r="EG137" s="893"/>
      <c r="EH137" s="897"/>
      <c r="EI137" s="914"/>
      <c r="EJ137" s="915"/>
    </row>
    <row r="138" spans="2:140">
      <c r="B138" s="1127" t="s">
        <v>176</v>
      </c>
      <c r="C138" s="879" t="s">
        <v>42</v>
      </c>
      <c r="D138" s="880" t="s">
        <v>43</v>
      </c>
      <c r="E138" s="881" t="s">
        <v>43</v>
      </c>
      <c r="F138" s="882"/>
      <c r="G138" s="883"/>
      <c r="H138" s="884">
        <v>6</v>
      </c>
      <c r="I138" s="885" t="s">
        <v>283</v>
      </c>
      <c r="J138" s="886">
        <v>5</v>
      </c>
      <c r="K138" s="887">
        <v>0.1</v>
      </c>
      <c r="L138" s="888">
        <v>1.385390428211587</v>
      </c>
      <c r="M138" s="889">
        <v>30</v>
      </c>
      <c r="N138" s="882">
        <v>67</v>
      </c>
      <c r="O138" s="890" t="s">
        <v>47</v>
      </c>
      <c r="P138" s="891" t="s">
        <v>98</v>
      </c>
      <c r="Q138" s="892">
        <v>550</v>
      </c>
      <c r="R138" s="893">
        <v>397</v>
      </c>
      <c r="S138" s="894">
        <v>24750</v>
      </c>
      <c r="T138" s="895" t="s">
        <v>483</v>
      </c>
      <c r="U138" s="896" t="s">
        <v>47</v>
      </c>
      <c r="V138" s="892">
        <v>550</v>
      </c>
      <c r="W138" s="893">
        <v>397</v>
      </c>
      <c r="X138" s="893">
        <f t="shared" si="40"/>
        <v>687</v>
      </c>
      <c r="Y138" s="897">
        <f t="shared" si="41"/>
        <v>137</v>
      </c>
      <c r="Z138" s="898">
        <v>9</v>
      </c>
      <c r="AA138" s="893">
        <v>4950</v>
      </c>
      <c r="AB138" s="893">
        <v>24750</v>
      </c>
      <c r="AC138" s="893">
        <v>495</v>
      </c>
      <c r="AD138" s="897">
        <v>2475</v>
      </c>
      <c r="AE138" s="899">
        <v>168</v>
      </c>
      <c r="AF138" s="893">
        <v>0</v>
      </c>
      <c r="AG138" s="893">
        <v>0</v>
      </c>
      <c r="AH138" s="893">
        <v>0</v>
      </c>
      <c r="AI138" s="893">
        <v>0</v>
      </c>
      <c r="AJ138" s="893">
        <v>10000</v>
      </c>
      <c r="AK138" s="900">
        <v>0</v>
      </c>
      <c r="AL138" s="901">
        <v>0</v>
      </c>
      <c r="AM138" s="892">
        <v>825</v>
      </c>
      <c r="AN138" s="893">
        <v>595</v>
      </c>
      <c r="AO138" s="893">
        <f t="shared" si="42"/>
        <v>1030</v>
      </c>
      <c r="AP138" s="897">
        <f t="shared" si="43"/>
        <v>205</v>
      </c>
      <c r="AQ138" s="898">
        <v>9</v>
      </c>
      <c r="AR138" s="893">
        <v>7425</v>
      </c>
      <c r="AS138" s="893">
        <v>37125</v>
      </c>
      <c r="AT138" s="893">
        <v>742</v>
      </c>
      <c r="AU138" s="897">
        <v>3712</v>
      </c>
      <c r="AV138" s="899">
        <v>42</v>
      </c>
      <c r="AW138" s="893">
        <v>20000000</v>
      </c>
      <c r="AX138" s="893">
        <v>0</v>
      </c>
      <c r="AY138" s="893">
        <v>0</v>
      </c>
      <c r="AZ138" s="893">
        <v>0</v>
      </c>
      <c r="BA138" s="893">
        <v>10000</v>
      </c>
      <c r="BB138" s="900">
        <v>113.40011223344557</v>
      </c>
      <c r="BC138" s="901">
        <v>476190</v>
      </c>
      <c r="BD138" s="892">
        <v>962</v>
      </c>
      <c r="BE138" s="893">
        <v>694</v>
      </c>
      <c r="BF138" s="893">
        <f t="shared" si="44"/>
        <v>1202</v>
      </c>
      <c r="BG138" s="897">
        <f t="shared" si="45"/>
        <v>240</v>
      </c>
      <c r="BH138" s="898">
        <v>10</v>
      </c>
      <c r="BI138" s="893">
        <v>9620</v>
      </c>
      <c r="BJ138" s="893">
        <v>48100</v>
      </c>
      <c r="BK138" s="893">
        <v>962</v>
      </c>
      <c r="BL138" s="897">
        <v>4810</v>
      </c>
      <c r="BM138" s="899">
        <v>84</v>
      </c>
      <c r="BN138" s="893">
        <v>30000000</v>
      </c>
      <c r="BO138" s="893">
        <v>0</v>
      </c>
      <c r="BP138" s="893">
        <v>1</v>
      </c>
      <c r="BQ138" s="893">
        <v>0</v>
      </c>
      <c r="BR138" s="893">
        <v>10000</v>
      </c>
      <c r="BS138" s="900">
        <v>132.63903326403326</v>
      </c>
      <c r="BT138" s="901">
        <v>357142</v>
      </c>
      <c r="BU138" s="892">
        <v>1045</v>
      </c>
      <c r="BV138" s="893">
        <v>754</v>
      </c>
      <c r="BW138" s="893">
        <f t="shared" si="46"/>
        <v>1306</v>
      </c>
      <c r="BX138" s="897">
        <f t="shared" si="47"/>
        <v>261</v>
      </c>
      <c r="BY138" s="898">
        <v>10</v>
      </c>
      <c r="BZ138" s="893">
        <v>10450</v>
      </c>
      <c r="CA138" s="893">
        <v>52250</v>
      </c>
      <c r="CB138" s="893">
        <v>1045</v>
      </c>
      <c r="CC138" s="897">
        <v>5225</v>
      </c>
      <c r="CD138" s="899">
        <v>126</v>
      </c>
      <c r="CE138" s="893">
        <v>40000000</v>
      </c>
      <c r="CF138" s="893">
        <v>0</v>
      </c>
      <c r="CG138" s="893">
        <v>0</v>
      </c>
      <c r="CH138" s="893">
        <v>0</v>
      </c>
      <c r="CI138" s="893">
        <v>10000</v>
      </c>
      <c r="CJ138" s="900">
        <v>164.32264752791068</v>
      </c>
      <c r="CK138" s="901">
        <v>317460</v>
      </c>
      <c r="CL138" s="892">
        <v>1100</v>
      </c>
      <c r="CM138" s="893">
        <v>794</v>
      </c>
      <c r="CN138" s="893">
        <f t="shared" si="48"/>
        <v>1375</v>
      </c>
      <c r="CO138" s="897">
        <f t="shared" si="49"/>
        <v>275</v>
      </c>
      <c r="CP138" s="898">
        <v>10</v>
      </c>
      <c r="CQ138" s="893">
        <v>11000</v>
      </c>
      <c r="CR138" s="893">
        <v>55000</v>
      </c>
      <c r="CS138" s="893">
        <v>1100</v>
      </c>
      <c r="CT138" s="897">
        <v>5500</v>
      </c>
      <c r="CU138" s="899">
        <v>168</v>
      </c>
      <c r="CV138" s="893">
        <v>50000000</v>
      </c>
      <c r="CW138" s="893">
        <v>0</v>
      </c>
      <c r="CX138" s="893">
        <v>0</v>
      </c>
      <c r="CY138" s="893">
        <v>1</v>
      </c>
      <c r="CZ138" s="893">
        <v>10000</v>
      </c>
      <c r="DA138" s="900">
        <v>196.04393939393938</v>
      </c>
      <c r="DB138" s="901">
        <v>297619</v>
      </c>
      <c r="DC138" s="902">
        <v>588</v>
      </c>
      <c r="DD138" s="893">
        <v>140000000</v>
      </c>
      <c r="DE138" s="903">
        <v>0</v>
      </c>
      <c r="DF138" s="903">
        <v>1</v>
      </c>
      <c r="DG138" s="903">
        <v>1</v>
      </c>
      <c r="DH138" s="893">
        <v>50000</v>
      </c>
      <c r="DI138" s="900">
        <v>530.30303030303037</v>
      </c>
      <c r="DJ138" s="901">
        <v>238095.23809523811</v>
      </c>
      <c r="DK138" s="904">
        <v>160</v>
      </c>
      <c r="DL138" s="905" t="s">
        <v>43</v>
      </c>
      <c r="DM138" s="906">
        <v>10000</v>
      </c>
      <c r="DN138" s="907">
        <v>3000000</v>
      </c>
      <c r="DO138" s="908"/>
      <c r="DP138" s="908"/>
      <c r="DQ138" s="908"/>
      <c r="DR138" s="908"/>
      <c r="DS138" s="908"/>
      <c r="DT138" s="908"/>
      <c r="DU138" s="908"/>
      <c r="DV138" s="908"/>
      <c r="DW138" s="908"/>
      <c r="DX138" s="909"/>
      <c r="DY138" s="910" t="s">
        <v>43</v>
      </c>
      <c r="DZ138" s="911"/>
      <c r="EA138" s="890"/>
      <c r="EB138" s="890"/>
      <c r="EC138" s="912"/>
      <c r="ED138" s="913"/>
      <c r="EE138" s="893"/>
      <c r="EF138" s="893"/>
      <c r="EG138" s="893"/>
      <c r="EH138" s="897"/>
      <c r="EI138" s="914"/>
      <c r="EJ138" s="915"/>
    </row>
    <row r="139" spans="2:140">
      <c r="B139" s="1127" t="s">
        <v>120</v>
      </c>
      <c r="C139" s="879" t="s">
        <v>42</v>
      </c>
      <c r="D139" s="880"/>
      <c r="E139" s="881" t="s">
        <v>43</v>
      </c>
      <c r="F139" s="882"/>
      <c r="G139" s="883"/>
      <c r="H139" s="884">
        <v>7</v>
      </c>
      <c r="I139" s="885" t="s">
        <v>269</v>
      </c>
      <c r="J139" s="886">
        <v>0.75</v>
      </c>
      <c r="K139" s="887">
        <v>0.13250000000000001</v>
      </c>
      <c r="L139" s="888">
        <v>1.3333333333333333</v>
      </c>
      <c r="M139" s="889">
        <v>30</v>
      </c>
      <c r="N139" s="882">
        <v>7004</v>
      </c>
      <c r="O139" s="916">
        <v>42184</v>
      </c>
      <c r="P139" s="891" t="s">
        <v>98</v>
      </c>
      <c r="Q139" s="892">
        <v>280</v>
      </c>
      <c r="R139" s="893">
        <v>210</v>
      </c>
      <c r="S139" s="894">
        <v>1050</v>
      </c>
      <c r="T139" s="895" t="s">
        <v>484</v>
      </c>
      <c r="U139" s="896" t="s">
        <v>47</v>
      </c>
      <c r="V139" s="892">
        <v>280</v>
      </c>
      <c r="W139" s="893">
        <v>210</v>
      </c>
      <c r="X139" s="893">
        <f t="shared" si="40"/>
        <v>363</v>
      </c>
      <c r="Y139" s="897">
        <f t="shared" si="41"/>
        <v>83</v>
      </c>
      <c r="Z139" s="898">
        <v>5</v>
      </c>
      <c r="AA139" s="893">
        <v>1400</v>
      </c>
      <c r="AB139" s="893">
        <v>1050</v>
      </c>
      <c r="AC139" s="893">
        <v>185</v>
      </c>
      <c r="AD139" s="897">
        <v>139</v>
      </c>
      <c r="AE139" s="899">
        <v>216</v>
      </c>
      <c r="AF139" s="893">
        <v>0</v>
      </c>
      <c r="AG139" s="893">
        <v>0</v>
      </c>
      <c r="AH139" s="893">
        <v>0</v>
      </c>
      <c r="AI139" s="893">
        <v>0</v>
      </c>
      <c r="AJ139" s="893">
        <v>10000</v>
      </c>
      <c r="AK139" s="900">
        <v>0</v>
      </c>
      <c r="AL139" s="901">
        <v>0</v>
      </c>
      <c r="AM139" s="892">
        <v>420</v>
      </c>
      <c r="AN139" s="893">
        <v>315</v>
      </c>
      <c r="AO139" s="893">
        <f t="shared" si="42"/>
        <v>545</v>
      </c>
      <c r="AP139" s="897">
        <f t="shared" si="43"/>
        <v>125</v>
      </c>
      <c r="AQ139" s="898">
        <v>5</v>
      </c>
      <c r="AR139" s="893">
        <v>2100</v>
      </c>
      <c r="AS139" s="893">
        <v>1575</v>
      </c>
      <c r="AT139" s="893">
        <v>278</v>
      </c>
      <c r="AU139" s="897">
        <v>208</v>
      </c>
      <c r="AV139" s="899">
        <v>54</v>
      </c>
      <c r="AW139" s="893">
        <v>1200000</v>
      </c>
      <c r="AX139" s="893">
        <v>0</v>
      </c>
      <c r="AY139" s="893">
        <v>0</v>
      </c>
      <c r="AZ139" s="893">
        <v>1</v>
      </c>
      <c r="BA139" s="893">
        <v>10000</v>
      </c>
      <c r="BB139" s="900">
        <v>25.30952380952381</v>
      </c>
      <c r="BC139" s="901">
        <v>22222</v>
      </c>
      <c r="BD139" s="892">
        <v>490</v>
      </c>
      <c r="BE139" s="893">
        <v>368</v>
      </c>
      <c r="BF139" s="893">
        <f t="shared" si="44"/>
        <v>637</v>
      </c>
      <c r="BG139" s="897">
        <f t="shared" si="45"/>
        <v>147</v>
      </c>
      <c r="BH139" s="898">
        <v>5</v>
      </c>
      <c r="BI139" s="893">
        <v>2450</v>
      </c>
      <c r="BJ139" s="893">
        <v>1837</v>
      </c>
      <c r="BK139" s="893">
        <v>324</v>
      </c>
      <c r="BL139" s="897">
        <v>243</v>
      </c>
      <c r="BM139" s="899">
        <v>108</v>
      </c>
      <c r="BN139" s="893">
        <v>1800000</v>
      </c>
      <c r="BO139" s="893">
        <v>0</v>
      </c>
      <c r="BP139" s="893">
        <v>0</v>
      </c>
      <c r="BQ139" s="893">
        <v>2</v>
      </c>
      <c r="BR139" s="893">
        <v>10000</v>
      </c>
      <c r="BS139" s="900">
        <v>34.469387755102041</v>
      </c>
      <c r="BT139" s="901">
        <v>16666</v>
      </c>
      <c r="BU139" s="892">
        <v>531</v>
      </c>
      <c r="BV139" s="893">
        <v>399</v>
      </c>
      <c r="BW139" s="893">
        <f t="shared" si="46"/>
        <v>691</v>
      </c>
      <c r="BX139" s="897">
        <f t="shared" si="47"/>
        <v>160</v>
      </c>
      <c r="BY139" s="898">
        <v>5</v>
      </c>
      <c r="BZ139" s="893">
        <v>2655</v>
      </c>
      <c r="CA139" s="893">
        <v>1991</v>
      </c>
      <c r="CB139" s="893">
        <v>351</v>
      </c>
      <c r="CC139" s="897">
        <v>263</v>
      </c>
      <c r="CD139" s="899">
        <v>162</v>
      </c>
      <c r="CE139" s="893">
        <v>2300000</v>
      </c>
      <c r="CF139" s="893">
        <v>0</v>
      </c>
      <c r="CG139" s="893">
        <v>0</v>
      </c>
      <c r="CH139" s="893">
        <v>3</v>
      </c>
      <c r="CI139" s="893">
        <v>10000</v>
      </c>
      <c r="CJ139" s="900">
        <v>42.324231010671689</v>
      </c>
      <c r="CK139" s="901">
        <v>14197</v>
      </c>
      <c r="CL139" s="892">
        <v>560</v>
      </c>
      <c r="CM139" s="893">
        <v>420</v>
      </c>
      <c r="CN139" s="893">
        <f t="shared" si="48"/>
        <v>727</v>
      </c>
      <c r="CO139" s="897">
        <f t="shared" si="49"/>
        <v>167</v>
      </c>
      <c r="CP139" s="898">
        <v>5</v>
      </c>
      <c r="CQ139" s="893">
        <v>2800</v>
      </c>
      <c r="CR139" s="893">
        <v>2100</v>
      </c>
      <c r="CS139" s="893">
        <v>371</v>
      </c>
      <c r="CT139" s="897">
        <v>278</v>
      </c>
      <c r="CU139" s="899">
        <v>216</v>
      </c>
      <c r="CV139" s="893">
        <v>2900000</v>
      </c>
      <c r="CW139" s="893">
        <v>0</v>
      </c>
      <c r="CX139" s="893">
        <v>0</v>
      </c>
      <c r="CY139" s="893">
        <v>5</v>
      </c>
      <c r="CZ139" s="893">
        <v>10000</v>
      </c>
      <c r="DA139" s="900">
        <v>51.68869047619048</v>
      </c>
      <c r="DB139" s="901">
        <v>13425</v>
      </c>
      <c r="DC139" s="902">
        <v>756</v>
      </c>
      <c r="DD139" s="893">
        <v>8200000</v>
      </c>
      <c r="DE139" s="903">
        <v>0</v>
      </c>
      <c r="DF139" s="903">
        <v>0</v>
      </c>
      <c r="DG139" s="903">
        <v>11</v>
      </c>
      <c r="DH139" s="893">
        <v>50000</v>
      </c>
      <c r="DI139" s="900">
        <v>122.02380952380952</v>
      </c>
      <c r="DJ139" s="901">
        <v>10846.560846560846</v>
      </c>
      <c r="DK139" s="904">
        <v>206</v>
      </c>
      <c r="DL139" s="905" t="s">
        <v>43</v>
      </c>
      <c r="DM139" s="906">
        <v>10000</v>
      </c>
      <c r="DN139" s="907">
        <v>175000</v>
      </c>
      <c r="DO139" s="908">
        <v>350000</v>
      </c>
      <c r="DP139" s="908">
        <v>700000</v>
      </c>
      <c r="DQ139" s="908"/>
      <c r="DR139" s="908"/>
      <c r="DS139" s="908"/>
      <c r="DT139" s="908"/>
      <c r="DU139" s="908"/>
      <c r="DV139" s="908"/>
      <c r="DW139" s="908"/>
      <c r="DX139" s="909"/>
      <c r="DY139" s="910" t="s">
        <v>43</v>
      </c>
      <c r="DZ139" s="911"/>
      <c r="EA139" s="890"/>
      <c r="EB139" s="890"/>
      <c r="EC139" s="912"/>
      <c r="ED139" s="913"/>
      <c r="EE139" s="893"/>
      <c r="EF139" s="893"/>
      <c r="EG139" s="893"/>
      <c r="EH139" s="897"/>
      <c r="EI139" s="914"/>
      <c r="EJ139" s="915"/>
    </row>
    <row r="140" spans="2:140">
      <c r="B140" s="1127" t="s">
        <v>121</v>
      </c>
      <c r="C140" s="879" t="s">
        <v>42</v>
      </c>
      <c r="D140" s="880"/>
      <c r="E140" s="881" t="s">
        <v>43</v>
      </c>
      <c r="F140" s="882" t="s">
        <v>43</v>
      </c>
      <c r="G140" s="883"/>
      <c r="H140" s="884">
        <v>7</v>
      </c>
      <c r="I140" s="885" t="s">
        <v>269</v>
      </c>
      <c r="J140" s="886">
        <v>0.75</v>
      </c>
      <c r="K140" s="887">
        <v>0.13250000000000001</v>
      </c>
      <c r="L140" s="888">
        <v>1.3333333333333333</v>
      </c>
      <c r="M140" s="889">
        <v>30</v>
      </c>
      <c r="N140" s="882">
        <v>7009</v>
      </c>
      <c r="O140" s="916">
        <v>42184</v>
      </c>
      <c r="P140" s="891" t="s">
        <v>98</v>
      </c>
      <c r="Q140" s="892">
        <v>308</v>
      </c>
      <c r="R140" s="893">
        <v>231</v>
      </c>
      <c r="S140" s="894">
        <v>1155</v>
      </c>
      <c r="T140" s="895" t="s">
        <v>485</v>
      </c>
      <c r="U140" s="896" t="s">
        <v>47</v>
      </c>
      <c r="V140" s="892">
        <v>308</v>
      </c>
      <c r="W140" s="893">
        <v>231</v>
      </c>
      <c r="X140" s="893">
        <f t="shared" si="40"/>
        <v>400</v>
      </c>
      <c r="Y140" s="897">
        <f t="shared" si="41"/>
        <v>92</v>
      </c>
      <c r="Z140" s="898">
        <v>5</v>
      </c>
      <c r="AA140" s="893">
        <v>1540</v>
      </c>
      <c r="AB140" s="893">
        <v>1155</v>
      </c>
      <c r="AC140" s="893">
        <v>204</v>
      </c>
      <c r="AD140" s="897">
        <v>153</v>
      </c>
      <c r="AE140" s="899">
        <v>240</v>
      </c>
      <c r="AF140" s="893">
        <v>0</v>
      </c>
      <c r="AG140" s="893">
        <v>0</v>
      </c>
      <c r="AH140" s="893">
        <v>0</v>
      </c>
      <c r="AI140" s="893">
        <v>0</v>
      </c>
      <c r="AJ140" s="893">
        <v>10000</v>
      </c>
      <c r="AK140" s="900">
        <v>0</v>
      </c>
      <c r="AL140" s="901">
        <v>0</v>
      </c>
      <c r="AM140" s="892">
        <v>462</v>
      </c>
      <c r="AN140" s="893">
        <v>347</v>
      </c>
      <c r="AO140" s="893">
        <f t="shared" si="42"/>
        <v>601</v>
      </c>
      <c r="AP140" s="897">
        <f t="shared" si="43"/>
        <v>139</v>
      </c>
      <c r="AQ140" s="898">
        <v>5</v>
      </c>
      <c r="AR140" s="893">
        <v>2310</v>
      </c>
      <c r="AS140" s="893">
        <v>1732</v>
      </c>
      <c r="AT140" s="893">
        <v>306</v>
      </c>
      <c r="AU140" s="897">
        <v>229</v>
      </c>
      <c r="AV140" s="899">
        <v>60</v>
      </c>
      <c r="AW140" s="893">
        <v>2700000</v>
      </c>
      <c r="AX140" s="893">
        <v>0</v>
      </c>
      <c r="AY140" s="893">
        <v>0</v>
      </c>
      <c r="AZ140" s="893">
        <v>1</v>
      </c>
      <c r="BA140" s="893">
        <v>10000</v>
      </c>
      <c r="BB140" s="900">
        <v>50.367965367965361</v>
      </c>
      <c r="BC140" s="901">
        <v>45000</v>
      </c>
      <c r="BD140" s="892">
        <v>539</v>
      </c>
      <c r="BE140" s="893">
        <v>405</v>
      </c>
      <c r="BF140" s="893">
        <f t="shared" si="44"/>
        <v>701</v>
      </c>
      <c r="BG140" s="897">
        <f t="shared" si="45"/>
        <v>162</v>
      </c>
      <c r="BH140" s="898">
        <v>5</v>
      </c>
      <c r="BI140" s="893">
        <v>2695</v>
      </c>
      <c r="BJ140" s="893">
        <v>2021</v>
      </c>
      <c r="BK140" s="893">
        <v>357</v>
      </c>
      <c r="BL140" s="897">
        <v>267</v>
      </c>
      <c r="BM140" s="899">
        <v>120</v>
      </c>
      <c r="BN140" s="893">
        <v>4000000</v>
      </c>
      <c r="BO140" s="893">
        <v>0</v>
      </c>
      <c r="BP140" s="893">
        <v>0</v>
      </c>
      <c r="BQ140" s="893">
        <v>2</v>
      </c>
      <c r="BR140" s="893">
        <v>10000</v>
      </c>
      <c r="BS140" s="900">
        <v>66.128633271490415</v>
      </c>
      <c r="BT140" s="901">
        <v>33333</v>
      </c>
      <c r="BU140" s="892">
        <v>584</v>
      </c>
      <c r="BV140" s="893">
        <v>438</v>
      </c>
      <c r="BW140" s="893">
        <f t="shared" si="46"/>
        <v>758</v>
      </c>
      <c r="BX140" s="897">
        <f t="shared" si="47"/>
        <v>174</v>
      </c>
      <c r="BY140" s="898">
        <v>5</v>
      </c>
      <c r="BZ140" s="893">
        <v>2920</v>
      </c>
      <c r="CA140" s="893">
        <v>2190</v>
      </c>
      <c r="CB140" s="893">
        <v>386</v>
      </c>
      <c r="CC140" s="897">
        <v>290</v>
      </c>
      <c r="CD140" s="899">
        <v>180</v>
      </c>
      <c r="CE140" s="893">
        <v>5300000</v>
      </c>
      <c r="CF140" s="893">
        <v>0</v>
      </c>
      <c r="CG140" s="893">
        <v>0</v>
      </c>
      <c r="CH140" s="893">
        <v>3</v>
      </c>
      <c r="CI140" s="893">
        <v>10000</v>
      </c>
      <c r="CJ140" s="900">
        <v>82.549942922374427</v>
      </c>
      <c r="CK140" s="901">
        <v>29444</v>
      </c>
      <c r="CL140" s="892">
        <v>616</v>
      </c>
      <c r="CM140" s="893">
        <v>462</v>
      </c>
      <c r="CN140" s="893">
        <f t="shared" si="48"/>
        <v>800</v>
      </c>
      <c r="CO140" s="897">
        <f t="shared" si="49"/>
        <v>184</v>
      </c>
      <c r="CP140" s="898">
        <v>5</v>
      </c>
      <c r="CQ140" s="893">
        <v>3080</v>
      </c>
      <c r="CR140" s="893">
        <v>2310</v>
      </c>
      <c r="CS140" s="893">
        <v>408</v>
      </c>
      <c r="CT140" s="897">
        <v>306</v>
      </c>
      <c r="CU140" s="899">
        <v>240</v>
      </c>
      <c r="CV140" s="893">
        <v>6700000</v>
      </c>
      <c r="CW140" s="893">
        <v>0</v>
      </c>
      <c r="CX140" s="893">
        <v>0</v>
      </c>
      <c r="CY140" s="893">
        <v>5</v>
      </c>
      <c r="CZ140" s="893">
        <v>10000</v>
      </c>
      <c r="DA140" s="900">
        <v>100.11904761904761</v>
      </c>
      <c r="DB140" s="901">
        <v>27916</v>
      </c>
      <c r="DC140" s="902">
        <v>840</v>
      </c>
      <c r="DD140" s="893">
        <v>18700000</v>
      </c>
      <c r="DE140" s="903">
        <v>0</v>
      </c>
      <c r="DF140" s="903">
        <v>0</v>
      </c>
      <c r="DG140" s="903">
        <v>11</v>
      </c>
      <c r="DH140" s="893">
        <v>50000</v>
      </c>
      <c r="DI140" s="900">
        <v>252.97619047619048</v>
      </c>
      <c r="DJ140" s="901">
        <v>22261.904761904763</v>
      </c>
      <c r="DK140" s="904">
        <v>229</v>
      </c>
      <c r="DL140" s="905" t="s">
        <v>43</v>
      </c>
      <c r="DM140" s="906">
        <v>10000</v>
      </c>
      <c r="DN140" s="907">
        <v>400000</v>
      </c>
      <c r="DO140" s="908">
        <v>800000</v>
      </c>
      <c r="DP140" s="908"/>
      <c r="DQ140" s="908"/>
      <c r="DR140" s="908"/>
      <c r="DS140" s="908"/>
      <c r="DT140" s="908"/>
      <c r="DU140" s="908"/>
      <c r="DV140" s="908"/>
      <c r="DW140" s="908"/>
      <c r="DX140" s="909"/>
      <c r="DY140" s="910" t="s">
        <v>43</v>
      </c>
      <c r="DZ140" s="911"/>
      <c r="EA140" s="890"/>
      <c r="EB140" s="890"/>
      <c r="EC140" s="912"/>
      <c r="ED140" s="913"/>
      <c r="EE140" s="893"/>
      <c r="EF140" s="893"/>
      <c r="EG140" s="893"/>
      <c r="EH140" s="897"/>
      <c r="EI140" s="914"/>
      <c r="EJ140" s="915"/>
    </row>
    <row r="141" spans="2:140">
      <c r="B141" s="1127" t="s">
        <v>217</v>
      </c>
      <c r="C141" s="879" t="s">
        <v>42</v>
      </c>
      <c r="D141" s="880"/>
      <c r="E141" s="881"/>
      <c r="F141" s="882" t="s">
        <v>43</v>
      </c>
      <c r="G141" s="883"/>
      <c r="H141" s="884">
        <v>7</v>
      </c>
      <c r="I141" s="885" t="s">
        <v>269</v>
      </c>
      <c r="J141" s="886">
        <v>4</v>
      </c>
      <c r="K141" s="887">
        <v>0.1</v>
      </c>
      <c r="L141" s="888">
        <v>2.6</v>
      </c>
      <c r="M141" s="889">
        <v>30</v>
      </c>
      <c r="N141" s="882">
        <v>7013</v>
      </c>
      <c r="O141" s="916">
        <v>42348</v>
      </c>
      <c r="P141" s="891" t="s">
        <v>206</v>
      </c>
      <c r="Q141" s="892">
        <v>1170</v>
      </c>
      <c r="R141" s="893">
        <v>450</v>
      </c>
      <c r="S141" s="894">
        <v>37440</v>
      </c>
      <c r="T141" s="895" t="s">
        <v>486</v>
      </c>
      <c r="U141" s="896" t="s">
        <v>47</v>
      </c>
      <c r="V141" s="892">
        <v>390</v>
      </c>
      <c r="W141" s="893">
        <v>150</v>
      </c>
      <c r="X141" s="893">
        <f t="shared" si="40"/>
        <v>259</v>
      </c>
      <c r="Y141" s="897">
        <f t="shared" si="41"/>
        <v>-131</v>
      </c>
      <c r="Z141" s="898">
        <v>8</v>
      </c>
      <c r="AA141" s="893">
        <v>3120</v>
      </c>
      <c r="AB141" s="893">
        <v>12480</v>
      </c>
      <c r="AC141" s="893">
        <v>312</v>
      </c>
      <c r="AD141" s="897">
        <v>1248</v>
      </c>
      <c r="AE141" s="899">
        <v>6</v>
      </c>
      <c r="AF141" s="893">
        <v>0</v>
      </c>
      <c r="AG141" s="893">
        <v>0</v>
      </c>
      <c r="AH141" s="893">
        <v>0</v>
      </c>
      <c r="AI141" s="893">
        <v>0</v>
      </c>
      <c r="AJ141" s="893">
        <v>10000</v>
      </c>
      <c r="AK141" s="900">
        <v>0</v>
      </c>
      <c r="AL141" s="901">
        <v>0</v>
      </c>
      <c r="AM141" s="892">
        <v>488</v>
      </c>
      <c r="AN141" s="893">
        <v>188</v>
      </c>
      <c r="AO141" s="893">
        <f t="shared" si="42"/>
        <v>325</v>
      </c>
      <c r="AP141" s="897">
        <f t="shared" si="43"/>
        <v>-163</v>
      </c>
      <c r="AQ141" s="898">
        <v>8</v>
      </c>
      <c r="AR141" s="893">
        <v>3904</v>
      </c>
      <c r="AS141" s="893">
        <v>15616</v>
      </c>
      <c r="AT141" s="893">
        <v>390</v>
      </c>
      <c r="AU141" s="897">
        <v>1561</v>
      </c>
      <c r="AV141" s="899">
        <v>48</v>
      </c>
      <c r="AW141" s="893">
        <v>2880000</v>
      </c>
      <c r="AX141" s="893">
        <v>0</v>
      </c>
      <c r="AY141" s="893">
        <v>0</v>
      </c>
      <c r="AZ141" s="893">
        <v>3</v>
      </c>
      <c r="BA141" s="998">
        <v>10000</v>
      </c>
      <c r="BB141" s="900">
        <v>32.33606557377049</v>
      </c>
      <c r="BC141" s="901">
        <v>60000</v>
      </c>
      <c r="BD141" s="999">
        <v>585</v>
      </c>
      <c r="BE141" s="998">
        <v>225</v>
      </c>
      <c r="BF141" s="998">
        <f t="shared" si="44"/>
        <v>389</v>
      </c>
      <c r="BG141" s="1000">
        <f t="shared" si="45"/>
        <v>-196</v>
      </c>
      <c r="BH141" s="1001">
        <v>8</v>
      </c>
      <c r="BI141" s="998">
        <v>4680</v>
      </c>
      <c r="BJ141" s="998">
        <v>18720</v>
      </c>
      <c r="BK141" s="998">
        <v>468</v>
      </c>
      <c r="BL141" s="1000">
        <v>1872</v>
      </c>
      <c r="BM141" s="1003">
        <v>96</v>
      </c>
      <c r="BN141" s="998">
        <v>4320000</v>
      </c>
      <c r="BO141" s="998">
        <v>0</v>
      </c>
      <c r="BP141" s="998">
        <v>0</v>
      </c>
      <c r="BQ141" s="998">
        <v>5</v>
      </c>
      <c r="BR141" s="998">
        <v>10000</v>
      </c>
      <c r="BS141" s="1002">
        <v>41.798290598290599</v>
      </c>
      <c r="BT141" s="1004">
        <v>45000</v>
      </c>
      <c r="BU141" s="999">
        <v>780</v>
      </c>
      <c r="BV141" s="998">
        <v>300</v>
      </c>
      <c r="BW141" s="998">
        <f t="shared" si="46"/>
        <v>519</v>
      </c>
      <c r="BX141" s="1000">
        <f t="shared" si="47"/>
        <v>-261</v>
      </c>
      <c r="BY141" s="1001">
        <v>8</v>
      </c>
      <c r="BZ141" s="998">
        <v>6240</v>
      </c>
      <c r="CA141" s="998">
        <v>24960</v>
      </c>
      <c r="CB141" s="998">
        <v>624</v>
      </c>
      <c r="CC141" s="1000">
        <v>2496</v>
      </c>
      <c r="CD141" s="899"/>
      <c r="CE141" s="893"/>
      <c r="CF141" s="893"/>
      <c r="CG141" s="893"/>
      <c r="CH141" s="893"/>
      <c r="CI141" s="998">
        <v>10000</v>
      </c>
      <c r="CJ141" s="1002">
        <v>0</v>
      </c>
      <c r="CK141" s="901">
        <v>0</v>
      </c>
      <c r="CL141" s="999">
        <v>1170</v>
      </c>
      <c r="CM141" s="998">
        <v>450</v>
      </c>
      <c r="CN141" s="998">
        <f t="shared" si="48"/>
        <v>779</v>
      </c>
      <c r="CO141" s="1000">
        <f t="shared" si="49"/>
        <v>-391</v>
      </c>
      <c r="CP141" s="1001">
        <v>8</v>
      </c>
      <c r="CQ141" s="998">
        <v>9360</v>
      </c>
      <c r="CR141" s="998">
        <v>37440</v>
      </c>
      <c r="CS141" s="998">
        <v>936</v>
      </c>
      <c r="CT141" s="1000">
        <v>3744</v>
      </c>
      <c r="CU141" s="899"/>
      <c r="CV141" s="893"/>
      <c r="CW141" s="893"/>
      <c r="CX141" s="893"/>
      <c r="CY141" s="893"/>
      <c r="CZ141" s="998">
        <v>10000</v>
      </c>
      <c r="DA141" s="1002">
        <v>0</v>
      </c>
      <c r="DB141" s="901">
        <v>0</v>
      </c>
      <c r="DC141" s="1005"/>
      <c r="DD141" s="998"/>
      <c r="DE141" s="1006"/>
      <c r="DF141" s="1006"/>
      <c r="DG141" s="1006"/>
      <c r="DH141" s="998">
        <v>50000</v>
      </c>
      <c r="DI141" s="1002"/>
      <c r="DJ141" s="1004"/>
      <c r="DK141" s="904"/>
      <c r="DL141" s="905"/>
      <c r="DM141" s="906">
        <v>10000</v>
      </c>
      <c r="DN141" s="907">
        <v>1300000</v>
      </c>
      <c r="DO141" s="908"/>
      <c r="DP141" s="908"/>
      <c r="DQ141" s="908"/>
      <c r="DR141" s="908"/>
      <c r="DS141" s="908"/>
      <c r="DT141" s="908"/>
      <c r="DU141" s="908"/>
      <c r="DV141" s="908"/>
      <c r="DW141" s="908"/>
      <c r="DX141" s="909"/>
      <c r="DY141" s="910" t="s">
        <v>43</v>
      </c>
      <c r="DZ141" s="911"/>
      <c r="EA141" s="890"/>
      <c r="EB141" s="890"/>
      <c r="EC141" s="912"/>
      <c r="ED141" s="913"/>
      <c r="EE141" s="893"/>
      <c r="EF141" s="893"/>
      <c r="EG141" s="893"/>
      <c r="EH141" s="897"/>
      <c r="EI141" s="914"/>
      <c r="EJ141" s="915"/>
    </row>
    <row r="142" spans="2:140">
      <c r="B142" s="1127" t="s">
        <v>261</v>
      </c>
      <c r="C142" s="879" t="s">
        <v>42</v>
      </c>
      <c r="D142" s="880"/>
      <c r="E142" s="881" t="s">
        <v>43</v>
      </c>
      <c r="F142" s="882" t="s">
        <v>43</v>
      </c>
      <c r="G142" s="883"/>
      <c r="H142" s="884">
        <v>7</v>
      </c>
      <c r="I142" s="885" t="s">
        <v>269</v>
      </c>
      <c r="J142" s="886">
        <v>4</v>
      </c>
      <c r="K142" s="1007">
        <v>0.1</v>
      </c>
      <c r="L142" s="888">
        <v>2.6043956043956045</v>
      </c>
      <c r="M142" s="889">
        <v>30</v>
      </c>
      <c r="N142" s="882">
        <v>7018</v>
      </c>
      <c r="O142" s="916">
        <v>42384</v>
      </c>
      <c r="P142" s="891" t="s">
        <v>206</v>
      </c>
      <c r="Q142" s="892">
        <v>1185</v>
      </c>
      <c r="R142" s="893">
        <v>455</v>
      </c>
      <c r="S142" s="894">
        <v>37920</v>
      </c>
      <c r="T142" s="895" t="s">
        <v>487</v>
      </c>
      <c r="U142" s="896" t="s">
        <v>47</v>
      </c>
      <c r="V142" s="892">
        <v>395</v>
      </c>
      <c r="W142" s="893">
        <v>152</v>
      </c>
      <c r="X142" s="893">
        <f t="shared" si="40"/>
        <v>263</v>
      </c>
      <c r="Y142" s="897">
        <f t="shared" si="41"/>
        <v>-132</v>
      </c>
      <c r="Z142" s="898">
        <v>8</v>
      </c>
      <c r="AA142" s="893">
        <v>3160</v>
      </c>
      <c r="AB142" s="893">
        <v>12640</v>
      </c>
      <c r="AC142" s="998">
        <v>316</v>
      </c>
      <c r="AD142" s="1000">
        <v>1264</v>
      </c>
      <c r="AE142" s="899">
        <v>6</v>
      </c>
      <c r="AF142" s="893">
        <v>0</v>
      </c>
      <c r="AG142" s="893">
        <v>0</v>
      </c>
      <c r="AH142" s="893">
        <v>0</v>
      </c>
      <c r="AI142" s="893">
        <v>0</v>
      </c>
      <c r="AJ142" s="998">
        <v>10000</v>
      </c>
      <c r="AK142" s="900">
        <v>0</v>
      </c>
      <c r="AL142" s="901">
        <v>0</v>
      </c>
      <c r="AM142" s="999">
        <v>494</v>
      </c>
      <c r="AN142" s="998">
        <v>190</v>
      </c>
      <c r="AO142" s="998">
        <f t="shared" si="42"/>
        <v>329</v>
      </c>
      <c r="AP142" s="1000">
        <f t="shared" si="43"/>
        <v>-165</v>
      </c>
      <c r="AQ142" s="898">
        <v>8</v>
      </c>
      <c r="AR142" s="998">
        <v>3952</v>
      </c>
      <c r="AS142" s="998">
        <v>15808</v>
      </c>
      <c r="AT142" s="998">
        <v>395</v>
      </c>
      <c r="AU142" s="1000">
        <v>1580</v>
      </c>
      <c r="AV142" s="899"/>
      <c r="AW142" s="893"/>
      <c r="AX142" s="893"/>
      <c r="AY142" s="893"/>
      <c r="AZ142" s="893"/>
      <c r="BA142" s="998">
        <v>10000</v>
      </c>
      <c r="BB142" s="1002">
        <v>0</v>
      </c>
      <c r="BC142" s="901">
        <v>0</v>
      </c>
      <c r="BD142" s="999">
        <v>593</v>
      </c>
      <c r="BE142" s="998">
        <v>228</v>
      </c>
      <c r="BF142" s="998">
        <f t="shared" si="44"/>
        <v>395</v>
      </c>
      <c r="BG142" s="1000">
        <f t="shared" si="45"/>
        <v>-198</v>
      </c>
      <c r="BH142" s="898">
        <v>8</v>
      </c>
      <c r="BI142" s="998">
        <v>4744</v>
      </c>
      <c r="BJ142" s="998">
        <v>18976</v>
      </c>
      <c r="BK142" s="998">
        <v>474</v>
      </c>
      <c r="BL142" s="1000">
        <v>1897</v>
      </c>
      <c r="BM142" s="899"/>
      <c r="BN142" s="893"/>
      <c r="BO142" s="893"/>
      <c r="BP142" s="893"/>
      <c r="BQ142" s="893"/>
      <c r="BR142" s="998">
        <v>10000</v>
      </c>
      <c r="BS142" s="1002">
        <v>0</v>
      </c>
      <c r="BT142" s="901">
        <v>0</v>
      </c>
      <c r="BU142" s="999">
        <v>790</v>
      </c>
      <c r="BV142" s="998">
        <v>304</v>
      </c>
      <c r="BW142" s="998">
        <f t="shared" si="46"/>
        <v>526</v>
      </c>
      <c r="BX142" s="1000">
        <f t="shared" si="47"/>
        <v>-264</v>
      </c>
      <c r="BY142" s="898">
        <v>8</v>
      </c>
      <c r="BZ142" s="998">
        <v>6320</v>
      </c>
      <c r="CA142" s="998">
        <v>25280</v>
      </c>
      <c r="CB142" s="998">
        <v>632</v>
      </c>
      <c r="CC142" s="1000">
        <v>2528</v>
      </c>
      <c r="CD142" s="899"/>
      <c r="CE142" s="893"/>
      <c r="CF142" s="893"/>
      <c r="CG142" s="893"/>
      <c r="CH142" s="893"/>
      <c r="CI142" s="998">
        <v>10000</v>
      </c>
      <c r="CJ142" s="1002">
        <v>0</v>
      </c>
      <c r="CK142" s="901">
        <v>0</v>
      </c>
      <c r="CL142" s="892">
        <v>1185</v>
      </c>
      <c r="CM142" s="893">
        <v>455</v>
      </c>
      <c r="CN142" s="893">
        <f t="shared" si="48"/>
        <v>788</v>
      </c>
      <c r="CO142" s="897">
        <f t="shared" si="49"/>
        <v>-397</v>
      </c>
      <c r="CP142" s="898">
        <v>8</v>
      </c>
      <c r="CQ142" s="893">
        <v>9480</v>
      </c>
      <c r="CR142" s="893">
        <v>37920</v>
      </c>
      <c r="CS142" s="998">
        <v>948</v>
      </c>
      <c r="CT142" s="1000">
        <v>3792</v>
      </c>
      <c r="CU142" s="899"/>
      <c r="CV142" s="893"/>
      <c r="CW142" s="893"/>
      <c r="CX142" s="893"/>
      <c r="CY142" s="893"/>
      <c r="CZ142" s="998">
        <v>10000</v>
      </c>
      <c r="DA142" s="900">
        <v>0</v>
      </c>
      <c r="DB142" s="901">
        <v>0</v>
      </c>
      <c r="DC142" s="902"/>
      <c r="DD142" s="893"/>
      <c r="DE142" s="903"/>
      <c r="DF142" s="903"/>
      <c r="DG142" s="903"/>
      <c r="DH142" s="998">
        <v>50000</v>
      </c>
      <c r="DI142" s="1002"/>
      <c r="DJ142" s="901"/>
      <c r="DK142" s="904"/>
      <c r="DL142" s="905"/>
      <c r="DM142" s="906">
        <v>10000</v>
      </c>
      <c r="DN142" s="907">
        <v>1800000</v>
      </c>
      <c r="DO142" s="908"/>
      <c r="DP142" s="908"/>
      <c r="DQ142" s="908"/>
      <c r="DR142" s="908"/>
      <c r="DS142" s="908"/>
      <c r="DT142" s="908"/>
      <c r="DU142" s="908"/>
      <c r="DV142" s="908"/>
      <c r="DW142" s="908"/>
      <c r="DX142" s="909"/>
      <c r="DY142" s="910" t="s">
        <v>43</v>
      </c>
      <c r="DZ142" s="911"/>
      <c r="EA142" s="890"/>
      <c r="EB142" s="890"/>
      <c r="EC142" s="912"/>
      <c r="ED142" s="913"/>
      <c r="EE142" s="893"/>
      <c r="EF142" s="893"/>
      <c r="EG142" s="893"/>
      <c r="EH142" s="897"/>
      <c r="EI142" s="914"/>
      <c r="EJ142" s="915"/>
    </row>
    <row r="143" spans="2:140">
      <c r="B143" s="1127" t="s">
        <v>963</v>
      </c>
      <c r="C143" s="879" t="s">
        <v>42</v>
      </c>
      <c r="D143" s="880"/>
      <c r="E143" s="881" t="s">
        <v>43</v>
      </c>
      <c r="F143" s="882"/>
      <c r="G143" s="883"/>
      <c r="H143" s="884">
        <v>7</v>
      </c>
      <c r="I143" s="885" t="s">
        <v>269</v>
      </c>
      <c r="J143" s="886">
        <v>4</v>
      </c>
      <c r="K143" s="1007">
        <v>0.1</v>
      </c>
      <c r="L143" s="888">
        <v>2.6086956521739131</v>
      </c>
      <c r="M143" s="889">
        <v>30</v>
      </c>
      <c r="N143" s="882">
        <v>7023</v>
      </c>
      <c r="O143" s="916">
        <v>42415</v>
      </c>
      <c r="P143" s="891" t="s">
        <v>206</v>
      </c>
      <c r="Q143" s="892">
        <v>1200</v>
      </c>
      <c r="R143" s="893">
        <v>460</v>
      </c>
      <c r="S143" s="894">
        <v>38400</v>
      </c>
      <c r="T143" s="895" t="s">
        <v>965</v>
      </c>
      <c r="U143" s="896" t="s">
        <v>47</v>
      </c>
      <c r="V143" s="999">
        <v>400</v>
      </c>
      <c r="W143" s="998">
        <v>154</v>
      </c>
      <c r="X143" s="998">
        <f t="shared" si="40"/>
        <v>266</v>
      </c>
      <c r="Y143" s="1000">
        <f t="shared" si="41"/>
        <v>-134</v>
      </c>
      <c r="Z143" s="1001">
        <v>8</v>
      </c>
      <c r="AA143" s="998">
        <v>3200</v>
      </c>
      <c r="AB143" s="998">
        <v>12800</v>
      </c>
      <c r="AC143" s="998">
        <v>320</v>
      </c>
      <c r="AD143" s="1000">
        <v>1280</v>
      </c>
      <c r="AE143" s="899"/>
      <c r="AF143" s="893"/>
      <c r="AG143" s="893"/>
      <c r="AH143" s="893"/>
      <c r="AI143" s="893"/>
      <c r="AJ143" s="998">
        <v>10000</v>
      </c>
      <c r="AK143" s="1002">
        <v>0</v>
      </c>
      <c r="AL143" s="901">
        <v>0</v>
      </c>
      <c r="AM143" s="999">
        <v>500</v>
      </c>
      <c r="AN143" s="998">
        <v>192</v>
      </c>
      <c r="AO143" s="998">
        <f t="shared" si="42"/>
        <v>332</v>
      </c>
      <c r="AP143" s="1000">
        <f t="shared" si="43"/>
        <v>-168</v>
      </c>
      <c r="AQ143" s="1001">
        <v>8</v>
      </c>
      <c r="AR143" s="998">
        <v>4000</v>
      </c>
      <c r="AS143" s="998">
        <v>16000</v>
      </c>
      <c r="AT143" s="998">
        <v>400</v>
      </c>
      <c r="AU143" s="1000">
        <v>1600</v>
      </c>
      <c r="AV143" s="899"/>
      <c r="AW143" s="893"/>
      <c r="AX143" s="893"/>
      <c r="AY143" s="893"/>
      <c r="AZ143" s="893"/>
      <c r="BA143" s="998">
        <v>10000</v>
      </c>
      <c r="BB143" s="1002">
        <v>0</v>
      </c>
      <c r="BC143" s="901">
        <v>0</v>
      </c>
      <c r="BD143" s="999">
        <v>600</v>
      </c>
      <c r="BE143" s="998">
        <v>230</v>
      </c>
      <c r="BF143" s="998">
        <f t="shared" si="44"/>
        <v>398</v>
      </c>
      <c r="BG143" s="1000">
        <f t="shared" si="45"/>
        <v>-202</v>
      </c>
      <c r="BH143" s="1001">
        <v>8</v>
      </c>
      <c r="BI143" s="998">
        <v>4800</v>
      </c>
      <c r="BJ143" s="998">
        <v>19200</v>
      </c>
      <c r="BK143" s="998">
        <v>480</v>
      </c>
      <c r="BL143" s="1000">
        <v>1920</v>
      </c>
      <c r="BM143" s="899"/>
      <c r="BN143" s="893"/>
      <c r="BO143" s="893"/>
      <c r="BP143" s="893"/>
      <c r="BQ143" s="893"/>
      <c r="BR143" s="998">
        <v>10000</v>
      </c>
      <c r="BS143" s="1002">
        <v>0</v>
      </c>
      <c r="BT143" s="901">
        <v>0</v>
      </c>
      <c r="BU143" s="999">
        <v>800</v>
      </c>
      <c r="BV143" s="998">
        <v>307</v>
      </c>
      <c r="BW143" s="998">
        <f t="shared" si="46"/>
        <v>531</v>
      </c>
      <c r="BX143" s="1000">
        <f t="shared" si="47"/>
        <v>-269</v>
      </c>
      <c r="BY143" s="1001">
        <v>8</v>
      </c>
      <c r="BZ143" s="998">
        <v>6400</v>
      </c>
      <c r="CA143" s="998">
        <v>25600</v>
      </c>
      <c r="CB143" s="998">
        <v>640</v>
      </c>
      <c r="CC143" s="1000">
        <v>2560</v>
      </c>
      <c r="CD143" s="899"/>
      <c r="CE143" s="893"/>
      <c r="CF143" s="893"/>
      <c r="CG143" s="893"/>
      <c r="CH143" s="893"/>
      <c r="CI143" s="998">
        <v>10000</v>
      </c>
      <c r="CJ143" s="1002">
        <v>0</v>
      </c>
      <c r="CK143" s="901">
        <v>0</v>
      </c>
      <c r="CL143" s="892">
        <v>1200</v>
      </c>
      <c r="CM143" s="893">
        <v>460</v>
      </c>
      <c r="CN143" s="893">
        <f t="shared" si="48"/>
        <v>796</v>
      </c>
      <c r="CO143" s="897">
        <f t="shared" si="49"/>
        <v>-404</v>
      </c>
      <c r="CP143" s="898">
        <v>8</v>
      </c>
      <c r="CQ143" s="893">
        <v>9600</v>
      </c>
      <c r="CR143" s="893">
        <v>38400</v>
      </c>
      <c r="CS143" s="998">
        <v>960</v>
      </c>
      <c r="CT143" s="1000">
        <v>3840</v>
      </c>
      <c r="CU143" s="899"/>
      <c r="CV143" s="893"/>
      <c r="CW143" s="893"/>
      <c r="CX143" s="893"/>
      <c r="CY143" s="893"/>
      <c r="CZ143" s="998">
        <v>10000</v>
      </c>
      <c r="DA143" s="900">
        <v>0</v>
      </c>
      <c r="DB143" s="901">
        <v>0</v>
      </c>
      <c r="DC143" s="902"/>
      <c r="DD143" s="893"/>
      <c r="DE143" s="903"/>
      <c r="DF143" s="903"/>
      <c r="DG143" s="903"/>
      <c r="DH143" s="998">
        <v>50000</v>
      </c>
      <c r="DI143" s="1002"/>
      <c r="DJ143" s="901"/>
      <c r="DK143" s="904"/>
      <c r="DL143" s="905"/>
      <c r="DM143" s="906">
        <v>10000</v>
      </c>
      <c r="DN143" s="907">
        <v>2300000</v>
      </c>
      <c r="DO143" s="908"/>
      <c r="DP143" s="908"/>
      <c r="DQ143" s="908"/>
      <c r="DR143" s="908"/>
      <c r="DS143" s="908"/>
      <c r="DT143" s="908"/>
      <c r="DU143" s="908"/>
      <c r="DV143" s="908"/>
      <c r="DW143" s="908"/>
      <c r="DX143" s="909"/>
      <c r="DY143" s="910" t="s">
        <v>43</v>
      </c>
      <c r="DZ143" s="911"/>
      <c r="EA143" s="890"/>
      <c r="EB143" s="890"/>
      <c r="EC143" s="912"/>
      <c r="ED143" s="913"/>
      <c r="EE143" s="893"/>
      <c r="EF143" s="893"/>
      <c r="EG143" s="893"/>
      <c r="EH143" s="897"/>
      <c r="EI143" s="914"/>
      <c r="EJ143" s="915"/>
    </row>
    <row r="144" spans="2:140">
      <c r="B144" s="1127" t="s">
        <v>133</v>
      </c>
      <c r="C144" s="879" t="s">
        <v>42</v>
      </c>
      <c r="D144" s="880"/>
      <c r="E144" s="881" t="s">
        <v>43</v>
      </c>
      <c r="F144" s="882"/>
      <c r="G144" s="883"/>
      <c r="H144" s="884">
        <v>5</v>
      </c>
      <c r="I144" s="885" t="s">
        <v>282</v>
      </c>
      <c r="J144" s="886">
        <v>6</v>
      </c>
      <c r="K144" s="887">
        <v>0.1</v>
      </c>
      <c r="L144" s="888">
        <v>1.3157894736842106</v>
      </c>
      <c r="M144" s="889">
        <v>100</v>
      </c>
      <c r="N144" s="882">
        <v>80</v>
      </c>
      <c r="O144" s="916">
        <v>42227</v>
      </c>
      <c r="P144" s="891" t="s">
        <v>98</v>
      </c>
      <c r="Q144" s="892">
        <v>250</v>
      </c>
      <c r="R144" s="893">
        <v>190</v>
      </c>
      <c r="S144" s="894">
        <v>7500</v>
      </c>
      <c r="T144" s="895" t="s">
        <v>488</v>
      </c>
      <c r="U144" s="896" t="s">
        <v>504</v>
      </c>
      <c r="V144" s="892">
        <v>250</v>
      </c>
      <c r="W144" s="893">
        <v>190</v>
      </c>
      <c r="X144" s="893">
        <f t="shared" si="40"/>
        <v>329</v>
      </c>
      <c r="Y144" s="897">
        <f t="shared" si="41"/>
        <v>79</v>
      </c>
      <c r="Z144" s="898">
        <v>5</v>
      </c>
      <c r="AA144" s="893">
        <v>1250</v>
      </c>
      <c r="AB144" s="893">
        <v>7500</v>
      </c>
      <c r="AC144" s="893">
        <v>125</v>
      </c>
      <c r="AD144" s="897">
        <v>750</v>
      </c>
      <c r="AE144" s="899">
        <v>11</v>
      </c>
      <c r="AF144" s="893">
        <v>0</v>
      </c>
      <c r="AG144" s="893">
        <v>0</v>
      </c>
      <c r="AH144" s="893">
        <v>0</v>
      </c>
      <c r="AI144" s="893">
        <v>0</v>
      </c>
      <c r="AJ144" s="893">
        <v>1375</v>
      </c>
      <c r="AK144" s="900">
        <v>0</v>
      </c>
      <c r="AL144" s="901">
        <v>0</v>
      </c>
      <c r="AM144" s="892">
        <v>375</v>
      </c>
      <c r="AN144" s="893">
        <v>285</v>
      </c>
      <c r="AO144" s="893">
        <f t="shared" si="42"/>
        <v>493</v>
      </c>
      <c r="AP144" s="897">
        <f t="shared" si="43"/>
        <v>118</v>
      </c>
      <c r="AQ144" s="898">
        <v>5</v>
      </c>
      <c r="AR144" s="893">
        <v>1875</v>
      </c>
      <c r="AS144" s="893">
        <v>11250</v>
      </c>
      <c r="AT144" s="893">
        <v>187</v>
      </c>
      <c r="AU144" s="897">
        <v>1125</v>
      </c>
      <c r="AV144" s="899">
        <v>3</v>
      </c>
      <c r="AW144" s="893">
        <v>800000</v>
      </c>
      <c r="AX144" s="893">
        <v>0</v>
      </c>
      <c r="AY144" s="893">
        <v>0</v>
      </c>
      <c r="AZ144" s="893">
        <v>0</v>
      </c>
      <c r="BA144" s="893">
        <v>562</v>
      </c>
      <c r="BB144" s="900">
        <v>17.861111111111111</v>
      </c>
      <c r="BC144" s="901">
        <v>266666</v>
      </c>
      <c r="BD144" s="892">
        <v>437</v>
      </c>
      <c r="BE144" s="893">
        <v>332</v>
      </c>
      <c r="BF144" s="893">
        <f t="shared" si="44"/>
        <v>575</v>
      </c>
      <c r="BG144" s="897">
        <f t="shared" si="45"/>
        <v>138</v>
      </c>
      <c r="BH144" s="898">
        <v>5</v>
      </c>
      <c r="BI144" s="893">
        <v>2185</v>
      </c>
      <c r="BJ144" s="893">
        <v>13110</v>
      </c>
      <c r="BK144" s="893">
        <v>218</v>
      </c>
      <c r="BL144" s="897">
        <v>1311</v>
      </c>
      <c r="BM144" s="899">
        <v>5.5</v>
      </c>
      <c r="BN144" s="893">
        <v>1200000</v>
      </c>
      <c r="BO144" s="893">
        <v>0</v>
      </c>
      <c r="BP144" s="893">
        <v>1</v>
      </c>
      <c r="BQ144" s="893">
        <v>0</v>
      </c>
      <c r="BR144" s="893">
        <v>1201</v>
      </c>
      <c r="BS144" s="900">
        <v>23.079948512585812</v>
      </c>
      <c r="BT144" s="901">
        <v>218181</v>
      </c>
      <c r="BU144" s="892">
        <v>475</v>
      </c>
      <c r="BV144" s="893">
        <v>361</v>
      </c>
      <c r="BW144" s="893">
        <f t="shared" si="46"/>
        <v>625</v>
      </c>
      <c r="BX144" s="897">
        <f t="shared" si="47"/>
        <v>150</v>
      </c>
      <c r="BY144" s="898">
        <v>5</v>
      </c>
      <c r="BZ144" s="893">
        <v>2375</v>
      </c>
      <c r="CA144" s="893">
        <v>14250</v>
      </c>
      <c r="CB144" s="893">
        <v>237</v>
      </c>
      <c r="CC144" s="897">
        <v>1425</v>
      </c>
      <c r="CD144" s="899">
        <v>9</v>
      </c>
      <c r="CE144" s="893">
        <v>1600000</v>
      </c>
      <c r="CF144" s="893">
        <v>0</v>
      </c>
      <c r="CG144" s="893">
        <v>0</v>
      </c>
      <c r="CH144" s="893">
        <v>0</v>
      </c>
      <c r="CI144" s="893">
        <v>2137</v>
      </c>
      <c r="CJ144" s="900">
        <v>28.415175438596492</v>
      </c>
      <c r="CK144" s="901">
        <v>177777</v>
      </c>
      <c r="CL144" s="892">
        <v>500</v>
      </c>
      <c r="CM144" s="893">
        <v>380</v>
      </c>
      <c r="CN144" s="893">
        <f t="shared" si="48"/>
        <v>658</v>
      </c>
      <c r="CO144" s="897">
        <f t="shared" si="49"/>
        <v>158</v>
      </c>
      <c r="CP144" s="898">
        <v>5</v>
      </c>
      <c r="CQ144" s="893">
        <v>2500</v>
      </c>
      <c r="CR144" s="893">
        <v>15000</v>
      </c>
      <c r="CS144" s="893">
        <v>250</v>
      </c>
      <c r="CT144" s="897">
        <v>1500</v>
      </c>
      <c r="CU144" s="899">
        <v>11</v>
      </c>
      <c r="CV144" s="893">
        <v>2000000</v>
      </c>
      <c r="CW144" s="893">
        <v>0</v>
      </c>
      <c r="CX144" s="893">
        <v>0</v>
      </c>
      <c r="CY144" s="893">
        <v>1</v>
      </c>
      <c r="CZ144" s="893">
        <v>2750</v>
      </c>
      <c r="DA144" s="900">
        <v>33.768750000000004</v>
      </c>
      <c r="DB144" s="901">
        <v>181818</v>
      </c>
      <c r="DC144" s="902">
        <v>39.5</v>
      </c>
      <c r="DD144" s="893">
        <v>5600000</v>
      </c>
      <c r="DE144" s="903">
        <v>0</v>
      </c>
      <c r="DF144" s="903">
        <v>1</v>
      </c>
      <c r="DG144" s="903">
        <v>1</v>
      </c>
      <c r="DH144" s="893">
        <v>8025</v>
      </c>
      <c r="DI144" s="900">
        <v>93.333333333333329</v>
      </c>
      <c r="DJ144" s="901">
        <v>141772.15189873418</v>
      </c>
      <c r="DK144" s="904">
        <v>11</v>
      </c>
      <c r="DL144" s="905" t="s">
        <v>43</v>
      </c>
      <c r="DM144" s="906">
        <v>10000</v>
      </c>
      <c r="DN144" s="907">
        <v>33333</v>
      </c>
      <c r="DO144" s="908">
        <v>66666</v>
      </c>
      <c r="DP144" s="908">
        <v>133332</v>
      </c>
      <c r="DQ144" s="908">
        <v>266664</v>
      </c>
      <c r="DR144" s="908">
        <v>533328</v>
      </c>
      <c r="DS144" s="908"/>
      <c r="DT144" s="908"/>
      <c r="DU144" s="908"/>
      <c r="DV144" s="908"/>
      <c r="DW144" s="908"/>
      <c r="DX144" s="909"/>
      <c r="DY144" s="910" t="s">
        <v>43</v>
      </c>
      <c r="DZ144" s="911"/>
      <c r="EA144" s="890"/>
      <c r="EB144" s="890"/>
      <c r="EC144" s="912"/>
      <c r="ED144" s="913"/>
      <c r="EE144" s="893"/>
      <c r="EF144" s="893"/>
      <c r="EG144" s="893"/>
      <c r="EH144" s="897"/>
      <c r="EI144" s="914"/>
      <c r="EJ144" s="915"/>
    </row>
    <row r="145" spans="2:140">
      <c r="B145" s="1127" t="s">
        <v>141</v>
      </c>
      <c r="C145" s="879" t="s">
        <v>42</v>
      </c>
      <c r="D145" s="880"/>
      <c r="E145" s="881" t="s">
        <v>43</v>
      </c>
      <c r="F145" s="882"/>
      <c r="G145" s="883"/>
      <c r="H145" s="884">
        <v>4</v>
      </c>
      <c r="I145" s="885" t="s">
        <v>282</v>
      </c>
      <c r="J145" s="886">
        <v>10</v>
      </c>
      <c r="K145" s="887">
        <v>0.1</v>
      </c>
      <c r="L145" s="888">
        <v>1.3333333333333333</v>
      </c>
      <c r="M145" s="889">
        <v>100</v>
      </c>
      <c r="N145" s="882">
        <v>82</v>
      </c>
      <c r="O145" s="916">
        <v>42248</v>
      </c>
      <c r="P145" s="891" t="s">
        <v>98</v>
      </c>
      <c r="Q145" s="892">
        <v>240</v>
      </c>
      <c r="R145" s="893">
        <v>180</v>
      </c>
      <c r="S145" s="894">
        <v>12000</v>
      </c>
      <c r="T145" s="895" t="s">
        <v>489</v>
      </c>
      <c r="U145" s="896" t="s">
        <v>631</v>
      </c>
      <c r="V145" s="892">
        <v>240</v>
      </c>
      <c r="W145" s="893">
        <v>180</v>
      </c>
      <c r="X145" s="893">
        <f t="shared" si="40"/>
        <v>311</v>
      </c>
      <c r="Y145" s="897">
        <f t="shared" si="41"/>
        <v>71</v>
      </c>
      <c r="Z145" s="898">
        <v>5</v>
      </c>
      <c r="AA145" s="893">
        <v>1200</v>
      </c>
      <c r="AB145" s="893">
        <v>12000</v>
      </c>
      <c r="AC145" s="893">
        <v>120</v>
      </c>
      <c r="AD145" s="897">
        <v>1200</v>
      </c>
      <c r="AE145" s="899">
        <v>10</v>
      </c>
      <c r="AF145" s="893">
        <v>0</v>
      </c>
      <c r="AG145" s="893">
        <v>0</v>
      </c>
      <c r="AH145" s="893">
        <v>0</v>
      </c>
      <c r="AI145" s="893">
        <v>0</v>
      </c>
      <c r="AJ145" s="893">
        <v>1200</v>
      </c>
      <c r="AK145" s="900">
        <v>0</v>
      </c>
      <c r="AL145" s="901">
        <v>0</v>
      </c>
      <c r="AM145" s="892">
        <v>360</v>
      </c>
      <c r="AN145" s="893">
        <v>270</v>
      </c>
      <c r="AO145" s="893">
        <f t="shared" si="42"/>
        <v>467</v>
      </c>
      <c r="AP145" s="897">
        <f t="shared" si="43"/>
        <v>107</v>
      </c>
      <c r="AQ145" s="898">
        <v>5</v>
      </c>
      <c r="AR145" s="893">
        <v>1800</v>
      </c>
      <c r="AS145" s="893">
        <v>18000</v>
      </c>
      <c r="AT145" s="893">
        <v>180</v>
      </c>
      <c r="AU145" s="897">
        <v>1800</v>
      </c>
      <c r="AV145" s="899">
        <v>3</v>
      </c>
      <c r="AW145" s="893">
        <v>880000</v>
      </c>
      <c r="AX145" s="893">
        <v>0</v>
      </c>
      <c r="AY145" s="893">
        <v>1</v>
      </c>
      <c r="AZ145" s="893">
        <v>0</v>
      </c>
      <c r="BA145" s="893">
        <v>540</v>
      </c>
      <c r="BB145" s="900">
        <v>20.453703703703706</v>
      </c>
      <c r="BC145" s="901">
        <v>293333</v>
      </c>
      <c r="BD145" s="892">
        <v>419</v>
      </c>
      <c r="BE145" s="893">
        <v>314</v>
      </c>
      <c r="BF145" s="893">
        <f t="shared" si="44"/>
        <v>544</v>
      </c>
      <c r="BG145" s="897">
        <f t="shared" si="45"/>
        <v>125</v>
      </c>
      <c r="BH145" s="898">
        <v>5</v>
      </c>
      <c r="BI145" s="893">
        <v>2095</v>
      </c>
      <c r="BJ145" s="893">
        <v>20950</v>
      </c>
      <c r="BK145" s="893">
        <v>209</v>
      </c>
      <c r="BL145" s="897">
        <v>2095</v>
      </c>
      <c r="BM145" s="899">
        <v>6</v>
      </c>
      <c r="BN145" s="893">
        <v>1320000</v>
      </c>
      <c r="BO145" s="893">
        <v>0</v>
      </c>
      <c r="BP145" s="893">
        <v>2</v>
      </c>
      <c r="BQ145" s="893">
        <v>0</v>
      </c>
      <c r="BR145" s="893">
        <v>1257</v>
      </c>
      <c r="BS145" s="900">
        <v>26.467780429594271</v>
      </c>
      <c r="BT145" s="901">
        <v>220000</v>
      </c>
      <c r="BU145" s="892">
        <v>456</v>
      </c>
      <c r="BV145" s="893">
        <v>342</v>
      </c>
      <c r="BW145" s="893">
        <f t="shared" si="46"/>
        <v>592</v>
      </c>
      <c r="BX145" s="897">
        <f t="shared" si="47"/>
        <v>136</v>
      </c>
      <c r="BY145" s="898">
        <v>5</v>
      </c>
      <c r="BZ145" s="893">
        <v>2280</v>
      </c>
      <c r="CA145" s="893">
        <v>22800</v>
      </c>
      <c r="CB145" s="893">
        <v>228</v>
      </c>
      <c r="CC145" s="897">
        <v>2280</v>
      </c>
      <c r="CD145" s="899">
        <v>8</v>
      </c>
      <c r="CE145" s="893">
        <v>1760000</v>
      </c>
      <c r="CF145" s="893">
        <v>0</v>
      </c>
      <c r="CG145" s="893">
        <v>0</v>
      </c>
      <c r="CH145" s="893">
        <v>1</v>
      </c>
      <c r="CI145" s="893">
        <v>1824</v>
      </c>
      <c r="CJ145" s="900">
        <v>32.470029239766085</v>
      </c>
      <c r="CK145" s="901">
        <v>220000</v>
      </c>
      <c r="CL145" s="892">
        <v>480</v>
      </c>
      <c r="CM145" s="893">
        <v>360</v>
      </c>
      <c r="CN145" s="893">
        <f t="shared" si="48"/>
        <v>623</v>
      </c>
      <c r="CO145" s="897">
        <f t="shared" si="49"/>
        <v>143</v>
      </c>
      <c r="CP145" s="898">
        <v>5</v>
      </c>
      <c r="CQ145" s="893">
        <v>2400</v>
      </c>
      <c r="CR145" s="893">
        <v>24000</v>
      </c>
      <c r="CS145" s="893">
        <v>240</v>
      </c>
      <c r="CT145" s="897">
        <v>2400</v>
      </c>
      <c r="CU145" s="899">
        <v>10</v>
      </c>
      <c r="CV145" s="893">
        <v>2200000</v>
      </c>
      <c r="CW145" s="893">
        <v>0</v>
      </c>
      <c r="CX145" s="893">
        <v>0</v>
      </c>
      <c r="CY145" s="893">
        <v>2</v>
      </c>
      <c r="CZ145" s="893">
        <v>2400</v>
      </c>
      <c r="DA145" s="900">
        <v>38.590277777777779</v>
      </c>
      <c r="DB145" s="901">
        <v>220000</v>
      </c>
      <c r="DC145" s="902">
        <v>37</v>
      </c>
      <c r="DD145" s="893">
        <v>6160000</v>
      </c>
      <c r="DE145" s="903">
        <v>0</v>
      </c>
      <c r="DF145" s="903">
        <v>3</v>
      </c>
      <c r="DG145" s="903">
        <v>3</v>
      </c>
      <c r="DH145" s="893">
        <v>7221</v>
      </c>
      <c r="DI145" s="900">
        <v>106.94444444444444</v>
      </c>
      <c r="DJ145" s="901">
        <v>166486.48648648648</v>
      </c>
      <c r="DK145" s="904">
        <v>10</v>
      </c>
      <c r="DL145" s="905" t="s">
        <v>43</v>
      </c>
      <c r="DM145" s="906">
        <v>6666</v>
      </c>
      <c r="DN145" s="907">
        <v>20000</v>
      </c>
      <c r="DO145" s="908">
        <v>40000</v>
      </c>
      <c r="DP145" s="908">
        <v>80000</v>
      </c>
      <c r="DQ145" s="908">
        <v>160000</v>
      </c>
      <c r="DR145" s="908">
        <v>320000</v>
      </c>
      <c r="DS145" s="908">
        <v>640000</v>
      </c>
      <c r="DT145" s="908"/>
      <c r="DU145" s="908"/>
      <c r="DV145" s="908"/>
      <c r="DW145" s="908"/>
      <c r="DX145" s="909"/>
      <c r="DY145" s="910" t="s">
        <v>43</v>
      </c>
      <c r="DZ145" s="911"/>
      <c r="EA145" s="890"/>
      <c r="EB145" s="890"/>
      <c r="EC145" s="912"/>
      <c r="ED145" s="913"/>
      <c r="EE145" s="893"/>
      <c r="EF145" s="893"/>
      <c r="EG145" s="893"/>
      <c r="EH145" s="897"/>
      <c r="EI145" s="914"/>
      <c r="EJ145" s="915"/>
    </row>
    <row r="146" spans="2:140">
      <c r="B146" s="1127" t="s">
        <v>149</v>
      </c>
      <c r="C146" s="879" t="s">
        <v>42</v>
      </c>
      <c r="D146" s="880"/>
      <c r="E146" s="881" t="s">
        <v>43</v>
      </c>
      <c r="F146" s="882"/>
      <c r="G146" s="883"/>
      <c r="H146" s="884">
        <v>5</v>
      </c>
      <c r="I146" s="885" t="s">
        <v>282</v>
      </c>
      <c r="J146" s="886">
        <v>9</v>
      </c>
      <c r="K146" s="887">
        <v>0.1</v>
      </c>
      <c r="L146" s="888">
        <v>1.3157894736842106</v>
      </c>
      <c r="M146" s="889">
        <v>100</v>
      </c>
      <c r="N146" s="882">
        <v>82</v>
      </c>
      <c r="O146" s="916">
        <v>42258</v>
      </c>
      <c r="P146" s="891" t="s">
        <v>98</v>
      </c>
      <c r="Q146" s="892">
        <v>250</v>
      </c>
      <c r="R146" s="893">
        <v>190</v>
      </c>
      <c r="S146" s="894">
        <v>11250</v>
      </c>
      <c r="T146" s="895" t="s">
        <v>490</v>
      </c>
      <c r="U146" s="896" t="s">
        <v>506</v>
      </c>
      <c r="V146" s="892">
        <v>250</v>
      </c>
      <c r="W146" s="893">
        <v>190</v>
      </c>
      <c r="X146" s="893">
        <f t="shared" si="40"/>
        <v>329</v>
      </c>
      <c r="Y146" s="897">
        <f t="shared" si="41"/>
        <v>79</v>
      </c>
      <c r="Z146" s="898">
        <v>5</v>
      </c>
      <c r="AA146" s="893">
        <v>1250</v>
      </c>
      <c r="AB146" s="893">
        <v>11250</v>
      </c>
      <c r="AC146" s="893">
        <v>125</v>
      </c>
      <c r="AD146" s="897">
        <v>1125</v>
      </c>
      <c r="AE146" s="899">
        <v>11</v>
      </c>
      <c r="AF146" s="893">
        <v>0</v>
      </c>
      <c r="AG146" s="893">
        <v>0</v>
      </c>
      <c r="AH146" s="893">
        <v>0</v>
      </c>
      <c r="AI146" s="893">
        <v>0</v>
      </c>
      <c r="AJ146" s="893">
        <v>1375</v>
      </c>
      <c r="AK146" s="900">
        <v>0</v>
      </c>
      <c r="AL146" s="901">
        <v>0</v>
      </c>
      <c r="AM146" s="892">
        <v>375</v>
      </c>
      <c r="AN146" s="893">
        <v>285</v>
      </c>
      <c r="AO146" s="893">
        <f t="shared" si="42"/>
        <v>493</v>
      </c>
      <c r="AP146" s="897">
        <f t="shared" si="43"/>
        <v>118</v>
      </c>
      <c r="AQ146" s="898">
        <v>5</v>
      </c>
      <c r="AR146" s="893">
        <v>1875</v>
      </c>
      <c r="AS146" s="893">
        <v>16875</v>
      </c>
      <c r="AT146" s="893">
        <v>187</v>
      </c>
      <c r="AU146" s="897">
        <v>1687</v>
      </c>
      <c r="AV146" s="899">
        <v>3.5</v>
      </c>
      <c r="AW146" s="893">
        <v>920000</v>
      </c>
      <c r="AX146" s="893">
        <v>0</v>
      </c>
      <c r="AY146" s="893">
        <v>1</v>
      </c>
      <c r="AZ146" s="893">
        <v>0</v>
      </c>
      <c r="BA146" s="893">
        <v>656</v>
      </c>
      <c r="BB146" s="900">
        <v>20.541666666666668</v>
      </c>
      <c r="BC146" s="901">
        <v>262857</v>
      </c>
      <c r="BD146" s="892">
        <v>436</v>
      </c>
      <c r="BE146" s="893">
        <v>332</v>
      </c>
      <c r="BF146" s="893">
        <f t="shared" si="44"/>
        <v>575</v>
      </c>
      <c r="BG146" s="897">
        <f t="shared" si="45"/>
        <v>139</v>
      </c>
      <c r="BH146" s="898">
        <v>5</v>
      </c>
      <c r="BI146" s="893">
        <v>2180</v>
      </c>
      <c r="BJ146" s="893">
        <v>19620</v>
      </c>
      <c r="BK146" s="893">
        <v>218</v>
      </c>
      <c r="BL146" s="897">
        <v>1962</v>
      </c>
      <c r="BM146" s="899">
        <v>7</v>
      </c>
      <c r="BN146" s="893">
        <v>1380000</v>
      </c>
      <c r="BO146" s="893">
        <v>0</v>
      </c>
      <c r="BP146" s="893">
        <v>2</v>
      </c>
      <c r="BQ146" s="893">
        <v>0</v>
      </c>
      <c r="BR146" s="893">
        <v>1526</v>
      </c>
      <c r="BS146" s="900">
        <v>26.627006880733944</v>
      </c>
      <c r="BT146" s="901">
        <v>197142</v>
      </c>
      <c r="BU146" s="892">
        <v>475</v>
      </c>
      <c r="BV146" s="893">
        <v>361</v>
      </c>
      <c r="BW146" s="893">
        <f t="shared" si="46"/>
        <v>625</v>
      </c>
      <c r="BX146" s="897">
        <f t="shared" si="47"/>
        <v>150</v>
      </c>
      <c r="BY146" s="898">
        <v>5</v>
      </c>
      <c r="BZ146" s="893">
        <v>2375</v>
      </c>
      <c r="CA146" s="893">
        <v>21375</v>
      </c>
      <c r="CB146" s="893">
        <v>237</v>
      </c>
      <c r="CC146" s="897">
        <v>2137</v>
      </c>
      <c r="CD146" s="899">
        <v>9</v>
      </c>
      <c r="CE146" s="893">
        <v>1840000</v>
      </c>
      <c r="CF146" s="893">
        <v>0</v>
      </c>
      <c r="CG146" s="893">
        <v>0</v>
      </c>
      <c r="CH146" s="893">
        <v>1</v>
      </c>
      <c r="CI146" s="893">
        <v>2137</v>
      </c>
      <c r="CJ146" s="900">
        <v>32.624912280701757</v>
      </c>
      <c r="CK146" s="901">
        <v>204444</v>
      </c>
      <c r="CL146" s="892">
        <v>500</v>
      </c>
      <c r="CM146" s="893">
        <v>380</v>
      </c>
      <c r="CN146" s="893">
        <f t="shared" si="48"/>
        <v>658</v>
      </c>
      <c r="CO146" s="897">
        <f t="shared" si="49"/>
        <v>158</v>
      </c>
      <c r="CP146" s="898">
        <v>6</v>
      </c>
      <c r="CQ146" s="893">
        <v>3000</v>
      </c>
      <c r="CR146" s="893">
        <v>27000</v>
      </c>
      <c r="CS146" s="893">
        <v>300</v>
      </c>
      <c r="CT146" s="897">
        <v>2700</v>
      </c>
      <c r="CU146" s="899">
        <v>11</v>
      </c>
      <c r="CV146" s="893">
        <v>2300000</v>
      </c>
      <c r="CW146" s="893">
        <v>0</v>
      </c>
      <c r="CX146" s="893">
        <v>0</v>
      </c>
      <c r="CY146" s="893">
        <v>2</v>
      </c>
      <c r="CZ146" s="893">
        <v>3300</v>
      </c>
      <c r="DA146" s="900">
        <v>32.307291666666664</v>
      </c>
      <c r="DB146" s="901">
        <v>209090</v>
      </c>
      <c r="DC146" s="902">
        <v>41.5</v>
      </c>
      <c r="DD146" s="893">
        <v>6440000</v>
      </c>
      <c r="DE146" s="903">
        <v>0</v>
      </c>
      <c r="DF146" s="903">
        <v>3</v>
      </c>
      <c r="DG146" s="903">
        <v>3</v>
      </c>
      <c r="DH146" s="893">
        <v>8994</v>
      </c>
      <c r="DI146" s="900">
        <v>89.444444444444443</v>
      </c>
      <c r="DJ146" s="901">
        <v>155180.72289156626</v>
      </c>
      <c r="DK146" s="904">
        <v>11</v>
      </c>
      <c r="DL146" s="905" t="s">
        <v>43</v>
      </c>
      <c r="DM146" s="906">
        <v>9900</v>
      </c>
      <c r="DN146" s="907">
        <v>29800</v>
      </c>
      <c r="DO146" s="908">
        <v>59600</v>
      </c>
      <c r="DP146" s="908">
        <v>119200</v>
      </c>
      <c r="DQ146" s="908">
        <v>238400</v>
      </c>
      <c r="DR146" s="908">
        <v>476800</v>
      </c>
      <c r="DS146" s="908">
        <v>953600</v>
      </c>
      <c r="DT146" s="908"/>
      <c r="DU146" s="908"/>
      <c r="DV146" s="908"/>
      <c r="DW146" s="908"/>
      <c r="DX146" s="909"/>
      <c r="DY146" s="910" t="s">
        <v>43</v>
      </c>
      <c r="DZ146" s="911"/>
      <c r="EA146" s="890"/>
      <c r="EB146" s="890"/>
      <c r="EC146" s="912"/>
      <c r="ED146" s="913"/>
      <c r="EE146" s="893"/>
      <c r="EF146" s="893"/>
      <c r="EG146" s="893"/>
      <c r="EH146" s="897"/>
      <c r="EI146" s="914"/>
      <c r="EJ146" s="915"/>
    </row>
    <row r="147" spans="2:140">
      <c r="B147" s="1127" t="s">
        <v>233</v>
      </c>
      <c r="C147" s="879" t="s">
        <v>42</v>
      </c>
      <c r="D147" s="880" t="s">
        <v>43</v>
      </c>
      <c r="E147" s="881" t="s">
        <v>43</v>
      </c>
      <c r="F147" s="882"/>
      <c r="G147" s="883"/>
      <c r="H147" s="884">
        <v>6</v>
      </c>
      <c r="I147" s="885" t="s">
        <v>282</v>
      </c>
      <c r="J147" s="886">
        <v>5</v>
      </c>
      <c r="K147" s="887">
        <v>0.1</v>
      </c>
      <c r="L147" s="888">
        <v>2.4</v>
      </c>
      <c r="M147" s="889">
        <v>100</v>
      </c>
      <c r="N147" s="882">
        <v>87</v>
      </c>
      <c r="O147" s="916">
        <v>42278</v>
      </c>
      <c r="P147" s="891" t="s">
        <v>98</v>
      </c>
      <c r="Q147" s="892">
        <v>600</v>
      </c>
      <c r="R147" s="893">
        <v>250</v>
      </c>
      <c r="S147" s="894">
        <v>30000</v>
      </c>
      <c r="T147" s="895" t="s">
        <v>491</v>
      </c>
      <c r="U147" s="896" t="s">
        <v>653</v>
      </c>
      <c r="V147" s="892">
        <v>600</v>
      </c>
      <c r="W147" s="893">
        <v>250</v>
      </c>
      <c r="X147" s="893">
        <f t="shared" si="40"/>
        <v>433</v>
      </c>
      <c r="Y147" s="897">
        <f t="shared" si="41"/>
        <v>-167</v>
      </c>
      <c r="Z147" s="898">
        <v>10</v>
      </c>
      <c r="AA147" s="893">
        <v>6000</v>
      </c>
      <c r="AB147" s="893">
        <v>30000</v>
      </c>
      <c r="AC147" s="893">
        <v>600</v>
      </c>
      <c r="AD147" s="897">
        <v>3000</v>
      </c>
      <c r="AE147" s="899">
        <v>24</v>
      </c>
      <c r="AF147" s="893">
        <v>0</v>
      </c>
      <c r="AG147" s="893">
        <v>0</v>
      </c>
      <c r="AH147" s="893">
        <v>0</v>
      </c>
      <c r="AI147" s="893">
        <v>0</v>
      </c>
      <c r="AJ147" s="893">
        <v>10000</v>
      </c>
      <c r="AK147" s="900">
        <v>0</v>
      </c>
      <c r="AL147" s="901">
        <v>0</v>
      </c>
      <c r="AM147" s="892">
        <v>900</v>
      </c>
      <c r="AN147" s="893">
        <v>375</v>
      </c>
      <c r="AO147" s="893">
        <f t="shared" si="42"/>
        <v>649</v>
      </c>
      <c r="AP147" s="897">
        <f t="shared" si="43"/>
        <v>-251</v>
      </c>
      <c r="AQ147" s="898">
        <v>10</v>
      </c>
      <c r="AR147" s="893">
        <v>9000</v>
      </c>
      <c r="AS147" s="893">
        <v>45000</v>
      </c>
      <c r="AT147" s="893">
        <v>900</v>
      </c>
      <c r="AU147" s="897">
        <v>4500</v>
      </c>
      <c r="AV147" s="899">
        <v>7</v>
      </c>
      <c r="AW147" s="893">
        <v>2000000</v>
      </c>
      <c r="AX147" s="893">
        <v>0</v>
      </c>
      <c r="AY147" s="893">
        <v>4</v>
      </c>
      <c r="AZ147" s="893">
        <v>0</v>
      </c>
      <c r="BA147" s="893">
        <v>6300</v>
      </c>
      <c r="BB147" s="900">
        <v>9.4537037037037042</v>
      </c>
      <c r="BC147" s="901">
        <v>285714</v>
      </c>
      <c r="BD147" s="892">
        <v>1047</v>
      </c>
      <c r="BE147" s="893">
        <v>437</v>
      </c>
      <c r="BF147" s="893">
        <f t="shared" si="44"/>
        <v>757</v>
      </c>
      <c r="BG147" s="897">
        <f t="shared" si="45"/>
        <v>-290</v>
      </c>
      <c r="BH147" s="898">
        <v>11</v>
      </c>
      <c r="BI147" s="893">
        <v>11517</v>
      </c>
      <c r="BJ147" s="893">
        <v>57585</v>
      </c>
      <c r="BK147" s="893">
        <v>1151</v>
      </c>
      <c r="BL147" s="897">
        <v>5758</v>
      </c>
      <c r="BM147" s="899">
        <v>13</v>
      </c>
      <c r="BN147" s="893">
        <v>3000000</v>
      </c>
      <c r="BO147" s="893">
        <v>0</v>
      </c>
      <c r="BP147" s="893">
        <v>6</v>
      </c>
      <c r="BQ147" s="893">
        <v>0</v>
      </c>
      <c r="BR147" s="893">
        <v>10000</v>
      </c>
      <c r="BS147" s="900">
        <v>11.276808196578969</v>
      </c>
      <c r="BT147" s="901">
        <v>230769</v>
      </c>
      <c r="BU147" s="892">
        <v>1140</v>
      </c>
      <c r="BV147" s="893">
        <v>475</v>
      </c>
      <c r="BW147" s="893">
        <f t="shared" si="46"/>
        <v>822</v>
      </c>
      <c r="BX147" s="897">
        <f t="shared" si="47"/>
        <v>-318</v>
      </c>
      <c r="BY147" s="898">
        <v>11</v>
      </c>
      <c r="BZ147" s="893">
        <v>12540</v>
      </c>
      <c r="CA147" s="893">
        <v>62700</v>
      </c>
      <c r="CB147" s="893">
        <v>1254</v>
      </c>
      <c r="CC147" s="897">
        <v>6270</v>
      </c>
      <c r="CD147" s="899">
        <v>20</v>
      </c>
      <c r="CE147" s="893">
        <v>4000000</v>
      </c>
      <c r="CF147" s="893">
        <v>0</v>
      </c>
      <c r="CG147" s="893">
        <v>0</v>
      </c>
      <c r="CH147" s="893">
        <v>4</v>
      </c>
      <c r="CI147" s="893">
        <v>10000</v>
      </c>
      <c r="CJ147" s="900">
        <v>14.056153641679957</v>
      </c>
      <c r="CK147" s="901">
        <v>200000</v>
      </c>
      <c r="CL147" s="892">
        <v>1200</v>
      </c>
      <c r="CM147" s="893">
        <v>500</v>
      </c>
      <c r="CN147" s="893">
        <f t="shared" si="48"/>
        <v>866</v>
      </c>
      <c r="CO147" s="897">
        <f t="shared" si="49"/>
        <v>-334</v>
      </c>
      <c r="CP147" s="898">
        <v>12</v>
      </c>
      <c r="CQ147" s="893">
        <v>14400</v>
      </c>
      <c r="CR147" s="893">
        <v>72000</v>
      </c>
      <c r="CS147" s="893">
        <v>1440</v>
      </c>
      <c r="CT147" s="897">
        <v>7200</v>
      </c>
      <c r="CU147" s="899">
        <v>24</v>
      </c>
      <c r="CV147" s="893">
        <v>5000000</v>
      </c>
      <c r="CW147" s="893">
        <v>0</v>
      </c>
      <c r="CX147" s="893">
        <v>0</v>
      </c>
      <c r="CY147" s="893">
        <v>6</v>
      </c>
      <c r="CZ147" s="893">
        <v>10000</v>
      </c>
      <c r="DA147" s="900">
        <v>15.338425925925925</v>
      </c>
      <c r="DB147" s="901">
        <v>208333</v>
      </c>
      <c r="DC147" s="902">
        <v>88</v>
      </c>
      <c r="DD147" s="893">
        <v>14000000</v>
      </c>
      <c r="DE147" s="903">
        <v>0</v>
      </c>
      <c r="DF147" s="903">
        <v>10</v>
      </c>
      <c r="DG147" s="903">
        <v>10</v>
      </c>
      <c r="DH147" s="893">
        <v>46300</v>
      </c>
      <c r="DI147" s="900">
        <v>40.50925925925926</v>
      </c>
      <c r="DJ147" s="901">
        <v>159090.90909090909</v>
      </c>
      <c r="DK147" s="904">
        <v>24</v>
      </c>
      <c r="DL147" s="905" t="s">
        <v>43</v>
      </c>
      <c r="DM147" s="906">
        <v>10000</v>
      </c>
      <c r="DN147" s="907">
        <v>98000</v>
      </c>
      <c r="DO147" s="908">
        <v>196000</v>
      </c>
      <c r="DP147" s="908">
        <v>392000</v>
      </c>
      <c r="DQ147" s="908">
        <v>784000</v>
      </c>
      <c r="DR147" s="908"/>
      <c r="DS147" s="908"/>
      <c r="DT147" s="908"/>
      <c r="DU147" s="908"/>
      <c r="DV147" s="908"/>
      <c r="DW147" s="908"/>
      <c r="DX147" s="909"/>
      <c r="DY147" s="910" t="s">
        <v>43</v>
      </c>
      <c r="DZ147" s="911"/>
      <c r="EA147" s="890"/>
      <c r="EB147" s="890"/>
      <c r="EC147" s="912"/>
      <c r="ED147" s="913"/>
      <c r="EE147" s="893"/>
      <c r="EF147" s="893"/>
      <c r="EG147" s="893"/>
      <c r="EH147" s="897"/>
      <c r="EI147" s="914"/>
      <c r="EJ147" s="915"/>
    </row>
    <row r="148" spans="2:140">
      <c r="B148" s="1127" t="s">
        <v>172</v>
      </c>
      <c r="C148" s="879" t="s">
        <v>42</v>
      </c>
      <c r="D148" s="880"/>
      <c r="E148" s="881" t="s">
        <v>43</v>
      </c>
      <c r="F148" s="882"/>
      <c r="G148" s="883"/>
      <c r="H148" s="884">
        <v>5</v>
      </c>
      <c r="I148" s="885" t="s">
        <v>282</v>
      </c>
      <c r="J148" s="886">
        <v>9</v>
      </c>
      <c r="K148" s="887">
        <v>0.1</v>
      </c>
      <c r="L148" s="888">
        <v>1.3333333333333333</v>
      </c>
      <c r="M148" s="889">
        <v>100</v>
      </c>
      <c r="N148" s="882">
        <v>88</v>
      </c>
      <c r="O148" s="916">
        <v>42287</v>
      </c>
      <c r="P148" s="891" t="s">
        <v>98</v>
      </c>
      <c r="Q148" s="892">
        <v>260</v>
      </c>
      <c r="R148" s="893">
        <v>195</v>
      </c>
      <c r="S148" s="894">
        <v>14040</v>
      </c>
      <c r="T148" s="895" t="s">
        <v>492</v>
      </c>
      <c r="U148" s="896" t="s">
        <v>641</v>
      </c>
      <c r="V148" s="892">
        <v>260</v>
      </c>
      <c r="W148" s="893">
        <v>195</v>
      </c>
      <c r="X148" s="893">
        <f t="shared" si="40"/>
        <v>337</v>
      </c>
      <c r="Y148" s="897">
        <f t="shared" si="41"/>
        <v>77</v>
      </c>
      <c r="Z148" s="898">
        <v>6</v>
      </c>
      <c r="AA148" s="893">
        <v>1560</v>
      </c>
      <c r="AB148" s="893">
        <v>14040</v>
      </c>
      <c r="AC148" s="893">
        <v>156</v>
      </c>
      <c r="AD148" s="897">
        <v>1404</v>
      </c>
      <c r="AE148" s="899">
        <v>2</v>
      </c>
      <c r="AF148" s="893">
        <v>0</v>
      </c>
      <c r="AG148" s="893">
        <v>0</v>
      </c>
      <c r="AH148" s="893">
        <v>0</v>
      </c>
      <c r="AI148" s="893">
        <v>0</v>
      </c>
      <c r="AJ148" s="893">
        <v>312</v>
      </c>
      <c r="AK148" s="900">
        <v>0</v>
      </c>
      <c r="AL148" s="901">
        <v>0</v>
      </c>
      <c r="AM148" s="892">
        <v>390</v>
      </c>
      <c r="AN148" s="893">
        <v>293</v>
      </c>
      <c r="AO148" s="893">
        <f t="shared" si="42"/>
        <v>507</v>
      </c>
      <c r="AP148" s="897">
        <f t="shared" si="43"/>
        <v>117</v>
      </c>
      <c r="AQ148" s="898">
        <v>6</v>
      </c>
      <c r="AR148" s="893">
        <v>2340</v>
      </c>
      <c r="AS148" s="893">
        <v>21060</v>
      </c>
      <c r="AT148" s="893">
        <v>234</v>
      </c>
      <c r="AU148" s="897">
        <v>2106</v>
      </c>
      <c r="AV148" s="899">
        <v>12</v>
      </c>
      <c r="AW148" s="893">
        <v>960000</v>
      </c>
      <c r="AX148" s="893">
        <v>0</v>
      </c>
      <c r="AY148" s="893">
        <v>1</v>
      </c>
      <c r="AZ148" s="893">
        <v>0</v>
      </c>
      <c r="BA148" s="893">
        <v>2808</v>
      </c>
      <c r="BB148" s="900">
        <v>17.427350427350429</v>
      </c>
      <c r="BC148" s="901">
        <v>80000</v>
      </c>
      <c r="BD148" s="892">
        <v>454</v>
      </c>
      <c r="BE148" s="893">
        <v>341</v>
      </c>
      <c r="BF148" s="893">
        <f t="shared" si="44"/>
        <v>590</v>
      </c>
      <c r="BG148" s="897">
        <f t="shared" si="45"/>
        <v>136</v>
      </c>
      <c r="BH148" s="898">
        <v>6</v>
      </c>
      <c r="BI148" s="893">
        <v>2724</v>
      </c>
      <c r="BJ148" s="893">
        <v>24516</v>
      </c>
      <c r="BK148" s="893">
        <v>272</v>
      </c>
      <c r="BL148" s="897">
        <v>2451</v>
      </c>
      <c r="BM148" s="899">
        <v>24</v>
      </c>
      <c r="BN148" s="893">
        <v>1440000</v>
      </c>
      <c r="BO148" s="893">
        <v>0</v>
      </c>
      <c r="BP148" s="893">
        <v>2</v>
      </c>
      <c r="BQ148" s="893">
        <v>0</v>
      </c>
      <c r="BR148" s="893">
        <v>6538</v>
      </c>
      <c r="BS148" s="900">
        <v>22.885462555066081</v>
      </c>
      <c r="BT148" s="901">
        <v>60000</v>
      </c>
      <c r="BU148" s="892">
        <v>494</v>
      </c>
      <c r="BV148" s="893">
        <v>371</v>
      </c>
      <c r="BW148" s="893">
        <f t="shared" si="46"/>
        <v>642</v>
      </c>
      <c r="BX148" s="897">
        <f t="shared" si="47"/>
        <v>148</v>
      </c>
      <c r="BY148" s="898">
        <v>6</v>
      </c>
      <c r="BZ148" s="893">
        <v>2964</v>
      </c>
      <c r="CA148" s="893">
        <v>26676</v>
      </c>
      <c r="CB148" s="893">
        <v>296</v>
      </c>
      <c r="CC148" s="897">
        <v>2667</v>
      </c>
      <c r="CD148" s="899">
        <v>72</v>
      </c>
      <c r="CE148" s="893">
        <v>1920000</v>
      </c>
      <c r="CF148" s="893">
        <v>0</v>
      </c>
      <c r="CG148" s="893">
        <v>0</v>
      </c>
      <c r="CH148" s="893">
        <v>1</v>
      </c>
      <c r="CI148" s="893">
        <v>21341</v>
      </c>
      <c r="CJ148" s="900">
        <v>29.747638326585697</v>
      </c>
      <c r="CK148" s="901">
        <v>26666</v>
      </c>
      <c r="CL148" s="892">
        <v>520</v>
      </c>
      <c r="CM148" s="893">
        <v>390</v>
      </c>
      <c r="CN148" s="893">
        <f t="shared" si="48"/>
        <v>675</v>
      </c>
      <c r="CO148" s="897">
        <f t="shared" si="49"/>
        <v>155</v>
      </c>
      <c r="CP148" s="898">
        <v>6</v>
      </c>
      <c r="CQ148" s="893">
        <v>3120</v>
      </c>
      <c r="CR148" s="893">
        <v>28080</v>
      </c>
      <c r="CS148" s="893">
        <v>312</v>
      </c>
      <c r="CT148" s="897">
        <v>2808</v>
      </c>
      <c r="CU148" s="899">
        <v>120</v>
      </c>
      <c r="CV148" s="893">
        <v>2400000</v>
      </c>
      <c r="CW148" s="893">
        <v>0</v>
      </c>
      <c r="CX148" s="893">
        <v>0</v>
      </c>
      <c r="CY148" s="893">
        <v>2</v>
      </c>
      <c r="CZ148" s="893">
        <v>37440</v>
      </c>
      <c r="DA148" s="900">
        <v>36.801282051282051</v>
      </c>
      <c r="DB148" s="901">
        <v>20000</v>
      </c>
      <c r="DC148" s="902">
        <v>230</v>
      </c>
      <c r="DD148" s="893">
        <v>6720000</v>
      </c>
      <c r="DE148" s="903">
        <v>0</v>
      </c>
      <c r="DF148" s="903">
        <v>3</v>
      </c>
      <c r="DG148" s="903">
        <v>3</v>
      </c>
      <c r="DH148" s="893">
        <v>68439</v>
      </c>
      <c r="DI148" s="900">
        <v>89.743589743589737</v>
      </c>
      <c r="DJ148" s="901">
        <v>29217.391304347828</v>
      </c>
      <c r="DK148" s="904">
        <v>63</v>
      </c>
      <c r="DL148" s="905" t="s">
        <v>43</v>
      </c>
      <c r="DM148" s="906">
        <v>9900</v>
      </c>
      <c r="DN148" s="907">
        <v>29800</v>
      </c>
      <c r="DO148" s="908">
        <v>59600</v>
      </c>
      <c r="DP148" s="908">
        <v>119200</v>
      </c>
      <c r="DQ148" s="908">
        <v>238400</v>
      </c>
      <c r="DR148" s="908">
        <v>476800</v>
      </c>
      <c r="DS148" s="908">
        <v>953600</v>
      </c>
      <c r="DT148" s="908"/>
      <c r="DU148" s="908"/>
      <c r="DV148" s="908"/>
      <c r="DW148" s="908"/>
      <c r="DX148" s="909"/>
      <c r="DY148" s="910" t="s">
        <v>43</v>
      </c>
      <c r="DZ148" s="911"/>
      <c r="EA148" s="890"/>
      <c r="EB148" s="890"/>
      <c r="EC148" s="912"/>
      <c r="ED148" s="913"/>
      <c r="EE148" s="893"/>
      <c r="EF148" s="893"/>
      <c r="EG148" s="893"/>
      <c r="EH148" s="897"/>
      <c r="EI148" s="914"/>
      <c r="EJ148" s="915"/>
    </row>
    <row r="149" spans="2:140">
      <c r="B149" s="1127" t="s">
        <v>175</v>
      </c>
      <c r="C149" s="879" t="s">
        <v>42</v>
      </c>
      <c r="D149" s="880"/>
      <c r="E149" s="881" t="s">
        <v>43</v>
      </c>
      <c r="F149" s="882"/>
      <c r="G149" s="883"/>
      <c r="H149" s="884">
        <v>5</v>
      </c>
      <c r="I149" s="885" t="s">
        <v>282</v>
      </c>
      <c r="J149" s="886">
        <v>9</v>
      </c>
      <c r="K149" s="887">
        <v>0.1</v>
      </c>
      <c r="L149" s="888">
        <v>1.3333333333333333</v>
      </c>
      <c r="M149" s="889">
        <v>100</v>
      </c>
      <c r="N149" s="882">
        <v>90</v>
      </c>
      <c r="O149" s="916">
        <v>42294</v>
      </c>
      <c r="P149" s="891" t="s">
        <v>98</v>
      </c>
      <c r="Q149" s="892">
        <v>280</v>
      </c>
      <c r="R149" s="893">
        <v>210</v>
      </c>
      <c r="S149" s="894">
        <v>15120</v>
      </c>
      <c r="T149" s="895" t="s">
        <v>493</v>
      </c>
      <c r="U149" s="896" t="s">
        <v>508</v>
      </c>
      <c r="V149" s="892">
        <v>280</v>
      </c>
      <c r="W149" s="893">
        <v>210</v>
      </c>
      <c r="X149" s="893">
        <f t="shared" si="40"/>
        <v>363</v>
      </c>
      <c r="Y149" s="897">
        <f t="shared" si="41"/>
        <v>83</v>
      </c>
      <c r="Z149" s="898">
        <v>6</v>
      </c>
      <c r="AA149" s="893">
        <v>1680</v>
      </c>
      <c r="AB149" s="893">
        <v>15120</v>
      </c>
      <c r="AC149" s="893">
        <v>168</v>
      </c>
      <c r="AD149" s="897">
        <v>1512</v>
      </c>
      <c r="AE149" s="899">
        <v>3</v>
      </c>
      <c r="AF149" s="893">
        <v>0</v>
      </c>
      <c r="AG149" s="893">
        <v>0</v>
      </c>
      <c r="AH149" s="893">
        <v>0</v>
      </c>
      <c r="AI149" s="893">
        <v>0</v>
      </c>
      <c r="AJ149" s="893">
        <v>504</v>
      </c>
      <c r="AK149" s="900">
        <v>0</v>
      </c>
      <c r="AL149" s="901">
        <v>0</v>
      </c>
      <c r="AM149" s="892">
        <v>420</v>
      </c>
      <c r="AN149" s="893">
        <v>315</v>
      </c>
      <c r="AO149" s="893">
        <f t="shared" si="42"/>
        <v>545</v>
      </c>
      <c r="AP149" s="897">
        <f t="shared" si="43"/>
        <v>125</v>
      </c>
      <c r="AQ149" s="898">
        <v>6</v>
      </c>
      <c r="AR149" s="893">
        <v>2520</v>
      </c>
      <c r="AS149" s="893">
        <v>22680</v>
      </c>
      <c r="AT149" s="893">
        <v>252</v>
      </c>
      <c r="AU149" s="897">
        <v>2268</v>
      </c>
      <c r="AV149" s="899">
        <v>18</v>
      </c>
      <c r="AW149" s="893">
        <v>1040000</v>
      </c>
      <c r="AX149" s="893">
        <v>0</v>
      </c>
      <c r="AY149" s="893">
        <v>2</v>
      </c>
      <c r="AZ149" s="893">
        <v>0</v>
      </c>
      <c r="BA149" s="893">
        <v>4536</v>
      </c>
      <c r="BB149" s="900">
        <v>17.695767195767196</v>
      </c>
      <c r="BC149" s="901">
        <v>57777</v>
      </c>
      <c r="BD149" s="892">
        <v>489</v>
      </c>
      <c r="BE149" s="893">
        <v>367</v>
      </c>
      <c r="BF149" s="893">
        <f t="shared" si="44"/>
        <v>635</v>
      </c>
      <c r="BG149" s="897">
        <f t="shared" si="45"/>
        <v>146</v>
      </c>
      <c r="BH149" s="898">
        <v>6</v>
      </c>
      <c r="BI149" s="893">
        <v>2934</v>
      </c>
      <c r="BJ149" s="893">
        <v>26406</v>
      </c>
      <c r="BK149" s="893">
        <v>293</v>
      </c>
      <c r="BL149" s="897">
        <v>2640</v>
      </c>
      <c r="BM149" s="899">
        <v>36</v>
      </c>
      <c r="BN149" s="893">
        <v>1560000</v>
      </c>
      <c r="BO149" s="893">
        <v>0</v>
      </c>
      <c r="BP149" s="893">
        <v>3</v>
      </c>
      <c r="BQ149" s="893">
        <v>0</v>
      </c>
      <c r="BR149" s="893">
        <v>10000</v>
      </c>
      <c r="BS149" s="900">
        <v>23.442399454669395</v>
      </c>
      <c r="BT149" s="901">
        <v>43333</v>
      </c>
      <c r="BU149" s="892">
        <v>532</v>
      </c>
      <c r="BV149" s="893">
        <v>399</v>
      </c>
      <c r="BW149" s="893">
        <f t="shared" si="46"/>
        <v>691</v>
      </c>
      <c r="BX149" s="897">
        <f t="shared" si="47"/>
        <v>159</v>
      </c>
      <c r="BY149" s="898">
        <v>6</v>
      </c>
      <c r="BZ149" s="893">
        <v>3192</v>
      </c>
      <c r="CA149" s="893">
        <v>28728</v>
      </c>
      <c r="CB149" s="893">
        <v>319</v>
      </c>
      <c r="CC149" s="897">
        <v>2872</v>
      </c>
      <c r="CD149" s="899">
        <v>108</v>
      </c>
      <c r="CE149" s="893">
        <v>2080000</v>
      </c>
      <c r="CF149" s="893">
        <v>0</v>
      </c>
      <c r="CG149" s="893">
        <v>0</v>
      </c>
      <c r="CH149" s="893">
        <v>2</v>
      </c>
      <c r="CI149" s="893">
        <v>10000</v>
      </c>
      <c r="CJ149" s="900">
        <v>31.287489557226397</v>
      </c>
      <c r="CK149" s="901">
        <v>19259</v>
      </c>
      <c r="CL149" s="892">
        <v>560</v>
      </c>
      <c r="CM149" s="893">
        <v>420</v>
      </c>
      <c r="CN149" s="893">
        <f t="shared" si="48"/>
        <v>727</v>
      </c>
      <c r="CO149" s="897">
        <f t="shared" si="49"/>
        <v>167</v>
      </c>
      <c r="CP149" s="898">
        <v>6</v>
      </c>
      <c r="CQ149" s="893">
        <v>3360</v>
      </c>
      <c r="CR149" s="893">
        <v>30240</v>
      </c>
      <c r="CS149" s="893">
        <v>336</v>
      </c>
      <c r="CT149" s="897">
        <v>3024</v>
      </c>
      <c r="CU149" s="899">
        <v>168</v>
      </c>
      <c r="CV149" s="893">
        <v>2600000</v>
      </c>
      <c r="CW149" s="893">
        <v>0</v>
      </c>
      <c r="CX149" s="893">
        <v>0</v>
      </c>
      <c r="CY149" s="893">
        <v>3</v>
      </c>
      <c r="CZ149" s="893">
        <v>10000</v>
      </c>
      <c r="DA149" s="900">
        <v>38.892063492063492</v>
      </c>
      <c r="DB149" s="901">
        <v>15476</v>
      </c>
      <c r="DC149" s="902">
        <v>333</v>
      </c>
      <c r="DD149" s="893">
        <v>7280000</v>
      </c>
      <c r="DE149" s="903">
        <v>0</v>
      </c>
      <c r="DF149" s="903">
        <v>5</v>
      </c>
      <c r="DG149" s="903">
        <v>5</v>
      </c>
      <c r="DH149" s="893">
        <v>35040</v>
      </c>
      <c r="DI149" s="900">
        <v>90.277777777777771</v>
      </c>
      <c r="DJ149" s="901">
        <v>21861.86186186186</v>
      </c>
      <c r="DK149" s="904">
        <v>91</v>
      </c>
      <c r="DL149" s="905" t="s">
        <v>43</v>
      </c>
      <c r="DM149" s="906">
        <v>10000</v>
      </c>
      <c r="DN149" s="907">
        <v>39800</v>
      </c>
      <c r="DO149" s="908">
        <v>79600</v>
      </c>
      <c r="DP149" s="908">
        <v>159200</v>
      </c>
      <c r="DQ149" s="908">
        <v>318400</v>
      </c>
      <c r="DR149" s="908">
        <v>636800</v>
      </c>
      <c r="DS149" s="908"/>
      <c r="DT149" s="908"/>
      <c r="DU149" s="908"/>
      <c r="DV149" s="908"/>
      <c r="DW149" s="908"/>
      <c r="DX149" s="909"/>
      <c r="DY149" s="910" t="s">
        <v>43</v>
      </c>
      <c r="DZ149" s="911"/>
      <c r="EA149" s="890"/>
      <c r="EB149" s="890"/>
      <c r="EC149" s="912"/>
      <c r="ED149" s="913"/>
      <c r="EE149" s="893"/>
      <c r="EF149" s="893"/>
      <c r="EG149" s="893"/>
      <c r="EH149" s="897"/>
      <c r="EI149" s="914"/>
      <c r="EJ149" s="915"/>
    </row>
    <row r="150" spans="2:140">
      <c r="B150" s="1127" t="s">
        <v>241</v>
      </c>
      <c r="C150" s="879" t="s">
        <v>42</v>
      </c>
      <c r="D150" s="880"/>
      <c r="E150" s="881"/>
      <c r="F150" s="882"/>
      <c r="G150" s="883" t="s">
        <v>43</v>
      </c>
      <c r="H150" s="884">
        <v>4</v>
      </c>
      <c r="I150" s="885" t="s">
        <v>282</v>
      </c>
      <c r="J150" s="886">
        <v>9</v>
      </c>
      <c r="K150" s="887">
        <v>0.1</v>
      </c>
      <c r="L150" s="888">
        <v>1.6666666666666667</v>
      </c>
      <c r="M150" s="889">
        <v>100</v>
      </c>
      <c r="N150" s="882">
        <v>98</v>
      </c>
      <c r="O150" s="916">
        <v>42370</v>
      </c>
      <c r="P150" s="891" t="s">
        <v>206</v>
      </c>
      <c r="Q150" s="892">
        <v>600</v>
      </c>
      <c r="R150" s="893">
        <v>360</v>
      </c>
      <c r="S150" s="894">
        <v>32400</v>
      </c>
      <c r="T150" s="895" t="s">
        <v>494</v>
      </c>
      <c r="U150" s="896" t="s">
        <v>510</v>
      </c>
      <c r="V150" s="892">
        <v>200</v>
      </c>
      <c r="W150" s="893">
        <v>120</v>
      </c>
      <c r="X150" s="893">
        <f t="shared" si="40"/>
        <v>207</v>
      </c>
      <c r="Y150" s="897">
        <f t="shared" si="41"/>
        <v>7</v>
      </c>
      <c r="Z150" s="898">
        <v>6</v>
      </c>
      <c r="AA150" s="893">
        <v>1200</v>
      </c>
      <c r="AB150" s="893">
        <v>10800</v>
      </c>
      <c r="AC150" s="893">
        <v>120</v>
      </c>
      <c r="AD150" s="897">
        <v>1080</v>
      </c>
      <c r="AE150" s="899">
        <v>2</v>
      </c>
      <c r="AF150" s="893">
        <v>0</v>
      </c>
      <c r="AG150" s="893">
        <v>0</v>
      </c>
      <c r="AH150" s="893">
        <v>0</v>
      </c>
      <c r="AI150" s="893">
        <v>0</v>
      </c>
      <c r="AJ150" s="893">
        <v>240</v>
      </c>
      <c r="AK150" s="900">
        <v>0</v>
      </c>
      <c r="AL150" s="901">
        <v>0</v>
      </c>
      <c r="AM150" s="892">
        <v>250</v>
      </c>
      <c r="AN150" s="893">
        <v>150</v>
      </c>
      <c r="AO150" s="893">
        <f t="shared" si="42"/>
        <v>259</v>
      </c>
      <c r="AP150" s="897">
        <f t="shared" si="43"/>
        <v>9</v>
      </c>
      <c r="AQ150" s="898">
        <v>6</v>
      </c>
      <c r="AR150" s="893">
        <v>1500</v>
      </c>
      <c r="AS150" s="893">
        <v>13500</v>
      </c>
      <c r="AT150" s="893">
        <v>150</v>
      </c>
      <c r="AU150" s="897">
        <v>1350</v>
      </c>
      <c r="AV150" s="899">
        <v>12</v>
      </c>
      <c r="AW150" s="893">
        <v>800000</v>
      </c>
      <c r="AX150" s="893">
        <v>0</v>
      </c>
      <c r="AY150" s="893">
        <v>2</v>
      </c>
      <c r="AZ150" s="893">
        <v>0</v>
      </c>
      <c r="BA150" s="893">
        <v>1800</v>
      </c>
      <c r="BB150" s="900">
        <v>22.62222222222222</v>
      </c>
      <c r="BC150" s="901">
        <v>66666</v>
      </c>
      <c r="BD150" s="892">
        <v>300</v>
      </c>
      <c r="BE150" s="893">
        <v>180</v>
      </c>
      <c r="BF150" s="893">
        <f t="shared" si="44"/>
        <v>311</v>
      </c>
      <c r="BG150" s="897">
        <f t="shared" si="45"/>
        <v>11</v>
      </c>
      <c r="BH150" s="898">
        <v>6</v>
      </c>
      <c r="BI150" s="893">
        <v>1800</v>
      </c>
      <c r="BJ150" s="893">
        <v>16200</v>
      </c>
      <c r="BK150" s="893">
        <v>180</v>
      </c>
      <c r="BL150" s="897">
        <v>1620</v>
      </c>
      <c r="BM150" s="899">
        <v>24</v>
      </c>
      <c r="BN150" s="893">
        <v>1200000</v>
      </c>
      <c r="BO150" s="893">
        <v>0</v>
      </c>
      <c r="BP150" s="893">
        <v>3</v>
      </c>
      <c r="BQ150" s="893">
        <v>0</v>
      </c>
      <c r="BR150" s="893">
        <v>4320</v>
      </c>
      <c r="BS150" s="900">
        <v>28.611111111111111</v>
      </c>
      <c r="BT150" s="901">
        <v>50000</v>
      </c>
      <c r="BU150" s="892">
        <v>400</v>
      </c>
      <c r="BV150" s="893">
        <v>240</v>
      </c>
      <c r="BW150" s="893">
        <f t="shared" si="46"/>
        <v>415</v>
      </c>
      <c r="BX150" s="897">
        <f t="shared" si="47"/>
        <v>15</v>
      </c>
      <c r="BY150" s="898">
        <v>6</v>
      </c>
      <c r="BZ150" s="893">
        <v>2400</v>
      </c>
      <c r="CA150" s="893">
        <v>21600</v>
      </c>
      <c r="CB150" s="893">
        <v>240</v>
      </c>
      <c r="CC150" s="897">
        <v>2160</v>
      </c>
      <c r="CD150" s="899">
        <v>72</v>
      </c>
      <c r="CE150" s="893">
        <v>1600000</v>
      </c>
      <c r="CF150" s="893">
        <v>0</v>
      </c>
      <c r="CG150" s="893">
        <v>0</v>
      </c>
      <c r="CH150" s="893">
        <v>2</v>
      </c>
      <c r="CI150" s="893">
        <v>10000</v>
      </c>
      <c r="CJ150" s="900">
        <v>30.027777777777775</v>
      </c>
      <c r="CK150" s="901">
        <v>22222</v>
      </c>
      <c r="CL150" s="892">
        <v>600</v>
      </c>
      <c r="CM150" s="893">
        <v>360</v>
      </c>
      <c r="CN150" s="893">
        <f t="shared" si="48"/>
        <v>623</v>
      </c>
      <c r="CO150" s="897">
        <f t="shared" si="49"/>
        <v>23</v>
      </c>
      <c r="CP150" s="898">
        <v>6</v>
      </c>
      <c r="CQ150" s="893">
        <v>3600</v>
      </c>
      <c r="CR150" s="893">
        <v>32400</v>
      </c>
      <c r="CS150" s="893">
        <v>360</v>
      </c>
      <c r="CT150" s="897">
        <v>3240</v>
      </c>
      <c r="CU150" s="899">
        <v>120</v>
      </c>
      <c r="CV150" s="893">
        <v>2000000</v>
      </c>
      <c r="CW150" s="893">
        <v>0</v>
      </c>
      <c r="CX150" s="893">
        <v>0</v>
      </c>
      <c r="CY150" s="893">
        <v>3</v>
      </c>
      <c r="CZ150" s="893">
        <v>10000</v>
      </c>
      <c r="DA150" s="900">
        <v>26.481481481481481</v>
      </c>
      <c r="DB150" s="901">
        <v>16666</v>
      </c>
      <c r="DC150" s="902">
        <v>230</v>
      </c>
      <c r="DD150" s="893">
        <v>5600000</v>
      </c>
      <c r="DE150" s="903">
        <v>0</v>
      </c>
      <c r="DF150" s="903">
        <v>5</v>
      </c>
      <c r="DG150" s="903">
        <v>5</v>
      </c>
      <c r="DH150" s="893">
        <v>26360</v>
      </c>
      <c r="DI150" s="900">
        <v>64.814814814814824</v>
      </c>
      <c r="DJ150" s="901">
        <v>24347.82608695652</v>
      </c>
      <c r="DK150" s="904">
        <v>63</v>
      </c>
      <c r="DL150" s="905" t="s">
        <v>43</v>
      </c>
      <c r="DM150" s="906">
        <v>6600</v>
      </c>
      <c r="DN150" s="907">
        <v>19800</v>
      </c>
      <c r="DO150" s="908">
        <v>39600</v>
      </c>
      <c r="DP150" s="908">
        <v>79200</v>
      </c>
      <c r="DQ150" s="908">
        <v>158400</v>
      </c>
      <c r="DR150" s="908">
        <v>316800</v>
      </c>
      <c r="DS150" s="908">
        <v>633600</v>
      </c>
      <c r="DT150" s="908"/>
      <c r="DU150" s="908"/>
      <c r="DV150" s="908"/>
      <c r="DW150" s="908"/>
      <c r="DX150" s="909"/>
      <c r="DY150" s="910" t="s">
        <v>43</v>
      </c>
      <c r="DZ150" s="911"/>
      <c r="EA150" s="890"/>
      <c r="EB150" s="890"/>
      <c r="EC150" s="912"/>
      <c r="ED150" s="913"/>
      <c r="EE150" s="893"/>
      <c r="EF150" s="893"/>
      <c r="EG150" s="893"/>
      <c r="EH150" s="897"/>
      <c r="EI150" s="914"/>
      <c r="EJ150" s="915"/>
    </row>
    <row r="151" spans="2:140">
      <c r="B151" s="1127" t="s">
        <v>139</v>
      </c>
      <c r="C151" s="879" t="s">
        <v>42</v>
      </c>
      <c r="D151" s="880"/>
      <c r="E151" s="881" t="s">
        <v>43</v>
      </c>
      <c r="F151" s="882" t="s">
        <v>43</v>
      </c>
      <c r="G151" s="883"/>
      <c r="H151" s="884">
        <v>6</v>
      </c>
      <c r="I151" s="885" t="s">
        <v>270</v>
      </c>
      <c r="J151" s="886">
        <v>7</v>
      </c>
      <c r="K151" s="887">
        <v>0.1</v>
      </c>
      <c r="L151" s="888">
        <v>1.3157894736842106</v>
      </c>
      <c r="M151" s="889">
        <v>30</v>
      </c>
      <c r="N151" s="882">
        <v>6003</v>
      </c>
      <c r="O151" s="916">
        <v>42245</v>
      </c>
      <c r="P151" s="891" t="s">
        <v>98</v>
      </c>
      <c r="Q151" s="892">
        <v>500</v>
      </c>
      <c r="R151" s="893">
        <v>380</v>
      </c>
      <c r="S151" s="894">
        <v>21000</v>
      </c>
      <c r="T151" s="895" t="s">
        <v>495</v>
      </c>
      <c r="U151" s="896" t="s">
        <v>696</v>
      </c>
      <c r="V151" s="892">
        <v>500</v>
      </c>
      <c r="W151" s="893">
        <v>380</v>
      </c>
      <c r="X151" s="893">
        <f t="shared" si="40"/>
        <v>658</v>
      </c>
      <c r="Y151" s="897">
        <f t="shared" si="41"/>
        <v>158</v>
      </c>
      <c r="Z151" s="898">
        <v>6</v>
      </c>
      <c r="AA151" s="893">
        <v>3000</v>
      </c>
      <c r="AB151" s="893">
        <v>21000</v>
      </c>
      <c r="AC151" s="893">
        <v>300</v>
      </c>
      <c r="AD151" s="897">
        <v>2100</v>
      </c>
      <c r="AE151" s="899">
        <v>6</v>
      </c>
      <c r="AF151" s="893">
        <v>0</v>
      </c>
      <c r="AG151" s="893">
        <v>0</v>
      </c>
      <c r="AH151" s="893">
        <v>0</v>
      </c>
      <c r="AI151" s="893">
        <v>0</v>
      </c>
      <c r="AJ151" s="893">
        <v>10000</v>
      </c>
      <c r="AK151" s="900">
        <v>0</v>
      </c>
      <c r="AL151" s="901">
        <v>0</v>
      </c>
      <c r="AM151" s="892">
        <v>750</v>
      </c>
      <c r="AN151" s="893">
        <v>570</v>
      </c>
      <c r="AO151" s="893">
        <f t="shared" si="42"/>
        <v>987</v>
      </c>
      <c r="AP151" s="897">
        <f t="shared" si="43"/>
        <v>237</v>
      </c>
      <c r="AQ151" s="898">
        <v>6</v>
      </c>
      <c r="AR151" s="893">
        <v>4500</v>
      </c>
      <c r="AS151" s="893">
        <v>31500</v>
      </c>
      <c r="AT151" s="893">
        <v>450</v>
      </c>
      <c r="AU151" s="897">
        <v>3150</v>
      </c>
      <c r="AV151" s="899">
        <v>20</v>
      </c>
      <c r="AW151" s="893">
        <v>2100000</v>
      </c>
      <c r="AX151" s="893">
        <v>0</v>
      </c>
      <c r="AY151" s="893">
        <v>1</v>
      </c>
      <c r="AZ151" s="893">
        <v>0</v>
      </c>
      <c r="BA151" s="893">
        <v>10000</v>
      </c>
      <c r="BB151" s="900">
        <v>20</v>
      </c>
      <c r="BC151" s="901">
        <v>105000</v>
      </c>
      <c r="BD151" s="892">
        <v>873</v>
      </c>
      <c r="BE151" s="893">
        <v>663</v>
      </c>
      <c r="BF151" s="893">
        <f t="shared" si="44"/>
        <v>1148</v>
      </c>
      <c r="BG151" s="897">
        <f t="shared" si="45"/>
        <v>275</v>
      </c>
      <c r="BH151" s="898">
        <v>6</v>
      </c>
      <c r="BI151" s="893">
        <v>5238</v>
      </c>
      <c r="BJ151" s="893">
        <v>36666</v>
      </c>
      <c r="BK151" s="893">
        <v>523</v>
      </c>
      <c r="BL151" s="897">
        <v>3666</v>
      </c>
      <c r="BM151" s="899">
        <v>50</v>
      </c>
      <c r="BN151" s="893">
        <v>3100000</v>
      </c>
      <c r="BO151" s="893">
        <v>0</v>
      </c>
      <c r="BP151" s="893">
        <v>3</v>
      </c>
      <c r="BQ151" s="893">
        <v>0</v>
      </c>
      <c r="BR151" s="893">
        <v>10000</v>
      </c>
      <c r="BS151" s="900">
        <v>26.449344533536973</v>
      </c>
      <c r="BT151" s="901">
        <v>62000</v>
      </c>
      <c r="BU151" s="892">
        <v>950</v>
      </c>
      <c r="BV151" s="893">
        <v>722</v>
      </c>
      <c r="BW151" s="893">
        <f t="shared" si="46"/>
        <v>1250</v>
      </c>
      <c r="BX151" s="897">
        <f t="shared" si="47"/>
        <v>300</v>
      </c>
      <c r="BY151" s="898">
        <v>6</v>
      </c>
      <c r="BZ151" s="893">
        <v>5700</v>
      </c>
      <c r="CA151" s="893">
        <v>39900</v>
      </c>
      <c r="CB151" s="893">
        <v>570</v>
      </c>
      <c r="CC151" s="897">
        <v>3990</v>
      </c>
      <c r="CD151" s="899">
        <v>98</v>
      </c>
      <c r="CE151" s="893">
        <v>4100000</v>
      </c>
      <c r="CF151" s="893">
        <v>0</v>
      </c>
      <c r="CG151" s="893">
        <v>5</v>
      </c>
      <c r="CH151" s="893">
        <v>0</v>
      </c>
      <c r="CI151" s="893">
        <v>10000</v>
      </c>
      <c r="CJ151" s="900">
        <v>33.723128654970758</v>
      </c>
      <c r="CK151" s="901">
        <v>41836</v>
      </c>
      <c r="CL151" s="892">
        <v>1000</v>
      </c>
      <c r="CM151" s="893">
        <v>760</v>
      </c>
      <c r="CN151" s="893">
        <f t="shared" si="48"/>
        <v>1316</v>
      </c>
      <c r="CO151" s="897">
        <f t="shared" si="49"/>
        <v>316</v>
      </c>
      <c r="CP151" s="898">
        <v>6</v>
      </c>
      <c r="CQ151" s="893">
        <v>6000</v>
      </c>
      <c r="CR151" s="893">
        <v>42000</v>
      </c>
      <c r="CS151" s="893">
        <v>600</v>
      </c>
      <c r="CT151" s="897">
        <v>4200</v>
      </c>
      <c r="CU151" s="899">
        <v>170</v>
      </c>
      <c r="CV151" s="893">
        <v>5100000</v>
      </c>
      <c r="CW151" s="893">
        <v>0</v>
      </c>
      <c r="CX151" s="893">
        <v>10</v>
      </c>
      <c r="CY151" s="893">
        <v>0</v>
      </c>
      <c r="CZ151" s="893">
        <v>10000</v>
      </c>
      <c r="DA151" s="900">
        <v>42.145833333333336</v>
      </c>
      <c r="DB151" s="901">
        <v>30000</v>
      </c>
      <c r="DC151" s="902">
        <v>344</v>
      </c>
      <c r="DD151" s="893">
        <v>14400000</v>
      </c>
      <c r="DE151" s="903">
        <v>0</v>
      </c>
      <c r="DF151" s="903">
        <v>19</v>
      </c>
      <c r="DG151" s="903">
        <v>0</v>
      </c>
      <c r="DH151" s="893">
        <v>50000</v>
      </c>
      <c r="DI151" s="900">
        <v>100</v>
      </c>
      <c r="DJ151" s="901">
        <v>41860.465116279069</v>
      </c>
      <c r="DK151" s="904">
        <v>93</v>
      </c>
      <c r="DL151" s="905" t="s">
        <v>43</v>
      </c>
      <c r="DM151" s="906">
        <v>10000</v>
      </c>
      <c r="DN151" s="907">
        <v>130000</v>
      </c>
      <c r="DO151" s="908">
        <v>260000</v>
      </c>
      <c r="DP151" s="908">
        <v>520000</v>
      </c>
      <c r="DQ151" s="908"/>
      <c r="DR151" s="908"/>
      <c r="DS151" s="908"/>
      <c r="DT151" s="908"/>
      <c r="DU151" s="908"/>
      <c r="DV151" s="908"/>
      <c r="DW151" s="908"/>
      <c r="DX151" s="909"/>
      <c r="DY151" s="910" t="s">
        <v>43</v>
      </c>
      <c r="DZ151" s="911"/>
      <c r="EA151" s="890"/>
      <c r="EB151" s="890"/>
      <c r="EC151" s="912"/>
      <c r="ED151" s="913"/>
      <c r="EE151" s="893"/>
      <c r="EF151" s="893"/>
      <c r="EG151" s="893"/>
      <c r="EH151" s="897"/>
      <c r="EI151" s="914"/>
      <c r="EJ151" s="915"/>
    </row>
    <row r="152" spans="2:140">
      <c r="B152" s="1127" t="s">
        <v>158</v>
      </c>
      <c r="C152" s="879" t="s">
        <v>42</v>
      </c>
      <c r="D152" s="880"/>
      <c r="E152" s="881" t="s">
        <v>43</v>
      </c>
      <c r="F152" s="882"/>
      <c r="G152" s="883"/>
      <c r="H152" s="884">
        <v>6</v>
      </c>
      <c r="I152" s="885" t="s">
        <v>270</v>
      </c>
      <c r="J152" s="886">
        <v>7</v>
      </c>
      <c r="K152" s="887">
        <v>0.1</v>
      </c>
      <c r="L152" s="888">
        <v>1.3144329896907216</v>
      </c>
      <c r="M152" s="889">
        <v>30</v>
      </c>
      <c r="N152" s="882">
        <v>6008</v>
      </c>
      <c r="O152" s="916">
        <v>42268</v>
      </c>
      <c r="P152" s="891" t="s">
        <v>98</v>
      </c>
      <c r="Q152" s="892">
        <v>510</v>
      </c>
      <c r="R152" s="893">
        <v>388</v>
      </c>
      <c r="S152" s="894">
        <v>21420</v>
      </c>
      <c r="T152" s="895" t="s">
        <v>496</v>
      </c>
      <c r="U152" s="896" t="s">
        <v>512</v>
      </c>
      <c r="V152" s="892">
        <v>510</v>
      </c>
      <c r="W152" s="893">
        <v>388</v>
      </c>
      <c r="X152" s="893">
        <f t="shared" si="40"/>
        <v>672</v>
      </c>
      <c r="Y152" s="897">
        <f t="shared" si="41"/>
        <v>162</v>
      </c>
      <c r="Z152" s="898">
        <v>6</v>
      </c>
      <c r="AA152" s="893">
        <v>3060</v>
      </c>
      <c r="AB152" s="893">
        <v>21420</v>
      </c>
      <c r="AC152" s="893">
        <v>306</v>
      </c>
      <c r="AD152" s="897">
        <v>2142</v>
      </c>
      <c r="AE152" s="899">
        <v>4</v>
      </c>
      <c r="AF152" s="893">
        <v>0</v>
      </c>
      <c r="AG152" s="893">
        <v>0</v>
      </c>
      <c r="AH152" s="893">
        <v>0</v>
      </c>
      <c r="AI152" s="893">
        <v>0</v>
      </c>
      <c r="AJ152" s="893">
        <v>10000</v>
      </c>
      <c r="AK152" s="900">
        <v>0</v>
      </c>
      <c r="AL152" s="901">
        <v>0</v>
      </c>
      <c r="AM152" s="892">
        <v>765</v>
      </c>
      <c r="AN152" s="893">
        <v>582</v>
      </c>
      <c r="AO152" s="893">
        <f t="shared" si="42"/>
        <v>1008</v>
      </c>
      <c r="AP152" s="897">
        <f t="shared" si="43"/>
        <v>243</v>
      </c>
      <c r="AQ152" s="898">
        <v>6</v>
      </c>
      <c r="AR152" s="893">
        <v>4590</v>
      </c>
      <c r="AS152" s="893">
        <v>32130</v>
      </c>
      <c r="AT152" s="893">
        <v>459</v>
      </c>
      <c r="AU152" s="897">
        <v>3213</v>
      </c>
      <c r="AV152" s="899">
        <v>24</v>
      </c>
      <c r="AW152" s="893">
        <v>2200000</v>
      </c>
      <c r="AX152" s="893">
        <v>0</v>
      </c>
      <c r="AY152" s="893">
        <v>2</v>
      </c>
      <c r="AZ152" s="893">
        <v>0</v>
      </c>
      <c r="BA152" s="893">
        <v>10000</v>
      </c>
      <c r="BB152" s="900">
        <v>20.637618010167028</v>
      </c>
      <c r="BC152" s="901">
        <v>91666</v>
      </c>
      <c r="BD152" s="892">
        <v>889</v>
      </c>
      <c r="BE152" s="893">
        <v>676</v>
      </c>
      <c r="BF152" s="893">
        <f t="shared" si="44"/>
        <v>1171</v>
      </c>
      <c r="BG152" s="897">
        <f t="shared" si="45"/>
        <v>282</v>
      </c>
      <c r="BH152" s="898">
        <v>6</v>
      </c>
      <c r="BI152" s="893">
        <v>5334</v>
      </c>
      <c r="BJ152" s="893">
        <v>37338</v>
      </c>
      <c r="BK152" s="893">
        <v>533</v>
      </c>
      <c r="BL152" s="897">
        <v>3733</v>
      </c>
      <c r="BM152" s="899">
        <v>54</v>
      </c>
      <c r="BN152" s="893">
        <v>3300000</v>
      </c>
      <c r="BO152" s="893">
        <v>0</v>
      </c>
      <c r="BP152" s="893">
        <v>4</v>
      </c>
      <c r="BQ152" s="893">
        <v>0</v>
      </c>
      <c r="BR152" s="998">
        <v>10000</v>
      </c>
      <c r="BS152" s="900">
        <v>27.714191976002997</v>
      </c>
      <c r="BT152" s="901">
        <v>61111</v>
      </c>
      <c r="BU152" s="892">
        <v>969</v>
      </c>
      <c r="BV152" s="893">
        <v>737</v>
      </c>
      <c r="BW152" s="893">
        <f t="shared" si="46"/>
        <v>1276</v>
      </c>
      <c r="BX152" s="897">
        <f t="shared" si="47"/>
        <v>307</v>
      </c>
      <c r="BY152" s="898">
        <v>6</v>
      </c>
      <c r="BZ152" s="893">
        <v>5814</v>
      </c>
      <c r="CA152" s="893">
        <v>40698</v>
      </c>
      <c r="CB152" s="893">
        <v>581</v>
      </c>
      <c r="CC152" s="897">
        <v>4069</v>
      </c>
      <c r="CD152" s="899">
        <v>102</v>
      </c>
      <c r="CE152" s="893">
        <v>4400000</v>
      </c>
      <c r="CF152" s="893">
        <v>0</v>
      </c>
      <c r="CG152" s="893">
        <v>6</v>
      </c>
      <c r="CH152" s="893">
        <v>0</v>
      </c>
      <c r="CI152" s="893">
        <v>10000</v>
      </c>
      <c r="CJ152" s="900">
        <v>35.432203875702328</v>
      </c>
      <c r="CK152" s="901">
        <v>43137</v>
      </c>
      <c r="CL152" s="892">
        <v>1020</v>
      </c>
      <c r="CM152" s="893">
        <v>776</v>
      </c>
      <c r="CN152" s="893">
        <f t="shared" si="48"/>
        <v>1344</v>
      </c>
      <c r="CO152" s="897">
        <f t="shared" si="49"/>
        <v>324</v>
      </c>
      <c r="CP152" s="898">
        <v>6</v>
      </c>
      <c r="CQ152" s="893">
        <v>6120</v>
      </c>
      <c r="CR152" s="893">
        <v>42840</v>
      </c>
      <c r="CS152" s="893">
        <v>612</v>
      </c>
      <c r="CT152" s="897">
        <v>4284</v>
      </c>
      <c r="CU152" s="899">
        <v>192</v>
      </c>
      <c r="CV152" s="893">
        <v>5500000</v>
      </c>
      <c r="CW152" s="893">
        <v>0</v>
      </c>
      <c r="CX152" s="893">
        <v>12</v>
      </c>
      <c r="CY152" s="893">
        <v>0</v>
      </c>
      <c r="CZ152" s="998">
        <v>10000</v>
      </c>
      <c r="DA152" s="900">
        <v>45.045533769063184</v>
      </c>
      <c r="DB152" s="901">
        <v>28645</v>
      </c>
      <c r="DC152" s="902">
        <v>376</v>
      </c>
      <c r="DD152" s="893">
        <v>15400000</v>
      </c>
      <c r="DE152" s="903">
        <v>0</v>
      </c>
      <c r="DF152" s="903">
        <v>24</v>
      </c>
      <c r="DG152" s="903">
        <v>0</v>
      </c>
      <c r="DH152" s="998">
        <v>50000</v>
      </c>
      <c r="DI152" s="900">
        <v>104.8474945533769</v>
      </c>
      <c r="DJ152" s="901">
        <v>40957.446808510642</v>
      </c>
      <c r="DK152" s="1008">
        <v>103</v>
      </c>
      <c r="DL152" s="905" t="s">
        <v>43</v>
      </c>
      <c r="DM152" s="906">
        <v>10000</v>
      </c>
      <c r="DN152" s="907">
        <v>150000</v>
      </c>
      <c r="DO152" s="908">
        <v>300000</v>
      </c>
      <c r="DP152" s="908">
        <v>600000</v>
      </c>
      <c r="DQ152" s="908"/>
      <c r="DR152" s="908"/>
      <c r="DS152" s="908"/>
      <c r="DT152" s="908"/>
      <c r="DU152" s="908"/>
      <c r="DV152" s="908"/>
      <c r="DW152" s="908"/>
      <c r="DX152" s="909"/>
      <c r="DY152" s="910" t="s">
        <v>43</v>
      </c>
      <c r="DZ152" s="911"/>
      <c r="EA152" s="890"/>
      <c r="EB152" s="890"/>
      <c r="EC152" s="912"/>
      <c r="ED152" s="913"/>
      <c r="EE152" s="893"/>
      <c r="EF152" s="893"/>
      <c r="EG152" s="893"/>
      <c r="EH152" s="897"/>
      <c r="EI152" s="914"/>
      <c r="EJ152" s="915"/>
    </row>
    <row r="153" spans="2:140">
      <c r="B153" s="1127" t="s">
        <v>177</v>
      </c>
      <c r="C153" s="879" t="s">
        <v>42</v>
      </c>
      <c r="D153" s="880"/>
      <c r="E153" s="881" t="s">
        <v>43</v>
      </c>
      <c r="F153" s="882"/>
      <c r="G153" s="883"/>
      <c r="H153" s="884">
        <v>6</v>
      </c>
      <c r="I153" s="885" t="s">
        <v>270</v>
      </c>
      <c r="J153" s="886">
        <v>7</v>
      </c>
      <c r="K153" s="887">
        <v>0.1</v>
      </c>
      <c r="L153" s="888">
        <v>1.3231552162849873</v>
      </c>
      <c r="M153" s="889">
        <v>30</v>
      </c>
      <c r="N153" s="882">
        <v>6014</v>
      </c>
      <c r="O153" s="916">
        <v>42294</v>
      </c>
      <c r="P153" s="891" t="s">
        <v>98</v>
      </c>
      <c r="Q153" s="892">
        <v>520</v>
      </c>
      <c r="R153" s="893">
        <v>393</v>
      </c>
      <c r="S153" s="894">
        <v>21840</v>
      </c>
      <c r="T153" s="895" t="s">
        <v>497</v>
      </c>
      <c r="U153" s="896" t="s">
        <v>514</v>
      </c>
      <c r="V153" s="892">
        <v>520</v>
      </c>
      <c r="W153" s="893">
        <v>393</v>
      </c>
      <c r="X153" s="893">
        <f t="shared" si="40"/>
        <v>680</v>
      </c>
      <c r="Y153" s="897">
        <f t="shared" si="41"/>
        <v>160</v>
      </c>
      <c r="Z153" s="898">
        <v>6</v>
      </c>
      <c r="AA153" s="893">
        <v>3120</v>
      </c>
      <c r="AB153" s="893">
        <v>21840</v>
      </c>
      <c r="AC153" s="893">
        <v>312</v>
      </c>
      <c r="AD153" s="897">
        <v>2184</v>
      </c>
      <c r="AE153" s="899">
        <v>2</v>
      </c>
      <c r="AF153" s="893">
        <v>0</v>
      </c>
      <c r="AG153" s="893">
        <v>0</v>
      </c>
      <c r="AH153" s="893">
        <v>0</v>
      </c>
      <c r="AI153" s="893">
        <v>0</v>
      </c>
      <c r="AJ153" s="893">
        <v>10000</v>
      </c>
      <c r="AK153" s="900">
        <v>0</v>
      </c>
      <c r="AL153" s="901">
        <v>0</v>
      </c>
      <c r="AM153" s="892">
        <v>780</v>
      </c>
      <c r="AN153" s="893">
        <v>590</v>
      </c>
      <c r="AO153" s="893">
        <f t="shared" si="42"/>
        <v>1022</v>
      </c>
      <c r="AP153" s="897">
        <f t="shared" si="43"/>
        <v>242</v>
      </c>
      <c r="AQ153" s="898">
        <v>6</v>
      </c>
      <c r="AR153" s="893">
        <v>4680</v>
      </c>
      <c r="AS153" s="893">
        <v>32760</v>
      </c>
      <c r="AT153" s="893">
        <v>468</v>
      </c>
      <c r="AU153" s="897">
        <v>3276</v>
      </c>
      <c r="AV153" s="899">
        <v>24</v>
      </c>
      <c r="AW153" s="893">
        <v>2240000</v>
      </c>
      <c r="AX153" s="893">
        <v>0</v>
      </c>
      <c r="AY153" s="893">
        <v>2</v>
      </c>
      <c r="AZ153" s="893">
        <v>0</v>
      </c>
      <c r="BA153" s="998">
        <v>10000</v>
      </c>
      <c r="BB153" s="900">
        <v>20.609686609686609</v>
      </c>
      <c r="BC153" s="901">
        <v>93333</v>
      </c>
      <c r="BD153" s="892">
        <v>908</v>
      </c>
      <c r="BE153" s="893">
        <v>686</v>
      </c>
      <c r="BF153" s="893">
        <f t="shared" si="44"/>
        <v>1188</v>
      </c>
      <c r="BG153" s="897">
        <f t="shared" si="45"/>
        <v>280</v>
      </c>
      <c r="BH153" s="898">
        <v>6</v>
      </c>
      <c r="BI153" s="893">
        <v>5448</v>
      </c>
      <c r="BJ153" s="893">
        <v>38136</v>
      </c>
      <c r="BK153" s="893">
        <v>544</v>
      </c>
      <c r="BL153" s="897">
        <v>3813</v>
      </c>
      <c r="BM153" s="1003">
        <v>56</v>
      </c>
      <c r="BN153" s="998">
        <v>3360000</v>
      </c>
      <c r="BO153" s="998">
        <v>0</v>
      </c>
      <c r="BP153" s="998">
        <v>4</v>
      </c>
      <c r="BQ153" s="998">
        <v>0</v>
      </c>
      <c r="BR153" s="998">
        <v>10000</v>
      </c>
      <c r="BS153" s="1002">
        <v>27.701908957415565</v>
      </c>
      <c r="BT153" s="1004">
        <v>60000</v>
      </c>
      <c r="BU153" s="892">
        <v>988</v>
      </c>
      <c r="BV153" s="893">
        <v>747</v>
      </c>
      <c r="BW153" s="893">
        <f t="shared" si="46"/>
        <v>1294</v>
      </c>
      <c r="BX153" s="897">
        <f t="shared" si="47"/>
        <v>306</v>
      </c>
      <c r="BY153" s="898">
        <v>6</v>
      </c>
      <c r="BZ153" s="893">
        <v>5928</v>
      </c>
      <c r="CA153" s="893">
        <v>41496</v>
      </c>
      <c r="CB153" s="893">
        <v>592</v>
      </c>
      <c r="CC153" s="897">
        <v>4149</v>
      </c>
      <c r="CD153" s="899">
        <v>102</v>
      </c>
      <c r="CE153" s="893">
        <v>4480000</v>
      </c>
      <c r="CF153" s="893">
        <v>0</v>
      </c>
      <c r="CG153" s="893">
        <v>6</v>
      </c>
      <c r="CH153" s="893">
        <v>0</v>
      </c>
      <c r="CI153" s="998">
        <v>10000</v>
      </c>
      <c r="CJ153" s="900">
        <v>35.394849302744042</v>
      </c>
      <c r="CK153" s="901">
        <v>43921</v>
      </c>
      <c r="CL153" s="892">
        <v>1040</v>
      </c>
      <c r="CM153" s="893">
        <v>786</v>
      </c>
      <c r="CN153" s="893">
        <f t="shared" si="48"/>
        <v>1361</v>
      </c>
      <c r="CO153" s="897">
        <f t="shared" si="49"/>
        <v>321</v>
      </c>
      <c r="CP153" s="898">
        <v>6</v>
      </c>
      <c r="CQ153" s="893">
        <v>6240</v>
      </c>
      <c r="CR153" s="893">
        <v>43680</v>
      </c>
      <c r="CS153" s="893">
        <v>624</v>
      </c>
      <c r="CT153" s="897">
        <v>4368</v>
      </c>
      <c r="CU153" s="899">
        <v>192</v>
      </c>
      <c r="CV153" s="893">
        <v>5600000</v>
      </c>
      <c r="CW153" s="893">
        <v>0</v>
      </c>
      <c r="CX153" s="893">
        <v>12</v>
      </c>
      <c r="CY153" s="893">
        <v>0</v>
      </c>
      <c r="CZ153" s="998">
        <v>10000</v>
      </c>
      <c r="DA153" s="900">
        <v>44.993162393162386</v>
      </c>
      <c r="DB153" s="901">
        <v>29166</v>
      </c>
      <c r="DC153" s="1005">
        <v>376</v>
      </c>
      <c r="DD153" s="998">
        <v>15680000</v>
      </c>
      <c r="DE153" s="1006">
        <v>0</v>
      </c>
      <c r="DF153" s="1006">
        <v>24</v>
      </c>
      <c r="DG153" s="1006">
        <v>0</v>
      </c>
      <c r="DH153" s="998">
        <v>50000</v>
      </c>
      <c r="DI153" s="1002">
        <v>104.70085470085469</v>
      </c>
      <c r="DJ153" s="1004">
        <v>41702.127659574471</v>
      </c>
      <c r="DK153" s="1008">
        <v>103</v>
      </c>
      <c r="DL153" s="905" t="s">
        <v>43</v>
      </c>
      <c r="DM153" s="906">
        <v>10000</v>
      </c>
      <c r="DN153" s="907">
        <v>160000</v>
      </c>
      <c r="DO153" s="908">
        <v>320000</v>
      </c>
      <c r="DP153" s="908">
        <v>640000</v>
      </c>
      <c r="DQ153" s="908"/>
      <c r="DR153" s="908"/>
      <c r="DS153" s="908"/>
      <c r="DT153" s="908"/>
      <c r="DU153" s="908"/>
      <c r="DV153" s="908"/>
      <c r="DW153" s="908"/>
      <c r="DX153" s="909"/>
      <c r="DY153" s="910" t="s">
        <v>43</v>
      </c>
      <c r="DZ153" s="911"/>
      <c r="EA153" s="890"/>
      <c r="EB153" s="890"/>
      <c r="EC153" s="912"/>
      <c r="ED153" s="913"/>
      <c r="EE153" s="893"/>
      <c r="EF153" s="893"/>
      <c r="EG153" s="893"/>
      <c r="EH153" s="897"/>
      <c r="EI153" s="914"/>
      <c r="EJ153" s="915"/>
    </row>
    <row r="154" spans="2:140">
      <c r="B154" s="1127" t="s">
        <v>195</v>
      </c>
      <c r="C154" s="879" t="s">
        <v>42</v>
      </c>
      <c r="D154" s="880"/>
      <c r="E154" s="881" t="s">
        <v>43</v>
      </c>
      <c r="F154" s="882" t="s">
        <v>43</v>
      </c>
      <c r="G154" s="883"/>
      <c r="H154" s="884">
        <v>6</v>
      </c>
      <c r="I154" s="885" t="s">
        <v>270</v>
      </c>
      <c r="J154" s="886">
        <v>7</v>
      </c>
      <c r="K154" s="887">
        <v>0.1</v>
      </c>
      <c r="L154" s="888">
        <v>1.3417721518987342</v>
      </c>
      <c r="M154" s="889">
        <v>30</v>
      </c>
      <c r="N154" s="882">
        <v>6018</v>
      </c>
      <c r="O154" s="916">
        <v>42329</v>
      </c>
      <c r="P154" s="891" t="s">
        <v>206</v>
      </c>
      <c r="Q154" s="892">
        <v>1060</v>
      </c>
      <c r="R154" s="893">
        <v>790</v>
      </c>
      <c r="S154" s="894">
        <v>51940</v>
      </c>
      <c r="T154" s="895" t="s">
        <v>498</v>
      </c>
      <c r="U154" s="896" t="s">
        <v>516</v>
      </c>
      <c r="V154" s="892">
        <v>354</v>
      </c>
      <c r="W154" s="893">
        <v>264</v>
      </c>
      <c r="X154" s="893">
        <f t="shared" si="40"/>
        <v>457</v>
      </c>
      <c r="Y154" s="897">
        <f t="shared" si="41"/>
        <v>103</v>
      </c>
      <c r="Z154" s="898">
        <v>6</v>
      </c>
      <c r="AA154" s="893">
        <v>2124</v>
      </c>
      <c r="AB154" s="893">
        <v>14868</v>
      </c>
      <c r="AC154" s="893">
        <v>212</v>
      </c>
      <c r="AD154" s="897">
        <v>1486</v>
      </c>
      <c r="AE154" s="899">
        <v>2.5</v>
      </c>
      <c r="AF154" s="893">
        <v>0</v>
      </c>
      <c r="AG154" s="893">
        <v>0</v>
      </c>
      <c r="AH154" s="893">
        <v>0</v>
      </c>
      <c r="AI154" s="893">
        <v>0</v>
      </c>
      <c r="AJ154" s="893">
        <v>10000</v>
      </c>
      <c r="AK154" s="900">
        <v>0</v>
      </c>
      <c r="AL154" s="901">
        <v>0</v>
      </c>
      <c r="AM154" s="892">
        <v>442</v>
      </c>
      <c r="AN154" s="893">
        <v>330</v>
      </c>
      <c r="AO154" s="893">
        <f t="shared" si="42"/>
        <v>571</v>
      </c>
      <c r="AP154" s="897">
        <f t="shared" si="43"/>
        <v>129</v>
      </c>
      <c r="AQ154" s="898">
        <v>6</v>
      </c>
      <c r="AR154" s="893">
        <v>2652</v>
      </c>
      <c r="AS154" s="893">
        <v>18564</v>
      </c>
      <c r="AT154" s="893">
        <v>265</v>
      </c>
      <c r="AU154" s="897">
        <v>1856</v>
      </c>
      <c r="AV154" s="899">
        <v>32</v>
      </c>
      <c r="AW154" s="893">
        <v>2280000</v>
      </c>
      <c r="AX154" s="893">
        <v>0</v>
      </c>
      <c r="AY154" s="893">
        <v>2</v>
      </c>
      <c r="AZ154" s="893">
        <v>0</v>
      </c>
      <c r="BA154" s="893">
        <v>10000</v>
      </c>
      <c r="BB154" s="900">
        <v>36.889894419306181</v>
      </c>
      <c r="BC154" s="901">
        <v>71250</v>
      </c>
      <c r="BD154" s="892">
        <v>530</v>
      </c>
      <c r="BE154" s="893">
        <v>395</v>
      </c>
      <c r="BF154" s="893">
        <f t="shared" si="44"/>
        <v>684</v>
      </c>
      <c r="BG154" s="897">
        <f t="shared" si="45"/>
        <v>154</v>
      </c>
      <c r="BH154" s="898">
        <v>6</v>
      </c>
      <c r="BI154" s="893">
        <v>3180</v>
      </c>
      <c r="BJ154" s="893">
        <v>22260</v>
      </c>
      <c r="BK154" s="893">
        <v>318</v>
      </c>
      <c r="BL154" s="897">
        <v>2226</v>
      </c>
      <c r="BM154" s="899">
        <v>72</v>
      </c>
      <c r="BN154" s="893">
        <v>3420000</v>
      </c>
      <c r="BO154" s="893">
        <v>0</v>
      </c>
      <c r="BP154" s="893">
        <v>4</v>
      </c>
      <c r="BQ154" s="893">
        <v>0</v>
      </c>
      <c r="BR154" s="893">
        <v>10000</v>
      </c>
      <c r="BS154" s="900">
        <v>47.31320754716981</v>
      </c>
      <c r="BT154" s="901">
        <v>47500</v>
      </c>
      <c r="BU154" s="892">
        <v>707</v>
      </c>
      <c r="BV154" s="893">
        <v>527</v>
      </c>
      <c r="BW154" s="893">
        <f t="shared" si="46"/>
        <v>913</v>
      </c>
      <c r="BX154" s="897">
        <f t="shared" si="47"/>
        <v>206</v>
      </c>
      <c r="BY154" s="898">
        <v>6</v>
      </c>
      <c r="BZ154" s="893">
        <v>4242</v>
      </c>
      <c r="CA154" s="893">
        <v>29694</v>
      </c>
      <c r="CB154" s="893">
        <v>424</v>
      </c>
      <c r="CC154" s="897">
        <v>2969</v>
      </c>
      <c r="CD154" s="899">
        <v>120</v>
      </c>
      <c r="CE154" s="893">
        <v>4560000</v>
      </c>
      <c r="CF154" s="893">
        <v>0</v>
      </c>
      <c r="CG154" s="893">
        <v>6</v>
      </c>
      <c r="CH154" s="893">
        <v>0</v>
      </c>
      <c r="CI154" s="893">
        <v>10000</v>
      </c>
      <c r="CJ154" s="900">
        <v>48.538425271098539</v>
      </c>
      <c r="CK154" s="901">
        <v>38000</v>
      </c>
      <c r="CL154" s="892">
        <v>1060</v>
      </c>
      <c r="CM154" s="893">
        <v>790</v>
      </c>
      <c r="CN154" s="893">
        <f t="shared" si="48"/>
        <v>1368</v>
      </c>
      <c r="CO154" s="897">
        <f t="shared" si="49"/>
        <v>308</v>
      </c>
      <c r="CP154" s="898">
        <v>7</v>
      </c>
      <c r="CQ154" s="893">
        <v>7420</v>
      </c>
      <c r="CR154" s="893">
        <v>51940</v>
      </c>
      <c r="CS154" s="893">
        <v>742</v>
      </c>
      <c r="CT154" s="897">
        <v>5194</v>
      </c>
      <c r="CU154" s="899">
        <v>216</v>
      </c>
      <c r="CV154" s="893">
        <v>5700000</v>
      </c>
      <c r="CW154" s="893">
        <v>0</v>
      </c>
      <c r="CX154" s="893">
        <v>12</v>
      </c>
      <c r="CY154" s="893">
        <v>0</v>
      </c>
      <c r="CZ154" s="998">
        <v>10000</v>
      </c>
      <c r="DA154" s="900">
        <v>37.153369272237192</v>
      </c>
      <c r="DB154" s="901">
        <v>26388</v>
      </c>
      <c r="DC154" s="902">
        <v>442.5</v>
      </c>
      <c r="DD154" s="893">
        <v>15960000</v>
      </c>
      <c r="DE154" s="903">
        <v>0</v>
      </c>
      <c r="DF154" s="903">
        <v>24</v>
      </c>
      <c r="DG154" s="903">
        <v>0</v>
      </c>
      <c r="DH154" s="998">
        <v>50000</v>
      </c>
      <c r="DI154" s="900">
        <v>89.622641509433961</v>
      </c>
      <c r="DJ154" s="901">
        <v>36067.796610169491</v>
      </c>
      <c r="DK154" s="904"/>
      <c r="DL154" s="905"/>
      <c r="DM154" s="906">
        <v>10000</v>
      </c>
      <c r="DN154" s="907">
        <v>260000</v>
      </c>
      <c r="DO154" s="908">
        <v>520000</v>
      </c>
      <c r="DP154" s="908"/>
      <c r="DQ154" s="908"/>
      <c r="DR154" s="908"/>
      <c r="DS154" s="908"/>
      <c r="DT154" s="908"/>
      <c r="DU154" s="908"/>
      <c r="DV154" s="908"/>
      <c r="DW154" s="908"/>
      <c r="DX154" s="909"/>
      <c r="DY154" s="910" t="s">
        <v>43</v>
      </c>
      <c r="DZ154" s="911"/>
      <c r="EA154" s="890"/>
      <c r="EB154" s="890"/>
      <c r="EC154" s="912"/>
      <c r="ED154" s="913"/>
      <c r="EE154" s="893"/>
      <c r="EF154" s="893"/>
      <c r="EG154" s="893"/>
      <c r="EH154" s="897"/>
      <c r="EI154" s="914"/>
      <c r="EJ154" s="915"/>
    </row>
    <row r="155" spans="2:140">
      <c r="B155" s="109" t="s">
        <v>220</v>
      </c>
      <c r="C155" s="879" t="s">
        <v>42</v>
      </c>
      <c r="D155" s="880"/>
      <c r="E155" s="881"/>
      <c r="F155" s="882" t="s">
        <v>43</v>
      </c>
      <c r="G155" s="883"/>
      <c r="H155" s="884">
        <v>6</v>
      </c>
      <c r="I155" s="885" t="s">
        <v>270</v>
      </c>
      <c r="J155" s="886">
        <v>7</v>
      </c>
      <c r="K155" s="887">
        <v>0.1</v>
      </c>
      <c r="L155" s="888">
        <v>1.3417721518987342</v>
      </c>
      <c r="M155" s="889">
        <v>30</v>
      </c>
      <c r="N155" s="882">
        <v>6022</v>
      </c>
      <c r="O155" s="916">
        <v>42350</v>
      </c>
      <c r="P155" s="891" t="s">
        <v>206</v>
      </c>
      <c r="Q155" s="892">
        <v>1060</v>
      </c>
      <c r="R155" s="893">
        <v>790</v>
      </c>
      <c r="S155" s="894">
        <v>51940</v>
      </c>
      <c r="T155" s="895" t="s">
        <v>499</v>
      </c>
      <c r="U155" s="896" t="s">
        <v>518</v>
      </c>
      <c r="V155" s="892">
        <v>357</v>
      </c>
      <c r="W155" s="893">
        <v>265</v>
      </c>
      <c r="X155" s="893">
        <f t="shared" si="40"/>
        <v>459</v>
      </c>
      <c r="Y155" s="897">
        <f t="shared" si="41"/>
        <v>102</v>
      </c>
      <c r="Z155" s="898">
        <v>7</v>
      </c>
      <c r="AA155" s="893">
        <v>2499</v>
      </c>
      <c r="AB155" s="893">
        <v>17493</v>
      </c>
      <c r="AC155" s="893">
        <v>249</v>
      </c>
      <c r="AD155" s="897">
        <v>1749</v>
      </c>
      <c r="AE155" s="899">
        <v>3</v>
      </c>
      <c r="AF155" s="893">
        <v>0</v>
      </c>
      <c r="AG155" s="893">
        <v>0</v>
      </c>
      <c r="AH155" s="893">
        <v>0</v>
      </c>
      <c r="AI155" s="893">
        <v>0</v>
      </c>
      <c r="AJ155" s="893">
        <v>10000</v>
      </c>
      <c r="AK155" s="900">
        <v>0</v>
      </c>
      <c r="AL155" s="901">
        <v>0</v>
      </c>
      <c r="AM155" s="892">
        <v>446</v>
      </c>
      <c r="AN155" s="893">
        <v>332</v>
      </c>
      <c r="AO155" s="893">
        <f t="shared" si="42"/>
        <v>575</v>
      </c>
      <c r="AP155" s="897">
        <f t="shared" si="43"/>
        <v>129</v>
      </c>
      <c r="AQ155" s="898">
        <v>7</v>
      </c>
      <c r="AR155" s="893">
        <v>3122</v>
      </c>
      <c r="AS155" s="893">
        <v>21854</v>
      </c>
      <c r="AT155" s="893">
        <v>312</v>
      </c>
      <c r="AU155" s="897">
        <v>2185</v>
      </c>
      <c r="AV155" s="899">
        <v>36</v>
      </c>
      <c r="AW155" s="893">
        <v>2320000</v>
      </c>
      <c r="AX155" s="893">
        <v>0</v>
      </c>
      <c r="AY155" s="893">
        <v>3</v>
      </c>
      <c r="AZ155" s="893">
        <v>0</v>
      </c>
      <c r="BA155" s="893">
        <v>10000</v>
      </c>
      <c r="BB155" s="900">
        <v>32.163730514627375</v>
      </c>
      <c r="BC155" s="901">
        <v>64444</v>
      </c>
      <c r="BD155" s="892">
        <v>535</v>
      </c>
      <c r="BE155" s="893">
        <v>398</v>
      </c>
      <c r="BF155" s="893">
        <f t="shared" si="44"/>
        <v>689</v>
      </c>
      <c r="BG155" s="897">
        <f t="shared" si="45"/>
        <v>154</v>
      </c>
      <c r="BH155" s="898">
        <v>7</v>
      </c>
      <c r="BI155" s="893">
        <v>3745</v>
      </c>
      <c r="BJ155" s="893">
        <v>26215</v>
      </c>
      <c r="BK155" s="893">
        <v>374</v>
      </c>
      <c r="BL155" s="897">
        <v>2621</v>
      </c>
      <c r="BM155" s="899">
        <v>96</v>
      </c>
      <c r="BN155" s="893">
        <v>3480000</v>
      </c>
      <c r="BO155" s="893">
        <v>0</v>
      </c>
      <c r="BP155" s="893">
        <v>5</v>
      </c>
      <c r="BQ155" s="893">
        <v>0</v>
      </c>
      <c r="BR155" s="893">
        <v>10000</v>
      </c>
      <c r="BS155" s="900">
        <v>42.052870493991989</v>
      </c>
      <c r="BT155" s="901">
        <v>36250</v>
      </c>
      <c r="BU155" s="892">
        <v>714</v>
      </c>
      <c r="BV155" s="893">
        <v>530</v>
      </c>
      <c r="BW155" s="893">
        <f t="shared" si="46"/>
        <v>918</v>
      </c>
      <c r="BX155" s="897">
        <f t="shared" si="47"/>
        <v>204</v>
      </c>
      <c r="BY155" s="898">
        <v>7</v>
      </c>
      <c r="BZ155" s="893">
        <v>4998</v>
      </c>
      <c r="CA155" s="893">
        <v>34986</v>
      </c>
      <c r="CB155" s="893">
        <v>499</v>
      </c>
      <c r="CC155" s="897">
        <v>3498</v>
      </c>
      <c r="CD155" s="899">
        <v>144</v>
      </c>
      <c r="CE155" s="893">
        <v>4640000</v>
      </c>
      <c r="CF155" s="893">
        <v>0</v>
      </c>
      <c r="CG155" s="893">
        <v>8</v>
      </c>
      <c r="CH155" s="893">
        <v>0</v>
      </c>
      <c r="CI155" s="893">
        <v>10000</v>
      </c>
      <c r="CJ155" s="900">
        <v>43.177937841803384</v>
      </c>
      <c r="CK155" s="901">
        <v>32222</v>
      </c>
      <c r="CL155" s="892">
        <v>1070</v>
      </c>
      <c r="CM155" s="893">
        <v>795</v>
      </c>
      <c r="CN155" s="893">
        <f t="shared" si="48"/>
        <v>1377</v>
      </c>
      <c r="CO155" s="897">
        <f t="shared" si="49"/>
        <v>307</v>
      </c>
      <c r="CP155" s="898">
        <v>7</v>
      </c>
      <c r="CQ155" s="893">
        <v>7490</v>
      </c>
      <c r="CR155" s="893">
        <v>52430</v>
      </c>
      <c r="CS155" s="893">
        <v>749</v>
      </c>
      <c r="CT155" s="897">
        <v>5243</v>
      </c>
      <c r="CU155" s="899">
        <v>216</v>
      </c>
      <c r="CV155" s="893">
        <v>5800000</v>
      </c>
      <c r="CW155" s="893">
        <v>0</v>
      </c>
      <c r="CX155" s="893">
        <v>10</v>
      </c>
      <c r="CY155" s="893">
        <v>0</v>
      </c>
      <c r="CZ155" s="998">
        <v>10000</v>
      </c>
      <c r="DA155" s="900">
        <v>38.270850022251892</v>
      </c>
      <c r="DB155" s="901">
        <v>26851</v>
      </c>
      <c r="DC155" s="902">
        <v>495</v>
      </c>
      <c r="DD155" s="893">
        <v>16240000</v>
      </c>
      <c r="DE155" s="903">
        <v>0</v>
      </c>
      <c r="DF155" s="903">
        <v>26</v>
      </c>
      <c r="DG155" s="903">
        <v>0</v>
      </c>
      <c r="DH155" s="998">
        <v>50000</v>
      </c>
      <c r="DI155" s="900">
        <v>90.342679127725845</v>
      </c>
      <c r="DJ155" s="901">
        <v>32808.080808080806</v>
      </c>
      <c r="DK155" s="1008">
        <v>135</v>
      </c>
      <c r="DL155" s="905" t="s">
        <v>43</v>
      </c>
      <c r="DM155" s="906">
        <v>10000</v>
      </c>
      <c r="DN155" s="907">
        <v>310000</v>
      </c>
      <c r="DO155" s="908">
        <v>620000</v>
      </c>
      <c r="DP155" s="908"/>
      <c r="DQ155" s="908"/>
      <c r="DR155" s="908"/>
      <c r="DS155" s="908"/>
      <c r="DT155" s="908"/>
      <c r="DU155" s="908"/>
      <c r="DV155" s="908"/>
      <c r="DW155" s="908"/>
      <c r="DX155" s="909"/>
      <c r="DY155" s="910" t="s">
        <v>43</v>
      </c>
      <c r="DZ155" s="911"/>
      <c r="EA155" s="890"/>
      <c r="EB155" s="890"/>
      <c r="EC155" s="912"/>
      <c r="ED155" s="913"/>
      <c r="EE155" s="893"/>
      <c r="EF155" s="893"/>
      <c r="EG155" s="893"/>
      <c r="EH155" s="897"/>
      <c r="EI155" s="914"/>
      <c r="EJ155" s="915"/>
    </row>
    <row r="156" spans="2:140">
      <c r="B156" s="109" t="s">
        <v>230</v>
      </c>
      <c r="C156" s="879" t="s">
        <v>42</v>
      </c>
      <c r="D156" s="880"/>
      <c r="E156" s="881" t="s">
        <v>43</v>
      </c>
      <c r="F156" s="882" t="s">
        <v>43</v>
      </c>
      <c r="G156" s="883"/>
      <c r="H156" s="884">
        <v>6</v>
      </c>
      <c r="I156" s="885" t="s">
        <v>270</v>
      </c>
      <c r="J156" s="886">
        <v>7</v>
      </c>
      <c r="K156" s="1007">
        <v>0.1</v>
      </c>
      <c r="L156" s="888">
        <v>1.35375</v>
      </c>
      <c r="M156" s="889">
        <v>30</v>
      </c>
      <c r="N156" s="882">
        <v>6026</v>
      </c>
      <c r="O156" s="916">
        <v>42365</v>
      </c>
      <c r="P156" s="891" t="s">
        <v>206</v>
      </c>
      <c r="Q156" s="892">
        <v>1083</v>
      </c>
      <c r="R156" s="893">
        <v>800</v>
      </c>
      <c r="S156" s="894">
        <v>53067</v>
      </c>
      <c r="T156" s="895" t="s">
        <v>500</v>
      </c>
      <c r="U156" s="896" t="s">
        <v>524</v>
      </c>
      <c r="V156" s="892">
        <v>361</v>
      </c>
      <c r="W156" s="893">
        <v>267</v>
      </c>
      <c r="X156" s="893">
        <f t="shared" si="40"/>
        <v>462</v>
      </c>
      <c r="Y156" s="897">
        <f t="shared" si="41"/>
        <v>101</v>
      </c>
      <c r="Z156" s="898">
        <v>7</v>
      </c>
      <c r="AA156" s="893">
        <v>2527</v>
      </c>
      <c r="AB156" s="893">
        <v>17689</v>
      </c>
      <c r="AC156" s="998">
        <v>252</v>
      </c>
      <c r="AD156" s="1000">
        <v>1768</v>
      </c>
      <c r="AE156" s="899">
        <v>3</v>
      </c>
      <c r="AF156" s="893">
        <v>0</v>
      </c>
      <c r="AG156" s="893">
        <v>0</v>
      </c>
      <c r="AH156" s="893">
        <v>0</v>
      </c>
      <c r="AI156" s="893">
        <v>0</v>
      </c>
      <c r="AJ156" s="893">
        <v>10000</v>
      </c>
      <c r="AK156" s="900">
        <v>0</v>
      </c>
      <c r="AL156" s="901">
        <v>0</v>
      </c>
      <c r="AM156" s="892">
        <v>452</v>
      </c>
      <c r="AN156" s="893">
        <v>334</v>
      </c>
      <c r="AO156" s="893">
        <f t="shared" si="42"/>
        <v>578</v>
      </c>
      <c r="AP156" s="897">
        <f t="shared" si="43"/>
        <v>126</v>
      </c>
      <c r="AQ156" s="898">
        <v>7</v>
      </c>
      <c r="AR156" s="893">
        <v>3164</v>
      </c>
      <c r="AS156" s="893">
        <v>22148</v>
      </c>
      <c r="AT156" s="998">
        <v>316</v>
      </c>
      <c r="AU156" s="1000">
        <v>2214</v>
      </c>
      <c r="AV156" s="899">
        <v>36</v>
      </c>
      <c r="AW156" s="893">
        <v>2360000</v>
      </c>
      <c r="AX156" s="893">
        <v>0</v>
      </c>
      <c r="AY156" s="893">
        <v>4</v>
      </c>
      <c r="AZ156" s="893">
        <v>0</v>
      </c>
      <c r="BA156" s="893">
        <v>10000</v>
      </c>
      <c r="BB156" s="900">
        <v>32.276812052254535</v>
      </c>
      <c r="BC156" s="901">
        <v>65555</v>
      </c>
      <c r="BD156" s="892">
        <v>542</v>
      </c>
      <c r="BE156" s="893">
        <v>400</v>
      </c>
      <c r="BF156" s="893">
        <f t="shared" si="44"/>
        <v>693</v>
      </c>
      <c r="BG156" s="897">
        <f t="shared" si="45"/>
        <v>151</v>
      </c>
      <c r="BH156" s="898">
        <v>7</v>
      </c>
      <c r="BI156" s="893">
        <v>3794</v>
      </c>
      <c r="BJ156" s="893">
        <v>26558</v>
      </c>
      <c r="BK156" s="998">
        <v>379</v>
      </c>
      <c r="BL156" s="1000">
        <v>2655</v>
      </c>
      <c r="BM156" s="899">
        <v>96</v>
      </c>
      <c r="BN156" s="893">
        <v>3540000</v>
      </c>
      <c r="BO156" s="893">
        <v>0</v>
      </c>
      <c r="BP156" s="893">
        <v>6</v>
      </c>
      <c r="BQ156" s="893">
        <v>0</v>
      </c>
      <c r="BR156" s="893">
        <v>10000</v>
      </c>
      <c r="BS156" s="900">
        <v>42.212967843964158</v>
      </c>
      <c r="BT156" s="901">
        <v>36875</v>
      </c>
      <c r="BU156" s="892">
        <v>722</v>
      </c>
      <c r="BV156" s="893">
        <v>534</v>
      </c>
      <c r="BW156" s="893">
        <f t="shared" si="46"/>
        <v>925</v>
      </c>
      <c r="BX156" s="897">
        <f t="shared" si="47"/>
        <v>203</v>
      </c>
      <c r="BY156" s="898">
        <v>7</v>
      </c>
      <c r="BZ156" s="893">
        <v>5054</v>
      </c>
      <c r="CA156" s="893">
        <v>35378</v>
      </c>
      <c r="CB156" s="998">
        <v>505</v>
      </c>
      <c r="CC156" s="1000">
        <v>3537</v>
      </c>
      <c r="CD156" s="899">
        <v>144</v>
      </c>
      <c r="CE156" s="893">
        <v>4720000</v>
      </c>
      <c r="CF156" s="893">
        <v>0</v>
      </c>
      <c r="CG156" s="893">
        <v>9</v>
      </c>
      <c r="CH156" s="893">
        <v>0</v>
      </c>
      <c r="CI156" s="998">
        <v>10000</v>
      </c>
      <c r="CJ156" s="900">
        <v>43.417227278723125</v>
      </c>
      <c r="CK156" s="901">
        <v>32777</v>
      </c>
      <c r="CL156" s="892">
        <v>1083</v>
      </c>
      <c r="CM156" s="893">
        <v>800</v>
      </c>
      <c r="CN156" s="893">
        <f t="shared" si="48"/>
        <v>1386</v>
      </c>
      <c r="CO156" s="897">
        <f t="shared" si="49"/>
        <v>303</v>
      </c>
      <c r="CP156" s="898">
        <v>7</v>
      </c>
      <c r="CQ156" s="893">
        <v>7581</v>
      </c>
      <c r="CR156" s="893">
        <v>53067</v>
      </c>
      <c r="CS156" s="998">
        <v>758</v>
      </c>
      <c r="CT156" s="1000">
        <v>5306</v>
      </c>
      <c r="CU156" s="899">
        <v>216</v>
      </c>
      <c r="CV156" s="893">
        <v>5900000</v>
      </c>
      <c r="CW156" s="893">
        <v>0</v>
      </c>
      <c r="CX156" s="893">
        <v>11</v>
      </c>
      <c r="CY156" s="893">
        <v>0</v>
      </c>
      <c r="CZ156" s="998">
        <v>10000</v>
      </c>
      <c r="DA156" s="900">
        <v>38.427560128391157</v>
      </c>
      <c r="DB156" s="901">
        <v>27314</v>
      </c>
      <c r="DC156" s="902">
        <v>495</v>
      </c>
      <c r="DD156" s="893">
        <v>16520000</v>
      </c>
      <c r="DE156" s="903">
        <v>0</v>
      </c>
      <c r="DF156" s="903">
        <v>30</v>
      </c>
      <c r="DG156" s="903">
        <v>0</v>
      </c>
      <c r="DH156" s="998">
        <v>50000</v>
      </c>
      <c r="DI156" s="900">
        <v>90.797168359495231</v>
      </c>
      <c r="DJ156" s="901">
        <v>33373.737373737371</v>
      </c>
      <c r="DK156" s="904">
        <v>135</v>
      </c>
      <c r="DL156" s="905" t="s">
        <v>43</v>
      </c>
      <c r="DM156" s="906">
        <v>10000</v>
      </c>
      <c r="DN156" s="907">
        <v>340000</v>
      </c>
      <c r="DO156" s="908">
        <v>680000</v>
      </c>
      <c r="DP156" s="908"/>
      <c r="DQ156" s="908"/>
      <c r="DR156" s="908"/>
      <c r="DS156" s="908"/>
      <c r="DT156" s="908"/>
      <c r="DU156" s="908"/>
      <c r="DV156" s="908"/>
      <c r="DW156" s="908"/>
      <c r="DX156" s="909"/>
      <c r="DY156" s="910" t="s">
        <v>43</v>
      </c>
      <c r="DZ156" s="911"/>
      <c r="EA156" s="890"/>
      <c r="EB156" s="890"/>
      <c r="EC156" s="912"/>
      <c r="ED156" s="913"/>
      <c r="EE156" s="893"/>
      <c r="EF156" s="893"/>
      <c r="EG156" s="893"/>
      <c r="EH156" s="897"/>
      <c r="EI156" s="914"/>
      <c r="EJ156" s="915"/>
    </row>
    <row r="157" spans="2:140">
      <c r="B157" s="109" t="s">
        <v>239</v>
      </c>
      <c r="C157" s="879" t="s">
        <v>42</v>
      </c>
      <c r="D157" s="880"/>
      <c r="E157" s="881" t="s">
        <v>43</v>
      </c>
      <c r="F157" s="882"/>
      <c r="G157" s="883"/>
      <c r="H157" s="884">
        <v>6</v>
      </c>
      <c r="I157" s="885" t="s">
        <v>270</v>
      </c>
      <c r="J157" s="886">
        <v>7</v>
      </c>
      <c r="K157" s="1007">
        <v>0.1</v>
      </c>
      <c r="L157" s="888">
        <v>1.3590062111801242</v>
      </c>
      <c r="M157" s="889">
        <v>30</v>
      </c>
      <c r="N157" s="882">
        <v>6029</v>
      </c>
      <c r="O157" s="916">
        <v>42368</v>
      </c>
      <c r="P157" s="891" t="s">
        <v>206</v>
      </c>
      <c r="Q157" s="892">
        <v>1094</v>
      </c>
      <c r="R157" s="893">
        <v>805</v>
      </c>
      <c r="S157" s="894">
        <v>53606</v>
      </c>
      <c r="T157" s="895" t="s">
        <v>501</v>
      </c>
      <c r="U157" s="896" t="s">
        <v>522</v>
      </c>
      <c r="V157" s="892">
        <v>365</v>
      </c>
      <c r="W157" s="893">
        <v>269</v>
      </c>
      <c r="X157" s="893">
        <f t="shared" si="40"/>
        <v>466</v>
      </c>
      <c r="Y157" s="897">
        <f t="shared" si="41"/>
        <v>101</v>
      </c>
      <c r="Z157" s="898">
        <v>7</v>
      </c>
      <c r="AA157" s="893">
        <v>2555</v>
      </c>
      <c r="AB157" s="893">
        <v>17885</v>
      </c>
      <c r="AC157" s="998">
        <v>255</v>
      </c>
      <c r="AD157" s="1000">
        <v>1788</v>
      </c>
      <c r="AE157" s="899">
        <v>3</v>
      </c>
      <c r="AF157" s="893">
        <v>0</v>
      </c>
      <c r="AG157" s="893">
        <v>0</v>
      </c>
      <c r="AH157" s="893">
        <v>0</v>
      </c>
      <c r="AI157" s="893">
        <v>0</v>
      </c>
      <c r="AJ157" s="998">
        <v>10000</v>
      </c>
      <c r="AK157" s="900">
        <v>0</v>
      </c>
      <c r="AL157" s="901">
        <v>0</v>
      </c>
      <c r="AM157" s="999">
        <v>456</v>
      </c>
      <c r="AN157" s="998">
        <v>336</v>
      </c>
      <c r="AO157" s="998">
        <f t="shared" si="42"/>
        <v>582</v>
      </c>
      <c r="AP157" s="1000">
        <f t="shared" si="43"/>
        <v>126</v>
      </c>
      <c r="AQ157" s="898">
        <v>7</v>
      </c>
      <c r="AR157" s="998">
        <v>3192</v>
      </c>
      <c r="AS157" s="998">
        <v>22344</v>
      </c>
      <c r="AT157" s="998">
        <v>319</v>
      </c>
      <c r="AU157" s="1000">
        <v>2234</v>
      </c>
      <c r="AV157" s="899"/>
      <c r="AW157" s="893"/>
      <c r="AX157" s="893"/>
      <c r="AY157" s="893"/>
      <c r="AZ157" s="893"/>
      <c r="BA157" s="998">
        <v>10000</v>
      </c>
      <c r="BB157" s="1002">
        <v>0</v>
      </c>
      <c r="BC157" s="901">
        <v>0</v>
      </c>
      <c r="BD157" s="999">
        <v>547</v>
      </c>
      <c r="BE157" s="998">
        <v>403</v>
      </c>
      <c r="BF157" s="998">
        <f t="shared" si="44"/>
        <v>698</v>
      </c>
      <c r="BG157" s="1000">
        <f t="shared" si="45"/>
        <v>151</v>
      </c>
      <c r="BH157" s="898">
        <v>7</v>
      </c>
      <c r="BI157" s="998">
        <v>3829</v>
      </c>
      <c r="BJ157" s="998">
        <v>26803</v>
      </c>
      <c r="BK157" s="998">
        <v>382</v>
      </c>
      <c r="BL157" s="1000">
        <v>2680</v>
      </c>
      <c r="BM157" s="899"/>
      <c r="BN157" s="893"/>
      <c r="BO157" s="893"/>
      <c r="BP157" s="893"/>
      <c r="BQ157" s="893"/>
      <c r="BR157" s="998">
        <v>10000</v>
      </c>
      <c r="BS157" s="1002">
        <v>0</v>
      </c>
      <c r="BT157" s="901">
        <v>0</v>
      </c>
      <c r="BU157" s="999">
        <v>730</v>
      </c>
      <c r="BV157" s="998">
        <v>537</v>
      </c>
      <c r="BW157" s="998">
        <f t="shared" si="46"/>
        <v>930</v>
      </c>
      <c r="BX157" s="1000">
        <f t="shared" si="47"/>
        <v>200</v>
      </c>
      <c r="BY157" s="898">
        <v>7</v>
      </c>
      <c r="BZ157" s="998">
        <v>5110</v>
      </c>
      <c r="CA157" s="998">
        <v>35770</v>
      </c>
      <c r="CB157" s="998">
        <v>511</v>
      </c>
      <c r="CC157" s="1000">
        <v>3577</v>
      </c>
      <c r="CD157" s="899"/>
      <c r="CE157" s="893"/>
      <c r="CF157" s="893"/>
      <c r="CG157" s="893"/>
      <c r="CH157" s="893"/>
      <c r="CI157" s="998">
        <v>10000</v>
      </c>
      <c r="CJ157" s="1002">
        <v>0</v>
      </c>
      <c r="CK157" s="901">
        <v>0</v>
      </c>
      <c r="CL157" s="892">
        <v>1094</v>
      </c>
      <c r="CM157" s="893">
        <v>805</v>
      </c>
      <c r="CN157" s="893">
        <f t="shared" si="48"/>
        <v>1394</v>
      </c>
      <c r="CO157" s="897">
        <f t="shared" si="49"/>
        <v>300</v>
      </c>
      <c r="CP157" s="898">
        <v>7</v>
      </c>
      <c r="CQ157" s="893">
        <v>7658</v>
      </c>
      <c r="CR157" s="893">
        <v>53606</v>
      </c>
      <c r="CS157" s="998">
        <v>765</v>
      </c>
      <c r="CT157" s="1000">
        <v>5360</v>
      </c>
      <c r="CU157" s="899"/>
      <c r="CV157" s="893"/>
      <c r="CW157" s="893"/>
      <c r="CX157" s="893"/>
      <c r="CY157" s="893"/>
      <c r="CZ157" s="998">
        <v>10000</v>
      </c>
      <c r="DA157" s="900">
        <v>0</v>
      </c>
      <c r="DB157" s="901">
        <v>0</v>
      </c>
      <c r="DC157" s="902"/>
      <c r="DD157" s="893"/>
      <c r="DE157" s="903"/>
      <c r="DF157" s="903"/>
      <c r="DG157" s="903"/>
      <c r="DH157" s="998">
        <v>50000</v>
      </c>
      <c r="DI157" s="1002"/>
      <c r="DJ157" s="901"/>
      <c r="DK157" s="904"/>
      <c r="DL157" s="905"/>
      <c r="DM157" s="906">
        <v>10000</v>
      </c>
      <c r="DN157" s="907">
        <v>390000</v>
      </c>
      <c r="DO157" s="908">
        <v>780000</v>
      </c>
      <c r="DP157" s="908"/>
      <c r="DQ157" s="908"/>
      <c r="DR157" s="908"/>
      <c r="DS157" s="908"/>
      <c r="DT157" s="908"/>
      <c r="DU157" s="908"/>
      <c r="DV157" s="908"/>
      <c r="DW157" s="908"/>
      <c r="DX157" s="909"/>
      <c r="DY157" s="910" t="s">
        <v>43</v>
      </c>
      <c r="DZ157" s="911"/>
      <c r="EA157" s="890"/>
      <c r="EB157" s="890"/>
      <c r="EC157" s="912"/>
      <c r="ED157" s="913"/>
      <c r="EE157" s="893"/>
      <c r="EF157" s="893"/>
      <c r="EG157" s="893"/>
      <c r="EH157" s="897"/>
      <c r="EI157" s="914"/>
      <c r="EJ157" s="915"/>
    </row>
    <row r="158" spans="2:140">
      <c r="B158" s="109" t="s">
        <v>245</v>
      </c>
      <c r="C158" s="879" t="s">
        <v>42</v>
      </c>
      <c r="D158" s="880"/>
      <c r="E158" s="881" t="s">
        <v>43</v>
      </c>
      <c r="F158" s="882" t="s">
        <v>43</v>
      </c>
      <c r="G158" s="883"/>
      <c r="H158" s="884">
        <v>6</v>
      </c>
      <c r="I158" s="885" t="s">
        <v>270</v>
      </c>
      <c r="J158" s="886">
        <v>7</v>
      </c>
      <c r="K158" s="1007">
        <v>0.1</v>
      </c>
      <c r="L158" s="888">
        <v>1.365432098765432</v>
      </c>
      <c r="M158" s="889">
        <v>30</v>
      </c>
      <c r="N158" s="882">
        <v>6035</v>
      </c>
      <c r="O158" s="916">
        <v>42374</v>
      </c>
      <c r="P158" s="891" t="s">
        <v>206</v>
      </c>
      <c r="Q158" s="892">
        <v>1106</v>
      </c>
      <c r="R158" s="893">
        <v>810</v>
      </c>
      <c r="S158" s="894">
        <v>54194</v>
      </c>
      <c r="T158" s="895" t="s">
        <v>502</v>
      </c>
      <c r="U158" s="896" t="s">
        <v>520</v>
      </c>
      <c r="V158" s="892">
        <v>369</v>
      </c>
      <c r="W158" s="893">
        <v>270</v>
      </c>
      <c r="X158" s="893">
        <f t="shared" si="40"/>
        <v>467</v>
      </c>
      <c r="Y158" s="897">
        <f t="shared" si="41"/>
        <v>98</v>
      </c>
      <c r="Z158" s="898">
        <v>7</v>
      </c>
      <c r="AA158" s="893">
        <v>2583</v>
      </c>
      <c r="AB158" s="893">
        <v>18081</v>
      </c>
      <c r="AC158" s="998">
        <v>258</v>
      </c>
      <c r="AD158" s="1000">
        <v>1808</v>
      </c>
      <c r="AE158" s="899">
        <v>3</v>
      </c>
      <c r="AF158" s="893">
        <v>0</v>
      </c>
      <c r="AG158" s="893">
        <v>0</v>
      </c>
      <c r="AH158" s="893">
        <v>0</v>
      </c>
      <c r="AI158" s="893">
        <v>0</v>
      </c>
      <c r="AJ158" s="893">
        <v>10000</v>
      </c>
      <c r="AK158" s="900">
        <v>0</v>
      </c>
      <c r="AL158" s="901">
        <v>0</v>
      </c>
      <c r="AM158" s="892">
        <v>461</v>
      </c>
      <c r="AN158" s="893">
        <v>338</v>
      </c>
      <c r="AO158" s="893">
        <f t="shared" si="42"/>
        <v>585</v>
      </c>
      <c r="AP158" s="897">
        <f t="shared" si="43"/>
        <v>124</v>
      </c>
      <c r="AQ158" s="898">
        <v>7</v>
      </c>
      <c r="AR158" s="893">
        <v>3227</v>
      </c>
      <c r="AS158" s="893">
        <v>22589</v>
      </c>
      <c r="AT158" s="998">
        <v>322</v>
      </c>
      <c r="AU158" s="1000">
        <v>2258</v>
      </c>
      <c r="AV158" s="899">
        <v>36</v>
      </c>
      <c r="AW158" s="893">
        <v>2440000</v>
      </c>
      <c r="AX158" s="893">
        <v>0</v>
      </c>
      <c r="AY158" s="893">
        <v>5</v>
      </c>
      <c r="AZ158" s="893">
        <v>0</v>
      </c>
      <c r="BA158" s="893">
        <v>10000</v>
      </c>
      <c r="BB158" s="900">
        <v>32.705660572254935</v>
      </c>
      <c r="BC158" s="901">
        <v>67777</v>
      </c>
      <c r="BD158" s="892">
        <v>553</v>
      </c>
      <c r="BE158" s="893">
        <v>405</v>
      </c>
      <c r="BF158" s="893">
        <f t="shared" si="44"/>
        <v>701</v>
      </c>
      <c r="BG158" s="897">
        <f t="shared" si="45"/>
        <v>148</v>
      </c>
      <c r="BH158" s="898">
        <v>7</v>
      </c>
      <c r="BI158" s="893">
        <v>3871</v>
      </c>
      <c r="BJ158" s="893">
        <v>27097</v>
      </c>
      <c r="BK158" s="998">
        <v>387</v>
      </c>
      <c r="BL158" s="1000">
        <v>2709</v>
      </c>
      <c r="BM158" s="899">
        <v>96</v>
      </c>
      <c r="BN158" s="893">
        <v>3660000</v>
      </c>
      <c r="BO158" s="893">
        <v>0</v>
      </c>
      <c r="BP158" s="893">
        <v>7</v>
      </c>
      <c r="BQ158" s="893">
        <v>0</v>
      </c>
      <c r="BR158" s="893">
        <v>10000</v>
      </c>
      <c r="BS158" s="900">
        <v>42.730043916300701</v>
      </c>
      <c r="BT158" s="901">
        <v>38125</v>
      </c>
      <c r="BU158" s="892">
        <v>738</v>
      </c>
      <c r="BV158" s="893">
        <v>540</v>
      </c>
      <c r="BW158" s="893">
        <f t="shared" si="46"/>
        <v>935</v>
      </c>
      <c r="BX158" s="897">
        <f t="shared" si="47"/>
        <v>197</v>
      </c>
      <c r="BY158" s="898">
        <v>7</v>
      </c>
      <c r="BZ158" s="893">
        <v>5166</v>
      </c>
      <c r="CA158" s="893">
        <v>36162</v>
      </c>
      <c r="CB158" s="998">
        <v>516</v>
      </c>
      <c r="CC158" s="1000">
        <v>3616</v>
      </c>
      <c r="CD158" s="899">
        <v>144</v>
      </c>
      <c r="CE158" s="893">
        <v>4880000</v>
      </c>
      <c r="CF158" s="893">
        <v>0</v>
      </c>
      <c r="CG158" s="893">
        <v>10</v>
      </c>
      <c r="CH158" s="893">
        <v>0</v>
      </c>
      <c r="CI158" s="893">
        <v>10000</v>
      </c>
      <c r="CJ158" s="900">
        <v>43.855852368047493</v>
      </c>
      <c r="CK158" s="901">
        <v>33888</v>
      </c>
      <c r="CL158" s="892">
        <v>1106</v>
      </c>
      <c r="CM158" s="893">
        <v>810</v>
      </c>
      <c r="CN158" s="893">
        <f t="shared" si="48"/>
        <v>1403</v>
      </c>
      <c r="CO158" s="897">
        <f t="shared" si="49"/>
        <v>297</v>
      </c>
      <c r="CP158" s="898">
        <v>7</v>
      </c>
      <c r="CQ158" s="893">
        <v>7742</v>
      </c>
      <c r="CR158" s="893">
        <v>54194</v>
      </c>
      <c r="CS158" s="998">
        <v>774</v>
      </c>
      <c r="CT158" s="1000">
        <v>5419</v>
      </c>
      <c r="CU158" s="899">
        <v>216</v>
      </c>
      <c r="CV158" s="893">
        <v>6100000</v>
      </c>
      <c r="CW158" s="893">
        <v>0</v>
      </c>
      <c r="CX158" s="893">
        <v>12</v>
      </c>
      <c r="CY158" s="893">
        <v>0</v>
      </c>
      <c r="CZ158" s="998">
        <v>10000</v>
      </c>
      <c r="DA158" s="900">
        <v>38.835012486007059</v>
      </c>
      <c r="DB158" s="901">
        <v>28240</v>
      </c>
      <c r="DC158" s="902">
        <v>495</v>
      </c>
      <c r="DD158" s="893">
        <v>17080000</v>
      </c>
      <c r="DE158" s="903">
        <v>0</v>
      </c>
      <c r="DF158" s="903">
        <v>34</v>
      </c>
      <c r="DG158" s="903">
        <v>0</v>
      </c>
      <c r="DH158" s="998">
        <v>50000</v>
      </c>
      <c r="DI158" s="900">
        <v>91.922845087402052</v>
      </c>
      <c r="DJ158" s="901">
        <v>34505.050505050502</v>
      </c>
      <c r="DK158" s="904"/>
      <c r="DL158" s="905"/>
      <c r="DM158" s="906">
        <v>10000</v>
      </c>
      <c r="DN158" s="907">
        <v>440000</v>
      </c>
      <c r="DO158" s="908">
        <v>880000</v>
      </c>
      <c r="DP158" s="908"/>
      <c r="DQ158" s="908"/>
      <c r="DR158" s="908"/>
      <c r="DS158" s="908"/>
      <c r="DT158" s="908"/>
      <c r="DU158" s="908"/>
      <c r="DV158" s="908"/>
      <c r="DW158" s="908"/>
      <c r="DX158" s="909"/>
      <c r="DY158" s="910" t="s">
        <v>43</v>
      </c>
      <c r="DZ158" s="911"/>
      <c r="EA158" s="890"/>
      <c r="EB158" s="890"/>
      <c r="EC158" s="912"/>
      <c r="ED158" s="913"/>
      <c r="EE158" s="893"/>
      <c r="EF158" s="893"/>
      <c r="EG158" s="893"/>
      <c r="EH158" s="897"/>
      <c r="EI158" s="914"/>
      <c r="EJ158" s="915"/>
    </row>
    <row r="159" spans="2:140">
      <c r="B159" s="109" t="s">
        <v>1035</v>
      </c>
      <c r="C159" s="879" t="s">
        <v>42</v>
      </c>
      <c r="D159" s="880" t="s">
        <v>43</v>
      </c>
      <c r="E159" s="881" t="s">
        <v>43</v>
      </c>
      <c r="F159" s="882"/>
      <c r="G159" s="883"/>
      <c r="H159" s="884">
        <v>6</v>
      </c>
      <c r="I159" s="885" t="s">
        <v>270</v>
      </c>
      <c r="J159" s="886">
        <v>7</v>
      </c>
      <c r="K159" s="1007">
        <v>0.1</v>
      </c>
      <c r="L159" s="888">
        <v>2</v>
      </c>
      <c r="M159" s="889">
        <v>30</v>
      </c>
      <c r="N159" s="882">
        <v>6043</v>
      </c>
      <c r="O159" s="916">
        <v>42420</v>
      </c>
      <c r="P159" s="891" t="s">
        <v>206</v>
      </c>
      <c r="Q159" s="892">
        <v>2000</v>
      </c>
      <c r="R159" s="893">
        <v>1000</v>
      </c>
      <c r="S159" s="894">
        <v>168000</v>
      </c>
      <c r="T159" s="895" t="s">
        <v>1039</v>
      </c>
      <c r="U159" s="896" t="s">
        <v>1041</v>
      </c>
      <c r="V159" s="892">
        <v>667</v>
      </c>
      <c r="W159" s="893">
        <v>334</v>
      </c>
      <c r="X159" s="893">
        <f t="shared" si="40"/>
        <v>578</v>
      </c>
      <c r="Y159" s="897">
        <f t="shared" si="41"/>
        <v>-89</v>
      </c>
      <c r="Z159" s="898">
        <v>12</v>
      </c>
      <c r="AA159" s="893">
        <v>8004</v>
      </c>
      <c r="AB159" s="893">
        <v>56028</v>
      </c>
      <c r="AC159" s="998">
        <v>800</v>
      </c>
      <c r="AD159" s="1000">
        <v>5602</v>
      </c>
      <c r="AE159" s="899">
        <v>3</v>
      </c>
      <c r="AF159" s="893">
        <v>0</v>
      </c>
      <c r="AG159" s="893">
        <v>0</v>
      </c>
      <c r="AH159" s="893">
        <v>0</v>
      </c>
      <c r="AI159" s="893">
        <v>0</v>
      </c>
      <c r="AJ159" s="998">
        <v>10000</v>
      </c>
      <c r="AK159" s="900">
        <v>0</v>
      </c>
      <c r="AL159" s="901">
        <v>0</v>
      </c>
      <c r="AM159" s="999">
        <v>834</v>
      </c>
      <c r="AN159" s="998">
        <v>417</v>
      </c>
      <c r="AO159" s="998">
        <f t="shared" si="42"/>
        <v>722</v>
      </c>
      <c r="AP159" s="1000">
        <f t="shared" si="43"/>
        <v>-112</v>
      </c>
      <c r="AQ159" s="898">
        <v>12</v>
      </c>
      <c r="AR159" s="998">
        <v>10008</v>
      </c>
      <c r="AS159" s="998">
        <v>70056</v>
      </c>
      <c r="AT159" s="998">
        <v>1000</v>
      </c>
      <c r="AU159" s="1000">
        <v>7005</v>
      </c>
      <c r="AV159" s="899"/>
      <c r="AW159" s="893"/>
      <c r="AX159" s="893"/>
      <c r="AY159" s="893"/>
      <c r="AZ159" s="893"/>
      <c r="BA159" s="998">
        <v>10000</v>
      </c>
      <c r="BB159" s="1002">
        <v>0</v>
      </c>
      <c r="BC159" s="901">
        <v>0</v>
      </c>
      <c r="BD159" s="999">
        <v>1000</v>
      </c>
      <c r="BE159" s="998">
        <v>500</v>
      </c>
      <c r="BF159" s="998">
        <f t="shared" si="44"/>
        <v>866</v>
      </c>
      <c r="BG159" s="1000">
        <f t="shared" si="45"/>
        <v>-134</v>
      </c>
      <c r="BH159" s="898">
        <v>12</v>
      </c>
      <c r="BI159" s="998">
        <v>12000</v>
      </c>
      <c r="BJ159" s="998">
        <v>84000</v>
      </c>
      <c r="BK159" s="998">
        <v>1200</v>
      </c>
      <c r="BL159" s="1000">
        <v>8400</v>
      </c>
      <c r="BM159" s="899"/>
      <c r="BN159" s="893"/>
      <c r="BO159" s="893"/>
      <c r="BP159" s="893"/>
      <c r="BQ159" s="893"/>
      <c r="BR159" s="998">
        <v>10000</v>
      </c>
      <c r="BS159" s="1002">
        <v>0</v>
      </c>
      <c r="BT159" s="901">
        <v>0</v>
      </c>
      <c r="BU159" s="999">
        <v>1334</v>
      </c>
      <c r="BV159" s="998">
        <v>667</v>
      </c>
      <c r="BW159" s="998">
        <f t="shared" si="46"/>
        <v>1155</v>
      </c>
      <c r="BX159" s="1000">
        <f t="shared" si="47"/>
        <v>-179</v>
      </c>
      <c r="BY159" s="898">
        <v>12</v>
      </c>
      <c r="BZ159" s="998">
        <v>16008</v>
      </c>
      <c r="CA159" s="998">
        <v>112056</v>
      </c>
      <c r="CB159" s="998">
        <v>1600</v>
      </c>
      <c r="CC159" s="1000">
        <v>11205</v>
      </c>
      <c r="CD159" s="899"/>
      <c r="CE159" s="893"/>
      <c r="CF159" s="893"/>
      <c r="CG159" s="893"/>
      <c r="CH159" s="893"/>
      <c r="CI159" s="998">
        <v>10000</v>
      </c>
      <c r="CJ159" s="1002">
        <v>0</v>
      </c>
      <c r="CK159" s="901">
        <v>0</v>
      </c>
      <c r="CL159" s="892">
        <v>2000</v>
      </c>
      <c r="CM159" s="893">
        <v>1000</v>
      </c>
      <c r="CN159" s="893">
        <f t="shared" si="48"/>
        <v>1732</v>
      </c>
      <c r="CO159" s="897">
        <f t="shared" si="49"/>
        <v>-268</v>
      </c>
      <c r="CP159" s="898">
        <v>12</v>
      </c>
      <c r="CQ159" s="893">
        <v>24000</v>
      </c>
      <c r="CR159" s="893">
        <v>168000</v>
      </c>
      <c r="CS159" s="998">
        <v>2400</v>
      </c>
      <c r="CT159" s="1000">
        <v>16800</v>
      </c>
      <c r="CU159" s="899"/>
      <c r="CV159" s="893"/>
      <c r="CW159" s="893"/>
      <c r="CX159" s="893"/>
      <c r="CY159" s="893"/>
      <c r="CZ159" s="998">
        <v>10000</v>
      </c>
      <c r="DA159" s="900">
        <v>0</v>
      </c>
      <c r="DB159" s="901">
        <v>0</v>
      </c>
      <c r="DC159" s="902"/>
      <c r="DD159" s="893"/>
      <c r="DE159" s="903"/>
      <c r="DF159" s="903"/>
      <c r="DG159" s="903"/>
      <c r="DH159" s="998">
        <v>50000</v>
      </c>
      <c r="DI159" s="1002"/>
      <c r="DJ159" s="901"/>
      <c r="DK159" s="904"/>
      <c r="DL159" s="905"/>
      <c r="DM159" s="906">
        <v>10000</v>
      </c>
      <c r="DN159" s="907">
        <v>600000</v>
      </c>
      <c r="DO159" s="908">
        <v>1200000</v>
      </c>
      <c r="DP159" s="908"/>
      <c r="DQ159" s="908"/>
      <c r="DR159" s="908"/>
      <c r="DS159" s="908"/>
      <c r="DT159" s="908"/>
      <c r="DU159" s="908"/>
      <c r="DV159" s="908"/>
      <c r="DW159" s="908"/>
      <c r="DX159" s="909"/>
      <c r="DY159" s="910" t="s">
        <v>43</v>
      </c>
      <c r="DZ159" s="911"/>
      <c r="EA159" s="890"/>
      <c r="EB159" s="890"/>
      <c r="EC159" s="912"/>
      <c r="ED159" s="913"/>
      <c r="EE159" s="893"/>
      <c r="EF159" s="893"/>
      <c r="EG159" s="893"/>
      <c r="EH159" s="897"/>
      <c r="EI159" s="914"/>
      <c r="EJ159" s="915"/>
    </row>
    <row r="160" spans="2:140">
      <c r="B160" s="109" t="s">
        <v>254</v>
      </c>
      <c r="C160" s="879" t="s">
        <v>42</v>
      </c>
      <c r="D160" s="880"/>
      <c r="E160" s="881" t="s">
        <v>43</v>
      </c>
      <c r="F160" s="882" t="s">
        <v>43</v>
      </c>
      <c r="G160" s="883"/>
      <c r="H160" s="884">
        <v>7</v>
      </c>
      <c r="I160" s="885" t="s">
        <v>271</v>
      </c>
      <c r="J160" s="886">
        <v>12</v>
      </c>
      <c r="K160" s="887">
        <v>0.1</v>
      </c>
      <c r="L160" s="888">
        <v>2.5</v>
      </c>
      <c r="M160" s="889">
        <v>100</v>
      </c>
      <c r="N160" s="882">
        <v>532</v>
      </c>
      <c r="O160" s="916">
        <v>42382</v>
      </c>
      <c r="P160" s="891" t="s">
        <v>206</v>
      </c>
      <c r="Q160" s="892">
        <v>1000</v>
      </c>
      <c r="R160" s="893">
        <v>400</v>
      </c>
      <c r="S160" s="894">
        <v>132000</v>
      </c>
      <c r="T160" s="895" t="s">
        <v>503</v>
      </c>
      <c r="U160" s="896" t="s">
        <v>526</v>
      </c>
      <c r="V160" s="892">
        <v>334</v>
      </c>
      <c r="W160" s="893">
        <v>134</v>
      </c>
      <c r="X160" s="893">
        <f t="shared" si="40"/>
        <v>232</v>
      </c>
      <c r="Y160" s="897">
        <f t="shared" si="41"/>
        <v>-102</v>
      </c>
      <c r="Z160" s="898">
        <v>11</v>
      </c>
      <c r="AA160" s="893">
        <v>3674</v>
      </c>
      <c r="AB160" s="893">
        <v>44088</v>
      </c>
      <c r="AC160" s="893">
        <v>367</v>
      </c>
      <c r="AD160" s="897">
        <v>4408</v>
      </c>
      <c r="AE160" s="899">
        <v>1.5</v>
      </c>
      <c r="AF160" s="893">
        <v>0</v>
      </c>
      <c r="AG160" s="893">
        <v>0</v>
      </c>
      <c r="AH160" s="893">
        <v>0</v>
      </c>
      <c r="AI160" s="893">
        <v>0</v>
      </c>
      <c r="AJ160" s="893">
        <v>552</v>
      </c>
      <c r="AK160" s="900">
        <v>0</v>
      </c>
      <c r="AL160" s="901">
        <v>0</v>
      </c>
      <c r="AM160" s="892">
        <v>417</v>
      </c>
      <c r="AN160" s="893">
        <v>167</v>
      </c>
      <c r="AO160" s="893">
        <f t="shared" si="42"/>
        <v>289</v>
      </c>
      <c r="AP160" s="897">
        <f t="shared" si="43"/>
        <v>-128</v>
      </c>
      <c r="AQ160" s="898">
        <v>11</v>
      </c>
      <c r="AR160" s="893">
        <v>4587</v>
      </c>
      <c r="AS160" s="893">
        <v>55044</v>
      </c>
      <c r="AT160" s="893">
        <v>458</v>
      </c>
      <c r="AU160" s="897">
        <v>5504</v>
      </c>
      <c r="AV160" s="899">
        <v>9</v>
      </c>
      <c r="AW160" s="893">
        <v>3200000</v>
      </c>
      <c r="AX160" s="893">
        <v>0</v>
      </c>
      <c r="AY160" s="893">
        <v>5</v>
      </c>
      <c r="AZ160" s="893">
        <v>0</v>
      </c>
      <c r="BA160" s="893">
        <v>4129</v>
      </c>
      <c r="BB160" s="900">
        <v>29.368014679165757</v>
      </c>
      <c r="BC160" s="901">
        <v>355555</v>
      </c>
      <c r="BD160" s="892">
        <v>500</v>
      </c>
      <c r="BE160" s="893">
        <v>200</v>
      </c>
      <c r="BF160" s="893">
        <f t="shared" si="44"/>
        <v>346</v>
      </c>
      <c r="BG160" s="897">
        <f t="shared" si="45"/>
        <v>-154</v>
      </c>
      <c r="BH160" s="898">
        <v>11</v>
      </c>
      <c r="BI160" s="893">
        <v>5500</v>
      </c>
      <c r="BJ160" s="893">
        <v>66000</v>
      </c>
      <c r="BK160" s="893">
        <v>550</v>
      </c>
      <c r="BL160" s="897">
        <v>6600</v>
      </c>
      <c r="BM160" s="899">
        <v>18</v>
      </c>
      <c r="BN160" s="893">
        <v>4800000</v>
      </c>
      <c r="BO160" s="893">
        <v>0</v>
      </c>
      <c r="BP160" s="893">
        <v>10</v>
      </c>
      <c r="BQ160" s="893">
        <v>0</v>
      </c>
      <c r="BR160" s="893">
        <v>9900</v>
      </c>
      <c r="BS160" s="900">
        <v>36.989136363636362</v>
      </c>
      <c r="BT160" s="901">
        <v>266666</v>
      </c>
      <c r="BU160" s="892">
        <v>667</v>
      </c>
      <c r="BV160" s="893">
        <v>267</v>
      </c>
      <c r="BW160" s="893">
        <f t="shared" si="46"/>
        <v>462</v>
      </c>
      <c r="BX160" s="897">
        <f t="shared" si="47"/>
        <v>-205</v>
      </c>
      <c r="BY160" s="898">
        <v>11</v>
      </c>
      <c r="BZ160" s="893">
        <v>7337</v>
      </c>
      <c r="CA160" s="893">
        <v>88044</v>
      </c>
      <c r="CB160" s="893">
        <v>733</v>
      </c>
      <c r="CC160" s="897">
        <v>8804</v>
      </c>
      <c r="CD160" s="899">
        <v>36</v>
      </c>
      <c r="CE160" s="893">
        <v>6400000</v>
      </c>
      <c r="CF160" s="893">
        <v>0</v>
      </c>
      <c r="CG160" s="893">
        <v>0</v>
      </c>
      <c r="CH160" s="893">
        <v>5</v>
      </c>
      <c r="CI160" s="893">
        <v>10000</v>
      </c>
      <c r="CJ160" s="900">
        <v>37.4699014129299</v>
      </c>
      <c r="CK160" s="901">
        <v>177777</v>
      </c>
      <c r="CL160" s="892">
        <v>1000</v>
      </c>
      <c r="CM160" s="893">
        <v>400</v>
      </c>
      <c r="CN160" s="893">
        <f t="shared" si="48"/>
        <v>693</v>
      </c>
      <c r="CO160" s="897">
        <f t="shared" si="49"/>
        <v>-307</v>
      </c>
      <c r="CP160" s="898">
        <v>11</v>
      </c>
      <c r="CQ160" s="893">
        <v>11000</v>
      </c>
      <c r="CR160" s="893">
        <v>132000</v>
      </c>
      <c r="CS160" s="893">
        <v>1100</v>
      </c>
      <c r="CT160" s="897">
        <v>13200</v>
      </c>
      <c r="CU160" s="899">
        <v>72</v>
      </c>
      <c r="CV160" s="893">
        <v>8000000</v>
      </c>
      <c r="CW160" s="893">
        <v>0</v>
      </c>
      <c r="CX160" s="893">
        <v>0</v>
      </c>
      <c r="CY160" s="893">
        <v>10</v>
      </c>
      <c r="CZ160" s="893">
        <v>10000</v>
      </c>
      <c r="DA160" s="900">
        <v>32.304030303030302</v>
      </c>
      <c r="DB160" s="901">
        <v>111111</v>
      </c>
      <c r="DC160" s="902">
        <v>136.5</v>
      </c>
      <c r="DD160" s="893">
        <v>22400000</v>
      </c>
      <c r="DE160" s="903">
        <v>0</v>
      </c>
      <c r="DF160" s="903">
        <v>15</v>
      </c>
      <c r="DG160" s="903">
        <v>15</v>
      </c>
      <c r="DH160" s="893">
        <v>34581</v>
      </c>
      <c r="DI160" s="900">
        <v>84.848484848484844</v>
      </c>
      <c r="DJ160" s="901">
        <v>164102.56410256409</v>
      </c>
      <c r="DK160" s="904">
        <v>38</v>
      </c>
      <c r="DL160" s="905" t="s">
        <v>43</v>
      </c>
      <c r="DM160" s="906"/>
      <c r="DN160" s="907"/>
      <c r="DO160" s="908"/>
      <c r="DP160" s="908"/>
      <c r="DQ160" s="908"/>
      <c r="DR160" s="908"/>
      <c r="DS160" s="908"/>
      <c r="DT160" s="908"/>
      <c r="DU160" s="908"/>
      <c r="DV160" s="908"/>
      <c r="DW160" s="908"/>
      <c r="DX160" s="909"/>
      <c r="DY160" s="910" t="s">
        <v>43</v>
      </c>
      <c r="DZ160" s="911"/>
      <c r="EA160" s="890"/>
      <c r="EB160" s="890"/>
      <c r="EC160" s="912"/>
      <c r="ED160" s="913"/>
      <c r="EE160" s="893"/>
      <c r="EF160" s="893"/>
      <c r="EG160" s="893"/>
      <c r="EH160" s="897"/>
      <c r="EI160" s="914"/>
      <c r="EJ160" s="915"/>
    </row>
    <row r="161" spans="2:140">
      <c r="B161" s="109" t="s">
        <v>716</v>
      </c>
      <c r="C161" s="879" t="s">
        <v>42</v>
      </c>
      <c r="D161" s="880" t="s">
        <v>43</v>
      </c>
      <c r="E161" s="881" t="s">
        <v>43</v>
      </c>
      <c r="F161" s="882"/>
      <c r="G161" s="883"/>
      <c r="H161" s="884">
        <v>7</v>
      </c>
      <c r="I161" s="885" t="s">
        <v>271</v>
      </c>
      <c r="J161" s="886">
        <v>12</v>
      </c>
      <c r="K161" s="887">
        <v>0.1</v>
      </c>
      <c r="L161" s="888">
        <v>3.3333333333333335</v>
      </c>
      <c r="M161" s="889">
        <v>100</v>
      </c>
      <c r="N161" s="882">
        <v>533</v>
      </c>
      <c r="O161" s="916">
        <v>42411</v>
      </c>
      <c r="P161" s="891" t="s">
        <v>206</v>
      </c>
      <c r="Q161" s="892">
        <v>2000</v>
      </c>
      <c r="R161" s="893">
        <v>600</v>
      </c>
      <c r="S161" s="894">
        <v>288000</v>
      </c>
      <c r="T161" s="895" t="s">
        <v>717</v>
      </c>
      <c r="U161" s="896" t="s">
        <v>710</v>
      </c>
      <c r="V161" s="999">
        <v>667</v>
      </c>
      <c r="W161" s="998">
        <v>200</v>
      </c>
      <c r="X161" s="998">
        <f t="shared" si="40"/>
        <v>346</v>
      </c>
      <c r="Y161" s="1000">
        <f t="shared" si="41"/>
        <v>-321</v>
      </c>
      <c r="Z161" s="1001">
        <v>12</v>
      </c>
      <c r="AA161" s="998">
        <v>8004</v>
      </c>
      <c r="AB161" s="998">
        <v>96048</v>
      </c>
      <c r="AC161" s="998">
        <v>800</v>
      </c>
      <c r="AD161" s="1000">
        <v>9604</v>
      </c>
      <c r="AE161" s="1003">
        <v>1.5</v>
      </c>
      <c r="AF161" s="998">
        <v>0</v>
      </c>
      <c r="AG161" s="998">
        <v>0</v>
      </c>
      <c r="AH161" s="998">
        <v>0</v>
      </c>
      <c r="AI161" s="998">
        <v>0</v>
      </c>
      <c r="AJ161" s="998">
        <v>1200</v>
      </c>
      <c r="AK161" s="1002">
        <v>0</v>
      </c>
      <c r="AL161" s="1004">
        <v>0</v>
      </c>
      <c r="AM161" s="999">
        <v>834</v>
      </c>
      <c r="AN161" s="998">
        <v>250</v>
      </c>
      <c r="AO161" s="998">
        <f t="shared" si="42"/>
        <v>433</v>
      </c>
      <c r="AP161" s="1000">
        <f t="shared" si="43"/>
        <v>-401</v>
      </c>
      <c r="AQ161" s="1001">
        <v>12</v>
      </c>
      <c r="AR161" s="998">
        <v>10008</v>
      </c>
      <c r="AS161" s="998">
        <v>120096</v>
      </c>
      <c r="AT161" s="998">
        <v>1000</v>
      </c>
      <c r="AU161" s="1000">
        <v>12009</v>
      </c>
      <c r="AV161" s="1003">
        <v>9</v>
      </c>
      <c r="AW161" s="998">
        <v>6000000</v>
      </c>
      <c r="AX161" s="998">
        <v>0</v>
      </c>
      <c r="AY161" s="998">
        <v>10</v>
      </c>
      <c r="AZ161" s="998">
        <v>0</v>
      </c>
      <c r="BA161" s="998">
        <v>9007</v>
      </c>
      <c r="BB161" s="1002">
        <v>25.279926059152675</v>
      </c>
      <c r="BC161" s="1004">
        <v>666666</v>
      </c>
      <c r="BD161" s="892">
        <v>1000</v>
      </c>
      <c r="BE161" s="893">
        <v>300</v>
      </c>
      <c r="BF161" s="893">
        <f t="shared" si="44"/>
        <v>519</v>
      </c>
      <c r="BG161" s="897">
        <f t="shared" si="45"/>
        <v>-481</v>
      </c>
      <c r="BH161" s="898">
        <v>12</v>
      </c>
      <c r="BI161" s="893">
        <v>12000</v>
      </c>
      <c r="BJ161" s="893">
        <v>144000</v>
      </c>
      <c r="BK161" s="893">
        <v>1200</v>
      </c>
      <c r="BL161" s="897">
        <v>14400</v>
      </c>
      <c r="BM161" s="1003">
        <v>18</v>
      </c>
      <c r="BN161" s="998">
        <v>9000000</v>
      </c>
      <c r="BO161" s="998">
        <v>0</v>
      </c>
      <c r="BP161" s="998">
        <v>20</v>
      </c>
      <c r="BQ161" s="998">
        <v>0</v>
      </c>
      <c r="BR161" s="998">
        <v>10000</v>
      </c>
      <c r="BS161" s="1002">
        <v>31.875499999999999</v>
      </c>
      <c r="BT161" s="1004">
        <v>500000</v>
      </c>
      <c r="BU161" s="892">
        <v>1334</v>
      </c>
      <c r="BV161" s="893">
        <v>400</v>
      </c>
      <c r="BW161" s="893">
        <f t="shared" si="46"/>
        <v>693</v>
      </c>
      <c r="BX161" s="897">
        <f t="shared" si="47"/>
        <v>-641</v>
      </c>
      <c r="BY161" s="898">
        <v>12</v>
      </c>
      <c r="BZ161" s="893">
        <v>16008</v>
      </c>
      <c r="CA161" s="893">
        <v>192096</v>
      </c>
      <c r="CB161" s="893">
        <v>1600</v>
      </c>
      <c r="CC161" s="897">
        <v>19209</v>
      </c>
      <c r="CD161" s="899">
        <v>36</v>
      </c>
      <c r="CE161" s="893">
        <v>12000000</v>
      </c>
      <c r="CF161" s="893">
        <v>0</v>
      </c>
      <c r="CG161" s="893">
        <v>0</v>
      </c>
      <c r="CH161" s="893">
        <v>10</v>
      </c>
      <c r="CI161" s="998">
        <v>10000</v>
      </c>
      <c r="CJ161" s="900">
        <v>32.358820589705147</v>
      </c>
      <c r="CK161" s="901">
        <v>333333</v>
      </c>
      <c r="CL161" s="892">
        <v>2000</v>
      </c>
      <c r="CM161" s="893">
        <v>600</v>
      </c>
      <c r="CN161" s="893">
        <f t="shared" si="48"/>
        <v>1039</v>
      </c>
      <c r="CO161" s="897">
        <f t="shared" si="49"/>
        <v>-961</v>
      </c>
      <c r="CP161" s="898">
        <v>12</v>
      </c>
      <c r="CQ161" s="893">
        <v>24000</v>
      </c>
      <c r="CR161" s="893">
        <v>288000</v>
      </c>
      <c r="CS161" s="893">
        <v>2400</v>
      </c>
      <c r="CT161" s="897">
        <v>28800</v>
      </c>
      <c r="CU161" s="899">
        <v>72</v>
      </c>
      <c r="CV161" s="893">
        <v>15000000</v>
      </c>
      <c r="CW161" s="893">
        <v>0</v>
      </c>
      <c r="CX161" s="893">
        <v>0</v>
      </c>
      <c r="CY161" s="893">
        <v>20</v>
      </c>
      <c r="CZ161" s="998">
        <v>10000</v>
      </c>
      <c r="DA161" s="900">
        <v>28.042666666666666</v>
      </c>
      <c r="DB161" s="901">
        <v>208333</v>
      </c>
      <c r="DC161" s="1005">
        <v>136.5</v>
      </c>
      <c r="DD161" s="998">
        <v>42000000</v>
      </c>
      <c r="DE161" s="1006">
        <v>0</v>
      </c>
      <c r="DF161" s="1006">
        <v>30</v>
      </c>
      <c r="DG161" s="1006">
        <v>30</v>
      </c>
      <c r="DH161" s="998">
        <v>40207</v>
      </c>
      <c r="DI161" s="1002">
        <v>72.916666666666671</v>
      </c>
      <c r="DJ161" s="1004">
        <v>307692.30769230769</v>
      </c>
      <c r="DK161" s="904"/>
      <c r="DL161" s="905"/>
      <c r="DM161" s="906"/>
      <c r="DN161" s="907"/>
      <c r="DO161" s="908"/>
      <c r="DP161" s="908"/>
      <c r="DQ161" s="908"/>
      <c r="DR161" s="908"/>
      <c r="DS161" s="908"/>
      <c r="DT161" s="908"/>
      <c r="DU161" s="908"/>
      <c r="DV161" s="908"/>
      <c r="DW161" s="908"/>
      <c r="DX161" s="909"/>
      <c r="DY161" s="910"/>
      <c r="DZ161" s="911"/>
      <c r="EA161" s="890"/>
      <c r="EB161" s="890"/>
      <c r="EC161" s="912"/>
      <c r="ED161" s="913"/>
      <c r="EE161" s="893"/>
      <c r="EF161" s="893"/>
      <c r="EG161" s="893"/>
      <c r="EH161" s="897"/>
      <c r="EI161" s="914"/>
      <c r="EJ161" s="915"/>
    </row>
    <row r="162" spans="2:140">
      <c r="B162" s="100" t="s">
        <v>181</v>
      </c>
      <c r="C162" s="917" t="s">
        <v>186</v>
      </c>
      <c r="D162" s="918"/>
      <c r="E162" s="919" t="s">
        <v>43</v>
      </c>
      <c r="F162" s="920" t="s">
        <v>43</v>
      </c>
      <c r="G162" s="921"/>
      <c r="H162" s="922">
        <v>1</v>
      </c>
      <c r="I162" s="923" t="s">
        <v>186</v>
      </c>
      <c r="J162" s="924">
        <v>2</v>
      </c>
      <c r="K162" s="925">
        <v>0.05</v>
      </c>
      <c r="L162" s="926">
        <v>2</v>
      </c>
      <c r="M162" s="927">
        <v>1</v>
      </c>
      <c r="N162" s="920">
        <v>8001</v>
      </c>
      <c r="O162" s="928">
        <v>42309</v>
      </c>
      <c r="P162" s="929" t="s">
        <v>206</v>
      </c>
      <c r="Q162" s="930">
        <v>200</v>
      </c>
      <c r="R162" s="931">
        <v>100</v>
      </c>
      <c r="S162" s="932">
        <v>2000</v>
      </c>
      <c r="T162" s="933" t="s">
        <v>533</v>
      </c>
      <c r="U162" s="934" t="s">
        <v>567</v>
      </c>
      <c r="V162" s="930">
        <v>67</v>
      </c>
      <c r="W162" s="931">
        <v>34</v>
      </c>
      <c r="X162" s="931">
        <f t="shared" si="40"/>
        <v>58</v>
      </c>
      <c r="Y162" s="935">
        <f t="shared" si="41"/>
        <v>-9</v>
      </c>
      <c r="Z162" s="936">
        <v>5</v>
      </c>
      <c r="AA162" s="931">
        <v>335</v>
      </c>
      <c r="AB162" s="931">
        <v>670</v>
      </c>
      <c r="AC162" s="931">
        <v>16</v>
      </c>
      <c r="AD162" s="935">
        <v>33</v>
      </c>
      <c r="AE162" s="937">
        <v>3</v>
      </c>
      <c r="AF162" s="931">
        <v>0</v>
      </c>
      <c r="AG162" s="931">
        <v>0</v>
      </c>
      <c r="AH162" s="931">
        <v>0</v>
      </c>
      <c r="AI162" s="931">
        <v>0</v>
      </c>
      <c r="AJ162" s="931">
        <v>51</v>
      </c>
      <c r="AK162" s="938">
        <v>0</v>
      </c>
      <c r="AL162" s="939">
        <v>0</v>
      </c>
      <c r="AM162" s="930">
        <v>84</v>
      </c>
      <c r="AN162" s="931">
        <v>42</v>
      </c>
      <c r="AO162" s="931">
        <f t="shared" si="42"/>
        <v>72</v>
      </c>
      <c r="AP162" s="935">
        <f t="shared" si="43"/>
        <v>-12</v>
      </c>
      <c r="AQ162" s="936">
        <v>5</v>
      </c>
      <c r="AR162" s="931">
        <v>420</v>
      </c>
      <c r="AS162" s="931">
        <v>840</v>
      </c>
      <c r="AT162" s="931">
        <v>21</v>
      </c>
      <c r="AU162" s="935">
        <v>42</v>
      </c>
      <c r="AV162" s="937">
        <v>12</v>
      </c>
      <c r="AW162" s="931">
        <v>1000</v>
      </c>
      <c r="AX162" s="931">
        <v>0</v>
      </c>
      <c r="AY162" s="931">
        <v>0</v>
      </c>
      <c r="AZ162" s="931">
        <v>0</v>
      </c>
      <c r="BA162" s="931">
        <v>252</v>
      </c>
      <c r="BB162" s="938">
        <v>0.49801587301587302</v>
      </c>
      <c r="BC162" s="939">
        <v>83</v>
      </c>
      <c r="BD162" s="930">
        <v>100</v>
      </c>
      <c r="BE162" s="931">
        <v>50</v>
      </c>
      <c r="BF162" s="931">
        <f t="shared" si="44"/>
        <v>86</v>
      </c>
      <c r="BG162" s="935">
        <f t="shared" si="45"/>
        <v>-14</v>
      </c>
      <c r="BH162" s="936">
        <v>5</v>
      </c>
      <c r="BI162" s="931">
        <v>500</v>
      </c>
      <c r="BJ162" s="931">
        <v>1000</v>
      </c>
      <c r="BK162" s="931">
        <v>25</v>
      </c>
      <c r="BL162" s="935">
        <v>50</v>
      </c>
      <c r="BM162" s="937">
        <v>24</v>
      </c>
      <c r="BN162" s="931">
        <v>2000</v>
      </c>
      <c r="BO162" s="931">
        <v>0</v>
      </c>
      <c r="BP162" s="931">
        <v>0</v>
      </c>
      <c r="BQ162" s="931">
        <v>0</v>
      </c>
      <c r="BR162" s="931">
        <v>600</v>
      </c>
      <c r="BS162" s="938">
        <v>1.0066666666666666</v>
      </c>
      <c r="BT162" s="939">
        <v>83</v>
      </c>
      <c r="BU162" s="930">
        <v>134</v>
      </c>
      <c r="BV162" s="931">
        <v>67</v>
      </c>
      <c r="BW162" s="931">
        <f t="shared" si="46"/>
        <v>116</v>
      </c>
      <c r="BX162" s="935">
        <f t="shared" si="47"/>
        <v>-18</v>
      </c>
      <c r="BY162" s="936">
        <v>5</v>
      </c>
      <c r="BZ162" s="931">
        <v>670</v>
      </c>
      <c r="CA162" s="931">
        <v>1340</v>
      </c>
      <c r="CB162" s="931">
        <v>33</v>
      </c>
      <c r="CC162" s="935">
        <v>67</v>
      </c>
      <c r="CD162" s="937">
        <v>36</v>
      </c>
      <c r="CE162" s="931">
        <v>3000</v>
      </c>
      <c r="CF162" s="931">
        <v>0</v>
      </c>
      <c r="CG162" s="931">
        <v>0</v>
      </c>
      <c r="CH162" s="931">
        <v>0</v>
      </c>
      <c r="CI162" s="931">
        <v>1206</v>
      </c>
      <c r="CJ162" s="938">
        <v>1.3059701492537312</v>
      </c>
      <c r="CK162" s="939">
        <v>83</v>
      </c>
      <c r="CL162" s="930">
        <v>200</v>
      </c>
      <c r="CM162" s="931">
        <v>100</v>
      </c>
      <c r="CN162" s="931">
        <f t="shared" si="48"/>
        <v>173</v>
      </c>
      <c r="CO162" s="935">
        <f t="shared" si="49"/>
        <v>-27</v>
      </c>
      <c r="CP162" s="936">
        <v>5</v>
      </c>
      <c r="CQ162" s="931">
        <v>1000</v>
      </c>
      <c r="CR162" s="931">
        <v>2000</v>
      </c>
      <c r="CS162" s="931">
        <v>50</v>
      </c>
      <c r="CT162" s="935">
        <v>100</v>
      </c>
      <c r="CU162" s="937">
        <v>48</v>
      </c>
      <c r="CV162" s="931">
        <v>5000</v>
      </c>
      <c r="CW162" s="931">
        <v>0</v>
      </c>
      <c r="CX162" s="931">
        <v>0</v>
      </c>
      <c r="CY162" s="931">
        <v>0</v>
      </c>
      <c r="CZ162" s="931">
        <v>2400</v>
      </c>
      <c r="DA162" s="938">
        <v>1.5483333333333331</v>
      </c>
      <c r="DB162" s="939">
        <v>104</v>
      </c>
      <c r="DC162" s="940">
        <v>123</v>
      </c>
      <c r="DD162" s="931">
        <v>11000</v>
      </c>
      <c r="DE162" s="941">
        <v>0</v>
      </c>
      <c r="DF162" s="941">
        <v>0</v>
      </c>
      <c r="DG162" s="941">
        <v>0</v>
      </c>
      <c r="DH162" s="931">
        <v>4509</v>
      </c>
      <c r="DI162" s="938">
        <v>0.45833333333333331</v>
      </c>
      <c r="DJ162" s="939">
        <v>89.430894308943095</v>
      </c>
      <c r="DK162" s="942">
        <v>0</v>
      </c>
      <c r="DL162" s="943" t="s">
        <v>43</v>
      </c>
      <c r="DM162" s="944">
        <v>111</v>
      </c>
      <c r="DN162" s="945">
        <v>333</v>
      </c>
      <c r="DO162" s="946"/>
      <c r="DP162" s="946"/>
      <c r="DQ162" s="946"/>
      <c r="DR162" s="946"/>
      <c r="DS162" s="946"/>
      <c r="DT162" s="946"/>
      <c r="DU162" s="946"/>
      <c r="DV162" s="946"/>
      <c r="DW162" s="946"/>
      <c r="DX162" s="947"/>
      <c r="DY162" s="948" t="s">
        <v>43</v>
      </c>
      <c r="DZ162" s="949"/>
      <c r="EA162" s="950"/>
      <c r="EB162" s="950"/>
      <c r="EC162" s="951"/>
      <c r="ED162" s="952">
        <v>36</v>
      </c>
      <c r="EE162" s="931">
        <v>144</v>
      </c>
      <c r="EF162" s="931">
        <v>288</v>
      </c>
      <c r="EG162" s="931">
        <v>432</v>
      </c>
      <c r="EH162" s="935">
        <v>576</v>
      </c>
      <c r="EI162" s="953">
        <v>5</v>
      </c>
      <c r="EJ162" s="954" t="s">
        <v>590</v>
      </c>
    </row>
    <row r="163" spans="2:140">
      <c r="B163" s="100" t="s">
        <v>191</v>
      </c>
      <c r="C163" s="917" t="s">
        <v>186</v>
      </c>
      <c r="D163" s="918"/>
      <c r="E163" s="919" t="s">
        <v>43</v>
      </c>
      <c r="F163" s="920" t="s">
        <v>43</v>
      </c>
      <c r="G163" s="921"/>
      <c r="H163" s="922">
        <v>1</v>
      </c>
      <c r="I163" s="923" t="s">
        <v>186</v>
      </c>
      <c r="J163" s="924">
        <v>2</v>
      </c>
      <c r="K163" s="925">
        <v>0.05</v>
      </c>
      <c r="L163" s="926">
        <v>2</v>
      </c>
      <c r="M163" s="927">
        <v>1</v>
      </c>
      <c r="N163" s="920">
        <v>8002</v>
      </c>
      <c r="O163" s="928">
        <v>42319</v>
      </c>
      <c r="P163" s="929" t="s">
        <v>206</v>
      </c>
      <c r="Q163" s="930">
        <v>200</v>
      </c>
      <c r="R163" s="931">
        <v>100</v>
      </c>
      <c r="S163" s="932">
        <v>2000</v>
      </c>
      <c r="T163" s="933" t="s">
        <v>535</v>
      </c>
      <c r="U163" s="934" t="s">
        <v>569</v>
      </c>
      <c r="V163" s="930">
        <v>67</v>
      </c>
      <c r="W163" s="931">
        <v>34</v>
      </c>
      <c r="X163" s="931">
        <f t="shared" si="40"/>
        <v>58</v>
      </c>
      <c r="Y163" s="935">
        <f t="shared" si="41"/>
        <v>-9</v>
      </c>
      <c r="Z163" s="936">
        <v>5</v>
      </c>
      <c r="AA163" s="931">
        <v>335</v>
      </c>
      <c r="AB163" s="931">
        <v>670</v>
      </c>
      <c r="AC163" s="931">
        <v>16</v>
      </c>
      <c r="AD163" s="935">
        <v>33</v>
      </c>
      <c r="AE163" s="937">
        <v>4</v>
      </c>
      <c r="AF163" s="931">
        <v>0</v>
      </c>
      <c r="AG163" s="931">
        <v>0</v>
      </c>
      <c r="AH163" s="931">
        <v>0</v>
      </c>
      <c r="AI163" s="931">
        <v>0</v>
      </c>
      <c r="AJ163" s="931">
        <v>67</v>
      </c>
      <c r="AK163" s="938">
        <v>0</v>
      </c>
      <c r="AL163" s="939">
        <v>0</v>
      </c>
      <c r="AM163" s="930">
        <v>84</v>
      </c>
      <c r="AN163" s="931">
        <v>42</v>
      </c>
      <c r="AO163" s="931">
        <f t="shared" si="42"/>
        <v>72</v>
      </c>
      <c r="AP163" s="935">
        <f t="shared" si="43"/>
        <v>-12</v>
      </c>
      <c r="AQ163" s="936">
        <v>5</v>
      </c>
      <c r="AR163" s="931">
        <v>420</v>
      </c>
      <c r="AS163" s="931">
        <v>840</v>
      </c>
      <c r="AT163" s="931">
        <v>21</v>
      </c>
      <c r="AU163" s="935">
        <v>42</v>
      </c>
      <c r="AV163" s="937">
        <v>14</v>
      </c>
      <c r="AW163" s="931">
        <v>300000</v>
      </c>
      <c r="AX163" s="931">
        <v>0</v>
      </c>
      <c r="AY163" s="931">
        <v>0</v>
      </c>
      <c r="AZ163" s="931">
        <v>0</v>
      </c>
      <c r="BA163" s="931">
        <v>294</v>
      </c>
      <c r="BB163" s="938">
        <v>30.227182539682541</v>
      </c>
      <c r="BC163" s="939">
        <v>21428</v>
      </c>
      <c r="BD163" s="930">
        <v>100</v>
      </c>
      <c r="BE163" s="931">
        <v>50</v>
      </c>
      <c r="BF163" s="931">
        <f t="shared" si="44"/>
        <v>86</v>
      </c>
      <c r="BG163" s="935">
        <f t="shared" si="45"/>
        <v>-14</v>
      </c>
      <c r="BH163" s="936">
        <v>5</v>
      </c>
      <c r="BI163" s="931">
        <v>500</v>
      </c>
      <c r="BJ163" s="931">
        <v>1000</v>
      </c>
      <c r="BK163" s="931">
        <v>25</v>
      </c>
      <c r="BL163" s="935">
        <v>50</v>
      </c>
      <c r="BM163" s="937">
        <v>26</v>
      </c>
      <c r="BN163" s="931">
        <v>500000</v>
      </c>
      <c r="BO163" s="931">
        <v>0</v>
      </c>
      <c r="BP163" s="931">
        <v>0</v>
      </c>
      <c r="BQ163" s="931">
        <v>0</v>
      </c>
      <c r="BR163" s="931">
        <v>650</v>
      </c>
      <c r="BS163" s="938">
        <v>42.576666666666668</v>
      </c>
      <c r="BT163" s="939">
        <v>19230</v>
      </c>
      <c r="BU163" s="930">
        <v>134</v>
      </c>
      <c r="BV163" s="931">
        <v>67</v>
      </c>
      <c r="BW163" s="931">
        <f t="shared" si="46"/>
        <v>116</v>
      </c>
      <c r="BX163" s="935">
        <f t="shared" si="47"/>
        <v>-18</v>
      </c>
      <c r="BY163" s="936">
        <v>5</v>
      </c>
      <c r="BZ163" s="931">
        <v>670</v>
      </c>
      <c r="CA163" s="931">
        <v>1340</v>
      </c>
      <c r="CB163" s="931">
        <v>33</v>
      </c>
      <c r="CC163" s="935">
        <v>67</v>
      </c>
      <c r="CD163" s="937">
        <v>38</v>
      </c>
      <c r="CE163" s="931">
        <v>700000</v>
      </c>
      <c r="CF163" s="931">
        <v>0</v>
      </c>
      <c r="CG163" s="931">
        <v>0</v>
      </c>
      <c r="CH163" s="931">
        <v>0</v>
      </c>
      <c r="CI163" s="931">
        <v>1273</v>
      </c>
      <c r="CJ163" s="938">
        <v>44.713930348258707</v>
      </c>
      <c r="CK163" s="939">
        <v>18421</v>
      </c>
      <c r="CL163" s="930">
        <v>200</v>
      </c>
      <c r="CM163" s="931">
        <v>100</v>
      </c>
      <c r="CN163" s="931">
        <f t="shared" si="48"/>
        <v>173</v>
      </c>
      <c r="CO163" s="935">
        <f t="shared" si="49"/>
        <v>-27</v>
      </c>
      <c r="CP163" s="936">
        <v>5</v>
      </c>
      <c r="CQ163" s="931">
        <v>1000</v>
      </c>
      <c r="CR163" s="931">
        <v>2000</v>
      </c>
      <c r="CS163" s="931">
        <v>50</v>
      </c>
      <c r="CT163" s="935">
        <v>100</v>
      </c>
      <c r="CU163" s="937">
        <v>50</v>
      </c>
      <c r="CV163" s="931">
        <v>1500000</v>
      </c>
      <c r="CW163" s="931">
        <v>0</v>
      </c>
      <c r="CX163" s="931">
        <v>0</v>
      </c>
      <c r="CY163" s="931">
        <v>0</v>
      </c>
      <c r="CZ163" s="931">
        <v>2500</v>
      </c>
      <c r="DA163" s="938">
        <v>63.895833333333336</v>
      </c>
      <c r="DB163" s="939">
        <v>30000</v>
      </c>
      <c r="DC163" s="940">
        <v>132</v>
      </c>
      <c r="DD163" s="931">
        <v>3000000</v>
      </c>
      <c r="DE163" s="941">
        <v>0</v>
      </c>
      <c r="DF163" s="941">
        <v>0</v>
      </c>
      <c r="DG163" s="941">
        <v>0</v>
      </c>
      <c r="DH163" s="931">
        <v>4784</v>
      </c>
      <c r="DI163" s="938">
        <v>125</v>
      </c>
      <c r="DJ163" s="939">
        <v>22727.272727272728</v>
      </c>
      <c r="DK163" s="942">
        <v>0</v>
      </c>
      <c r="DL163" s="943" t="s">
        <v>43</v>
      </c>
      <c r="DM163" s="944">
        <v>250</v>
      </c>
      <c r="DN163" s="945">
        <v>777</v>
      </c>
      <c r="DO163" s="946"/>
      <c r="DP163" s="946"/>
      <c r="DQ163" s="946"/>
      <c r="DR163" s="946"/>
      <c r="DS163" s="946"/>
      <c r="DT163" s="946"/>
      <c r="DU163" s="946"/>
      <c r="DV163" s="946"/>
      <c r="DW163" s="946"/>
      <c r="DX163" s="947"/>
      <c r="DY163" s="948" t="s">
        <v>43</v>
      </c>
      <c r="DZ163" s="949"/>
      <c r="EA163" s="950"/>
      <c r="EB163" s="950"/>
      <c r="EC163" s="951"/>
      <c r="ED163" s="952">
        <v>48</v>
      </c>
      <c r="EE163" s="931">
        <v>168</v>
      </c>
      <c r="EF163" s="931">
        <v>312</v>
      </c>
      <c r="EG163" s="931">
        <v>456</v>
      </c>
      <c r="EH163" s="935">
        <v>600</v>
      </c>
      <c r="EI163" s="953">
        <v>5</v>
      </c>
      <c r="EJ163" s="954" t="s">
        <v>592</v>
      </c>
    </row>
    <row r="164" spans="2:140">
      <c r="B164" s="100" t="s">
        <v>196</v>
      </c>
      <c r="C164" s="917" t="s">
        <v>186</v>
      </c>
      <c r="D164" s="918"/>
      <c r="E164" s="919" t="s">
        <v>43</v>
      </c>
      <c r="F164" s="920" t="s">
        <v>43</v>
      </c>
      <c r="G164" s="921"/>
      <c r="H164" s="922">
        <v>1</v>
      </c>
      <c r="I164" s="923" t="s">
        <v>186</v>
      </c>
      <c r="J164" s="924">
        <v>2</v>
      </c>
      <c r="K164" s="925">
        <v>0.05</v>
      </c>
      <c r="L164" s="926">
        <v>2</v>
      </c>
      <c r="M164" s="927">
        <v>1</v>
      </c>
      <c r="N164" s="920">
        <v>8003</v>
      </c>
      <c r="O164" s="928">
        <v>42330</v>
      </c>
      <c r="P164" s="929" t="s">
        <v>206</v>
      </c>
      <c r="Q164" s="930">
        <v>200</v>
      </c>
      <c r="R164" s="931">
        <v>100</v>
      </c>
      <c r="S164" s="932">
        <v>2000</v>
      </c>
      <c r="T164" s="933" t="s">
        <v>537</v>
      </c>
      <c r="U164" s="934" t="s">
        <v>571</v>
      </c>
      <c r="V164" s="930">
        <v>67</v>
      </c>
      <c r="W164" s="931">
        <v>34</v>
      </c>
      <c r="X164" s="931">
        <f t="shared" si="40"/>
        <v>58</v>
      </c>
      <c r="Y164" s="935">
        <f t="shared" si="41"/>
        <v>-9</v>
      </c>
      <c r="Z164" s="936">
        <v>5</v>
      </c>
      <c r="AA164" s="931">
        <v>335</v>
      </c>
      <c r="AB164" s="931">
        <v>670</v>
      </c>
      <c r="AC164" s="931">
        <v>16</v>
      </c>
      <c r="AD164" s="935">
        <v>33</v>
      </c>
      <c r="AE164" s="937">
        <v>2</v>
      </c>
      <c r="AF164" s="931">
        <v>0</v>
      </c>
      <c r="AG164" s="931">
        <v>0</v>
      </c>
      <c r="AH164" s="931">
        <v>0</v>
      </c>
      <c r="AI164" s="931">
        <v>0</v>
      </c>
      <c r="AJ164" s="931">
        <v>67</v>
      </c>
      <c r="AK164" s="938">
        <v>0</v>
      </c>
      <c r="AL164" s="939">
        <v>0</v>
      </c>
      <c r="AM164" s="930">
        <v>84</v>
      </c>
      <c r="AN164" s="931">
        <v>42</v>
      </c>
      <c r="AO164" s="931">
        <f t="shared" si="42"/>
        <v>72</v>
      </c>
      <c r="AP164" s="935">
        <f t="shared" si="43"/>
        <v>-12</v>
      </c>
      <c r="AQ164" s="936">
        <v>5</v>
      </c>
      <c r="AR164" s="931">
        <v>420</v>
      </c>
      <c r="AS164" s="931">
        <v>840</v>
      </c>
      <c r="AT164" s="931">
        <v>21</v>
      </c>
      <c r="AU164" s="935">
        <v>42</v>
      </c>
      <c r="AV164" s="937">
        <v>8</v>
      </c>
      <c r="AW164" s="931">
        <v>100000</v>
      </c>
      <c r="AX164" s="931">
        <v>0</v>
      </c>
      <c r="AY164" s="931">
        <v>0</v>
      </c>
      <c r="AZ164" s="931">
        <v>0</v>
      </c>
      <c r="BA164" s="931">
        <v>294</v>
      </c>
      <c r="BB164" s="938">
        <v>10.186507936507937</v>
      </c>
      <c r="BC164" s="939">
        <v>12500</v>
      </c>
      <c r="BD164" s="930">
        <v>100</v>
      </c>
      <c r="BE164" s="931">
        <v>50</v>
      </c>
      <c r="BF164" s="931">
        <f t="shared" si="44"/>
        <v>86</v>
      </c>
      <c r="BG164" s="935">
        <f t="shared" si="45"/>
        <v>-14</v>
      </c>
      <c r="BH164" s="936">
        <v>5</v>
      </c>
      <c r="BI164" s="931">
        <v>500</v>
      </c>
      <c r="BJ164" s="931">
        <v>1000</v>
      </c>
      <c r="BK164" s="931">
        <v>25</v>
      </c>
      <c r="BL164" s="935">
        <v>50</v>
      </c>
      <c r="BM164" s="937">
        <v>20</v>
      </c>
      <c r="BN164" s="931">
        <v>200000</v>
      </c>
      <c r="BO164" s="931">
        <v>0</v>
      </c>
      <c r="BP164" s="931">
        <v>0</v>
      </c>
      <c r="BQ164" s="931">
        <v>0</v>
      </c>
      <c r="BR164" s="931">
        <v>650</v>
      </c>
      <c r="BS164" s="938">
        <v>17.366666666666667</v>
      </c>
      <c r="BT164" s="939">
        <v>10000</v>
      </c>
      <c r="BU164" s="930">
        <v>134</v>
      </c>
      <c r="BV164" s="931">
        <v>67</v>
      </c>
      <c r="BW164" s="931">
        <f t="shared" si="46"/>
        <v>116</v>
      </c>
      <c r="BX164" s="935">
        <f t="shared" si="47"/>
        <v>-18</v>
      </c>
      <c r="BY164" s="936">
        <v>5</v>
      </c>
      <c r="BZ164" s="931">
        <v>670</v>
      </c>
      <c r="CA164" s="931">
        <v>1340</v>
      </c>
      <c r="CB164" s="931">
        <v>33</v>
      </c>
      <c r="CC164" s="935">
        <v>67</v>
      </c>
      <c r="CD164" s="937">
        <v>32</v>
      </c>
      <c r="CE164" s="931">
        <v>300000</v>
      </c>
      <c r="CF164" s="931">
        <v>0</v>
      </c>
      <c r="CG164" s="931">
        <v>0</v>
      </c>
      <c r="CH164" s="931">
        <v>0</v>
      </c>
      <c r="CI164" s="931">
        <v>1273</v>
      </c>
      <c r="CJ164" s="938">
        <v>19.651741293532339</v>
      </c>
      <c r="CK164" s="939">
        <v>9375</v>
      </c>
      <c r="CL164" s="930">
        <v>200</v>
      </c>
      <c r="CM164" s="931">
        <v>100</v>
      </c>
      <c r="CN164" s="931">
        <f t="shared" si="48"/>
        <v>173</v>
      </c>
      <c r="CO164" s="935">
        <f t="shared" si="49"/>
        <v>-27</v>
      </c>
      <c r="CP164" s="936">
        <v>5</v>
      </c>
      <c r="CQ164" s="931">
        <v>1000</v>
      </c>
      <c r="CR164" s="931">
        <v>2000</v>
      </c>
      <c r="CS164" s="931">
        <v>50</v>
      </c>
      <c r="CT164" s="935">
        <v>100</v>
      </c>
      <c r="CU164" s="937">
        <v>44</v>
      </c>
      <c r="CV164" s="931">
        <v>400000</v>
      </c>
      <c r="CW164" s="931">
        <v>0</v>
      </c>
      <c r="CX164" s="931">
        <v>0</v>
      </c>
      <c r="CY164" s="931">
        <v>0</v>
      </c>
      <c r="CZ164" s="931">
        <v>2500</v>
      </c>
      <c r="DA164" s="938">
        <v>17.895</v>
      </c>
      <c r="DB164" s="939">
        <v>9090</v>
      </c>
      <c r="DC164" s="940">
        <v>106</v>
      </c>
      <c r="DD164" s="931">
        <v>1000000</v>
      </c>
      <c r="DE164" s="941">
        <v>0</v>
      </c>
      <c r="DF164" s="941">
        <v>0</v>
      </c>
      <c r="DG164" s="941">
        <v>0</v>
      </c>
      <c r="DH164" s="931">
        <v>4784</v>
      </c>
      <c r="DI164" s="938">
        <v>41.666666666666664</v>
      </c>
      <c r="DJ164" s="939">
        <v>9433.9622641509432</v>
      </c>
      <c r="DK164" s="942">
        <v>0</v>
      </c>
      <c r="DL164" s="943" t="s">
        <v>43</v>
      </c>
      <c r="DM164" s="944">
        <v>250</v>
      </c>
      <c r="DN164" s="945">
        <v>777</v>
      </c>
      <c r="DO164" s="946"/>
      <c r="DP164" s="946"/>
      <c r="DQ164" s="946"/>
      <c r="DR164" s="946"/>
      <c r="DS164" s="946"/>
      <c r="DT164" s="946"/>
      <c r="DU164" s="946"/>
      <c r="DV164" s="946"/>
      <c r="DW164" s="946"/>
      <c r="DX164" s="947"/>
      <c r="DY164" s="948" t="s">
        <v>43</v>
      </c>
      <c r="DZ164" s="949"/>
      <c r="EA164" s="950"/>
      <c r="EB164" s="950"/>
      <c r="EC164" s="951"/>
      <c r="ED164" s="952">
        <v>24</v>
      </c>
      <c r="EE164" s="931">
        <v>96</v>
      </c>
      <c r="EF164" s="931">
        <v>240</v>
      </c>
      <c r="EG164" s="931">
        <v>384</v>
      </c>
      <c r="EH164" s="935">
        <v>528</v>
      </c>
      <c r="EI164" s="953">
        <v>5</v>
      </c>
      <c r="EJ164" s="954" t="s">
        <v>594</v>
      </c>
    </row>
    <row r="165" spans="2:140">
      <c r="B165" s="100" t="s">
        <v>208</v>
      </c>
      <c r="C165" s="917" t="s">
        <v>186</v>
      </c>
      <c r="D165" s="918"/>
      <c r="E165" s="919" t="s">
        <v>43</v>
      </c>
      <c r="F165" s="920" t="s">
        <v>43</v>
      </c>
      <c r="G165" s="921"/>
      <c r="H165" s="922">
        <v>1</v>
      </c>
      <c r="I165" s="923" t="s">
        <v>186</v>
      </c>
      <c r="J165" s="924">
        <v>2</v>
      </c>
      <c r="K165" s="925">
        <v>0.05</v>
      </c>
      <c r="L165" s="926">
        <v>2</v>
      </c>
      <c r="M165" s="927">
        <v>1</v>
      </c>
      <c r="N165" s="920">
        <v>8004</v>
      </c>
      <c r="O165" s="928">
        <v>42339</v>
      </c>
      <c r="P165" s="929" t="s">
        <v>206</v>
      </c>
      <c r="Q165" s="930">
        <v>200</v>
      </c>
      <c r="R165" s="931">
        <v>100</v>
      </c>
      <c r="S165" s="932">
        <v>2000</v>
      </c>
      <c r="T165" s="933" t="s">
        <v>539</v>
      </c>
      <c r="U165" s="934" t="s">
        <v>573</v>
      </c>
      <c r="V165" s="930">
        <v>67</v>
      </c>
      <c r="W165" s="931">
        <v>34</v>
      </c>
      <c r="X165" s="931">
        <f t="shared" si="40"/>
        <v>58</v>
      </c>
      <c r="Y165" s="935">
        <f t="shared" si="41"/>
        <v>-9</v>
      </c>
      <c r="Z165" s="936">
        <v>5</v>
      </c>
      <c r="AA165" s="931">
        <v>335</v>
      </c>
      <c r="AB165" s="931">
        <v>670</v>
      </c>
      <c r="AC165" s="931">
        <v>16</v>
      </c>
      <c r="AD165" s="935">
        <v>33</v>
      </c>
      <c r="AE165" s="937">
        <v>5</v>
      </c>
      <c r="AF165" s="931">
        <v>0</v>
      </c>
      <c r="AG165" s="931">
        <v>0</v>
      </c>
      <c r="AH165" s="931">
        <v>0</v>
      </c>
      <c r="AI165" s="931">
        <v>0</v>
      </c>
      <c r="AJ165" s="1009">
        <v>168</v>
      </c>
      <c r="AK165" s="938">
        <v>0</v>
      </c>
      <c r="AL165" s="939">
        <v>0</v>
      </c>
      <c r="AM165" s="930">
        <v>84</v>
      </c>
      <c r="AN165" s="931">
        <v>42</v>
      </c>
      <c r="AO165" s="931">
        <f t="shared" si="42"/>
        <v>72</v>
      </c>
      <c r="AP165" s="935">
        <f t="shared" si="43"/>
        <v>-12</v>
      </c>
      <c r="AQ165" s="936">
        <v>5</v>
      </c>
      <c r="AR165" s="931">
        <v>420</v>
      </c>
      <c r="AS165" s="931">
        <v>840</v>
      </c>
      <c r="AT165" s="931">
        <v>21</v>
      </c>
      <c r="AU165" s="935">
        <v>42</v>
      </c>
      <c r="AV165" s="1010">
        <v>15</v>
      </c>
      <c r="AW165" s="1009">
        <v>1000</v>
      </c>
      <c r="AX165" s="931">
        <v>0</v>
      </c>
      <c r="AY165" s="931">
        <v>0</v>
      </c>
      <c r="AZ165" s="931">
        <v>0</v>
      </c>
      <c r="BA165" s="1009">
        <v>630</v>
      </c>
      <c r="BB165" s="1011">
        <v>0.59771825396825395</v>
      </c>
      <c r="BC165" s="1012">
        <v>66</v>
      </c>
      <c r="BD165" s="930">
        <v>100</v>
      </c>
      <c r="BE165" s="931">
        <v>50</v>
      </c>
      <c r="BF165" s="931">
        <f t="shared" si="44"/>
        <v>86</v>
      </c>
      <c r="BG165" s="935">
        <f t="shared" si="45"/>
        <v>-14</v>
      </c>
      <c r="BH165" s="936">
        <v>5</v>
      </c>
      <c r="BI165" s="931">
        <v>500</v>
      </c>
      <c r="BJ165" s="931">
        <v>1000</v>
      </c>
      <c r="BK165" s="931">
        <v>25</v>
      </c>
      <c r="BL165" s="935">
        <v>50</v>
      </c>
      <c r="BM165" s="1010">
        <v>28</v>
      </c>
      <c r="BN165" s="1009">
        <v>2000</v>
      </c>
      <c r="BO165" s="931">
        <v>0</v>
      </c>
      <c r="BP165" s="931">
        <v>0</v>
      </c>
      <c r="BQ165" s="931">
        <v>0</v>
      </c>
      <c r="BR165" s="1009">
        <v>1400</v>
      </c>
      <c r="BS165" s="1011">
        <v>1.1466666666666667</v>
      </c>
      <c r="BT165" s="1012">
        <v>71</v>
      </c>
      <c r="BU165" s="930">
        <v>134</v>
      </c>
      <c r="BV165" s="931">
        <v>67</v>
      </c>
      <c r="BW165" s="931">
        <f t="shared" si="46"/>
        <v>116</v>
      </c>
      <c r="BX165" s="935">
        <f t="shared" si="47"/>
        <v>-18</v>
      </c>
      <c r="BY165" s="936">
        <v>5</v>
      </c>
      <c r="BZ165" s="931">
        <v>670</v>
      </c>
      <c r="CA165" s="931">
        <v>1340</v>
      </c>
      <c r="CB165" s="931">
        <v>33</v>
      </c>
      <c r="CC165" s="935">
        <v>67</v>
      </c>
      <c r="CD165" s="1010">
        <v>42</v>
      </c>
      <c r="CE165" s="1009">
        <v>3000</v>
      </c>
      <c r="CF165" s="931">
        <v>0</v>
      </c>
      <c r="CG165" s="931">
        <v>0</v>
      </c>
      <c r="CH165" s="931">
        <v>0</v>
      </c>
      <c r="CI165" s="1009">
        <v>2814</v>
      </c>
      <c r="CJ165" s="1011">
        <v>1.4925373134328357</v>
      </c>
      <c r="CK165" s="1012">
        <v>71</v>
      </c>
      <c r="CL165" s="930">
        <v>200</v>
      </c>
      <c r="CM165" s="931">
        <v>100</v>
      </c>
      <c r="CN165" s="931">
        <f t="shared" si="48"/>
        <v>173</v>
      </c>
      <c r="CO165" s="935">
        <f t="shared" si="49"/>
        <v>-27</v>
      </c>
      <c r="CP165" s="936">
        <v>5</v>
      </c>
      <c r="CQ165" s="931">
        <v>1000</v>
      </c>
      <c r="CR165" s="931">
        <v>2000</v>
      </c>
      <c r="CS165" s="931">
        <v>50</v>
      </c>
      <c r="CT165" s="935">
        <v>100</v>
      </c>
      <c r="CU165" s="1010">
        <v>54</v>
      </c>
      <c r="CV165" s="1009">
        <v>4000</v>
      </c>
      <c r="CW165" s="931">
        <v>0</v>
      </c>
      <c r="CX165" s="931">
        <v>0</v>
      </c>
      <c r="CY165" s="931">
        <v>0</v>
      </c>
      <c r="CZ165" s="1009">
        <v>5400</v>
      </c>
      <c r="DA165" s="1011">
        <v>1.6741666666666666</v>
      </c>
      <c r="DB165" s="1012">
        <v>74</v>
      </c>
      <c r="DC165" s="1013">
        <v>144</v>
      </c>
      <c r="DD165" s="1009">
        <v>10000</v>
      </c>
      <c r="DE165" s="941">
        <v>0</v>
      </c>
      <c r="DF165" s="941">
        <v>0</v>
      </c>
      <c r="DG165" s="941">
        <v>0</v>
      </c>
      <c r="DH165" s="1009">
        <v>10412</v>
      </c>
      <c r="DI165" s="1011">
        <v>0.41666666666666669</v>
      </c>
      <c r="DJ165" s="1012">
        <v>69.444444444444443</v>
      </c>
      <c r="DK165" s="942">
        <v>0</v>
      </c>
      <c r="DL165" s="943" t="s">
        <v>43</v>
      </c>
      <c r="DM165" s="944">
        <v>111</v>
      </c>
      <c r="DN165" s="945">
        <v>333</v>
      </c>
      <c r="DO165" s="946"/>
      <c r="DP165" s="946"/>
      <c r="DQ165" s="946"/>
      <c r="DR165" s="946"/>
      <c r="DS165" s="946"/>
      <c r="DT165" s="946"/>
      <c r="DU165" s="946"/>
      <c r="DV165" s="946"/>
      <c r="DW165" s="946"/>
      <c r="DX165" s="947"/>
      <c r="DY165" s="948" t="s">
        <v>43</v>
      </c>
      <c r="DZ165" s="949"/>
      <c r="EA165" s="950"/>
      <c r="EB165" s="950"/>
      <c r="EC165" s="951"/>
      <c r="ED165" s="1020">
        <v>60</v>
      </c>
      <c r="EE165" s="1009">
        <v>180</v>
      </c>
      <c r="EF165" s="1009">
        <v>336</v>
      </c>
      <c r="EG165" s="1009">
        <v>504</v>
      </c>
      <c r="EH165" s="1021">
        <v>648</v>
      </c>
      <c r="EI165" s="953">
        <v>5</v>
      </c>
      <c r="EJ165" s="954" t="s">
        <v>596</v>
      </c>
    </row>
    <row r="166" spans="2:140">
      <c r="B166" s="100" t="s">
        <v>209</v>
      </c>
      <c r="C166" s="917" t="s">
        <v>186</v>
      </c>
      <c r="D166" s="918"/>
      <c r="E166" s="919" t="s">
        <v>43</v>
      </c>
      <c r="F166" s="920" t="s">
        <v>43</v>
      </c>
      <c r="G166" s="921"/>
      <c r="H166" s="922">
        <v>2</v>
      </c>
      <c r="I166" s="923" t="s">
        <v>186</v>
      </c>
      <c r="J166" s="924">
        <v>2</v>
      </c>
      <c r="K166" s="925">
        <v>0.05</v>
      </c>
      <c r="L166" s="926">
        <v>2</v>
      </c>
      <c r="M166" s="927">
        <v>1</v>
      </c>
      <c r="N166" s="920">
        <v>8005</v>
      </c>
      <c r="O166" s="928">
        <v>42339</v>
      </c>
      <c r="P166" s="929" t="s">
        <v>206</v>
      </c>
      <c r="Q166" s="930">
        <v>200</v>
      </c>
      <c r="R166" s="931">
        <v>100</v>
      </c>
      <c r="S166" s="932">
        <v>2000</v>
      </c>
      <c r="T166" s="933" t="s">
        <v>551</v>
      </c>
      <c r="U166" s="934" t="s">
        <v>573</v>
      </c>
      <c r="V166" s="930">
        <v>67</v>
      </c>
      <c r="W166" s="931">
        <v>34</v>
      </c>
      <c r="X166" s="931">
        <f t="shared" ref="X166:X180" si="50">INT(W166*$C$1/100)</f>
        <v>58</v>
      </c>
      <c r="Y166" s="935">
        <f t="shared" ref="Y166:Y180" si="51">X166-V166</f>
        <v>-9</v>
      </c>
      <c r="Z166" s="936">
        <v>5</v>
      </c>
      <c r="AA166" s="931">
        <v>335</v>
      </c>
      <c r="AB166" s="931">
        <v>670</v>
      </c>
      <c r="AC166" s="931">
        <v>16</v>
      </c>
      <c r="AD166" s="935">
        <v>33</v>
      </c>
      <c r="AE166" s="937">
        <v>5</v>
      </c>
      <c r="AF166" s="931">
        <v>0</v>
      </c>
      <c r="AG166" s="931">
        <v>0</v>
      </c>
      <c r="AH166" s="931">
        <v>0</v>
      </c>
      <c r="AI166" s="931">
        <v>0</v>
      </c>
      <c r="AJ166" s="931">
        <v>168</v>
      </c>
      <c r="AK166" s="938">
        <v>0</v>
      </c>
      <c r="AL166" s="939">
        <v>0</v>
      </c>
      <c r="AM166" s="930">
        <v>84</v>
      </c>
      <c r="AN166" s="931">
        <v>42</v>
      </c>
      <c r="AO166" s="931">
        <f t="shared" ref="AO166:AO180" si="52">INT(AN166*$C$1/100)</f>
        <v>72</v>
      </c>
      <c r="AP166" s="935">
        <f t="shared" ref="AP166:AP180" si="53">AO166-AM166</f>
        <v>-12</v>
      </c>
      <c r="AQ166" s="936">
        <v>5</v>
      </c>
      <c r="AR166" s="931">
        <v>420</v>
      </c>
      <c r="AS166" s="931">
        <v>840</v>
      </c>
      <c r="AT166" s="931">
        <v>21</v>
      </c>
      <c r="AU166" s="935">
        <v>42</v>
      </c>
      <c r="AV166" s="937">
        <v>15</v>
      </c>
      <c r="AW166" s="931">
        <v>400000</v>
      </c>
      <c r="AX166" s="931">
        <v>0</v>
      </c>
      <c r="AY166" s="931">
        <v>0</v>
      </c>
      <c r="AZ166" s="931">
        <v>0</v>
      </c>
      <c r="BA166" s="931">
        <v>630</v>
      </c>
      <c r="BB166" s="938">
        <v>40.181051587301589</v>
      </c>
      <c r="BC166" s="939">
        <v>26666</v>
      </c>
      <c r="BD166" s="930">
        <v>100</v>
      </c>
      <c r="BE166" s="931">
        <v>50</v>
      </c>
      <c r="BF166" s="931">
        <f t="shared" ref="BF166:BF180" si="54">INT(BE166*$C$1/100)</f>
        <v>86</v>
      </c>
      <c r="BG166" s="935">
        <f t="shared" ref="BG166:BG180" si="55">BF166-BD166</f>
        <v>-14</v>
      </c>
      <c r="BH166" s="936">
        <v>5</v>
      </c>
      <c r="BI166" s="931">
        <v>500</v>
      </c>
      <c r="BJ166" s="931">
        <v>1000</v>
      </c>
      <c r="BK166" s="931">
        <v>25</v>
      </c>
      <c r="BL166" s="935">
        <v>50</v>
      </c>
      <c r="BM166" s="937">
        <v>28</v>
      </c>
      <c r="BN166" s="931">
        <v>800000</v>
      </c>
      <c r="BO166" s="931">
        <v>0</v>
      </c>
      <c r="BP166" s="931">
        <v>0</v>
      </c>
      <c r="BQ166" s="931">
        <v>0</v>
      </c>
      <c r="BR166" s="931">
        <v>1400</v>
      </c>
      <c r="BS166" s="938">
        <v>67.646666666666661</v>
      </c>
      <c r="BT166" s="939">
        <v>28571</v>
      </c>
      <c r="BU166" s="930">
        <v>134</v>
      </c>
      <c r="BV166" s="931">
        <v>67</v>
      </c>
      <c r="BW166" s="931">
        <f t="shared" ref="BW166:BW180" si="56">INT(BV166*$C$1/100)</f>
        <v>116</v>
      </c>
      <c r="BX166" s="935">
        <f t="shared" ref="BX166:BX180" si="57">BW166-BU166</f>
        <v>-18</v>
      </c>
      <c r="BY166" s="936">
        <v>5</v>
      </c>
      <c r="BZ166" s="931">
        <v>670</v>
      </c>
      <c r="CA166" s="931">
        <v>1340</v>
      </c>
      <c r="CB166" s="931">
        <v>33</v>
      </c>
      <c r="CC166" s="935">
        <v>67</v>
      </c>
      <c r="CD166" s="937">
        <v>42</v>
      </c>
      <c r="CE166" s="931">
        <v>1200000</v>
      </c>
      <c r="CF166" s="931">
        <v>0</v>
      </c>
      <c r="CG166" s="931">
        <v>0</v>
      </c>
      <c r="CH166" s="931">
        <v>0</v>
      </c>
      <c r="CI166" s="931">
        <v>2814</v>
      </c>
      <c r="CJ166" s="938">
        <v>75.932835820895519</v>
      </c>
      <c r="CK166" s="939">
        <v>28571</v>
      </c>
      <c r="CL166" s="930">
        <v>200</v>
      </c>
      <c r="CM166" s="931">
        <v>100</v>
      </c>
      <c r="CN166" s="931">
        <f t="shared" ref="CN166:CN180" si="58">INT(CM166*$C$1/100)</f>
        <v>173</v>
      </c>
      <c r="CO166" s="935">
        <f t="shared" ref="CO166:CO180" si="59">CN166-CL166</f>
        <v>-27</v>
      </c>
      <c r="CP166" s="936">
        <v>5</v>
      </c>
      <c r="CQ166" s="931">
        <v>1000</v>
      </c>
      <c r="CR166" s="931">
        <v>2000</v>
      </c>
      <c r="CS166" s="931">
        <v>50</v>
      </c>
      <c r="CT166" s="935">
        <v>100</v>
      </c>
      <c r="CU166" s="937">
        <v>54</v>
      </c>
      <c r="CV166" s="931">
        <v>1600000</v>
      </c>
      <c r="CW166" s="931">
        <v>0</v>
      </c>
      <c r="CX166" s="931">
        <v>0</v>
      </c>
      <c r="CY166" s="931">
        <v>0</v>
      </c>
      <c r="CZ166" s="931">
        <v>5400</v>
      </c>
      <c r="DA166" s="938">
        <v>68.174166666666665</v>
      </c>
      <c r="DB166" s="939">
        <v>29629</v>
      </c>
      <c r="DC166" s="940">
        <v>144</v>
      </c>
      <c r="DD166" s="931">
        <v>4000000</v>
      </c>
      <c r="DE166" s="941">
        <v>0</v>
      </c>
      <c r="DF166" s="941">
        <v>0</v>
      </c>
      <c r="DG166" s="941">
        <v>0</v>
      </c>
      <c r="DH166" s="931">
        <v>10412</v>
      </c>
      <c r="DI166" s="938">
        <v>166.66666666666666</v>
      </c>
      <c r="DJ166" s="939">
        <v>27777.777777777777</v>
      </c>
      <c r="DK166" s="942">
        <v>0</v>
      </c>
      <c r="DL166" s="943" t="s">
        <v>43</v>
      </c>
      <c r="DM166" s="944">
        <v>250</v>
      </c>
      <c r="DN166" s="945">
        <v>777</v>
      </c>
      <c r="DO166" s="946"/>
      <c r="DP166" s="946"/>
      <c r="DQ166" s="946"/>
      <c r="DR166" s="946"/>
      <c r="DS166" s="946"/>
      <c r="DT166" s="946"/>
      <c r="DU166" s="946"/>
      <c r="DV166" s="946"/>
      <c r="DW166" s="946"/>
      <c r="DX166" s="947"/>
      <c r="DY166" s="948" t="s">
        <v>43</v>
      </c>
      <c r="DZ166" s="949"/>
      <c r="EA166" s="950"/>
      <c r="EB166" s="950"/>
      <c r="EC166" s="951"/>
      <c r="ED166" s="952">
        <v>75</v>
      </c>
      <c r="EE166" s="931">
        <v>225</v>
      </c>
      <c r="EF166" s="931">
        <v>420</v>
      </c>
      <c r="EG166" s="931">
        <v>630</v>
      </c>
      <c r="EH166" s="935">
        <v>810</v>
      </c>
      <c r="EI166" s="953">
        <v>4</v>
      </c>
      <c r="EJ166" s="954" t="s">
        <v>598</v>
      </c>
    </row>
    <row r="167" spans="2:140">
      <c r="B167" s="100" t="s">
        <v>223</v>
      </c>
      <c r="C167" s="917" t="s">
        <v>186</v>
      </c>
      <c r="D167" s="918"/>
      <c r="E167" s="919" t="s">
        <v>43</v>
      </c>
      <c r="F167" s="920" t="s">
        <v>43</v>
      </c>
      <c r="G167" s="921"/>
      <c r="H167" s="922">
        <v>2</v>
      </c>
      <c r="I167" s="923" t="s">
        <v>186</v>
      </c>
      <c r="J167" s="924">
        <v>2</v>
      </c>
      <c r="K167" s="925">
        <v>0.05</v>
      </c>
      <c r="L167" s="926">
        <v>2</v>
      </c>
      <c r="M167" s="927">
        <v>1</v>
      </c>
      <c r="N167" s="920">
        <v>8006</v>
      </c>
      <c r="O167" s="928">
        <v>42351</v>
      </c>
      <c r="P167" s="929" t="s">
        <v>206</v>
      </c>
      <c r="Q167" s="930">
        <v>200</v>
      </c>
      <c r="R167" s="931">
        <v>100</v>
      </c>
      <c r="S167" s="932">
        <v>2000</v>
      </c>
      <c r="T167" s="933" t="s">
        <v>563</v>
      </c>
      <c r="U167" s="934" t="s">
        <v>575</v>
      </c>
      <c r="V167" s="930">
        <v>67</v>
      </c>
      <c r="W167" s="931">
        <v>34</v>
      </c>
      <c r="X167" s="931">
        <f t="shared" si="50"/>
        <v>58</v>
      </c>
      <c r="Y167" s="935">
        <f t="shared" si="51"/>
        <v>-9</v>
      </c>
      <c r="Z167" s="936">
        <v>5</v>
      </c>
      <c r="AA167" s="931">
        <v>335</v>
      </c>
      <c r="AB167" s="931">
        <v>670</v>
      </c>
      <c r="AC167" s="931">
        <v>16</v>
      </c>
      <c r="AD167" s="935">
        <v>33</v>
      </c>
      <c r="AE167" s="937">
        <v>6</v>
      </c>
      <c r="AF167" s="931">
        <v>0</v>
      </c>
      <c r="AG167" s="931">
        <v>0</v>
      </c>
      <c r="AH167" s="931">
        <v>0</v>
      </c>
      <c r="AI167" s="931">
        <v>0</v>
      </c>
      <c r="AJ167" s="931">
        <v>168</v>
      </c>
      <c r="AK167" s="938">
        <v>0</v>
      </c>
      <c r="AL167" s="939">
        <v>0</v>
      </c>
      <c r="AM167" s="930">
        <v>84</v>
      </c>
      <c r="AN167" s="931">
        <v>42</v>
      </c>
      <c r="AO167" s="931">
        <f t="shared" si="52"/>
        <v>72</v>
      </c>
      <c r="AP167" s="935">
        <f t="shared" si="53"/>
        <v>-12</v>
      </c>
      <c r="AQ167" s="936">
        <v>5</v>
      </c>
      <c r="AR167" s="931">
        <v>420</v>
      </c>
      <c r="AS167" s="931">
        <v>840</v>
      </c>
      <c r="AT167" s="931">
        <v>21</v>
      </c>
      <c r="AU167" s="935">
        <v>42</v>
      </c>
      <c r="AV167" s="937">
        <v>18</v>
      </c>
      <c r="AW167" s="931">
        <v>300000</v>
      </c>
      <c r="AX167" s="931">
        <v>0</v>
      </c>
      <c r="AY167" s="931">
        <v>0</v>
      </c>
      <c r="AZ167" s="931">
        <v>0</v>
      </c>
      <c r="BA167" s="931">
        <v>630</v>
      </c>
      <c r="BB167" s="938">
        <v>30.360119047619047</v>
      </c>
      <c r="BC167" s="939">
        <v>16666</v>
      </c>
      <c r="BD167" s="930">
        <v>100</v>
      </c>
      <c r="BE167" s="931">
        <v>50</v>
      </c>
      <c r="BF167" s="931">
        <f t="shared" si="54"/>
        <v>86</v>
      </c>
      <c r="BG167" s="935">
        <f t="shared" si="55"/>
        <v>-14</v>
      </c>
      <c r="BH167" s="936">
        <v>5</v>
      </c>
      <c r="BI167" s="931">
        <v>500</v>
      </c>
      <c r="BJ167" s="931">
        <v>1000</v>
      </c>
      <c r="BK167" s="931">
        <v>25</v>
      </c>
      <c r="BL167" s="935">
        <v>50</v>
      </c>
      <c r="BM167" s="937">
        <v>30</v>
      </c>
      <c r="BN167" s="931">
        <v>600000</v>
      </c>
      <c r="BO167" s="931">
        <v>0</v>
      </c>
      <c r="BP167" s="931">
        <v>0</v>
      </c>
      <c r="BQ167" s="931">
        <v>0</v>
      </c>
      <c r="BR167" s="931">
        <v>1400</v>
      </c>
      <c r="BS167" s="938">
        <v>51.050000000000004</v>
      </c>
      <c r="BT167" s="939">
        <v>20000</v>
      </c>
      <c r="BU167" s="930">
        <v>134</v>
      </c>
      <c r="BV167" s="931">
        <v>67</v>
      </c>
      <c r="BW167" s="931">
        <f t="shared" si="56"/>
        <v>116</v>
      </c>
      <c r="BX167" s="935">
        <f t="shared" si="57"/>
        <v>-18</v>
      </c>
      <c r="BY167" s="936">
        <v>5</v>
      </c>
      <c r="BZ167" s="931">
        <v>670</v>
      </c>
      <c r="CA167" s="931">
        <v>1340</v>
      </c>
      <c r="CB167" s="931">
        <v>33</v>
      </c>
      <c r="CC167" s="935">
        <v>67</v>
      </c>
      <c r="CD167" s="937">
        <v>42</v>
      </c>
      <c r="CE167" s="931">
        <v>900000</v>
      </c>
      <c r="CF167" s="931">
        <v>0</v>
      </c>
      <c r="CG167" s="931">
        <v>0</v>
      </c>
      <c r="CH167" s="931">
        <v>0</v>
      </c>
      <c r="CI167" s="931">
        <v>2814</v>
      </c>
      <c r="CJ167" s="938">
        <v>57.276119402985074</v>
      </c>
      <c r="CK167" s="939">
        <v>21428</v>
      </c>
      <c r="CL167" s="930">
        <v>200</v>
      </c>
      <c r="CM167" s="931">
        <v>100</v>
      </c>
      <c r="CN167" s="931">
        <f t="shared" si="58"/>
        <v>173</v>
      </c>
      <c r="CO167" s="935">
        <f t="shared" si="59"/>
        <v>-27</v>
      </c>
      <c r="CP167" s="936">
        <v>5</v>
      </c>
      <c r="CQ167" s="931">
        <v>1000</v>
      </c>
      <c r="CR167" s="931">
        <v>2000</v>
      </c>
      <c r="CS167" s="931">
        <v>50</v>
      </c>
      <c r="CT167" s="935">
        <v>100</v>
      </c>
      <c r="CU167" s="937">
        <v>60</v>
      </c>
      <c r="CV167" s="931">
        <v>1200000</v>
      </c>
      <c r="CW167" s="931">
        <v>0</v>
      </c>
      <c r="CX167" s="931">
        <v>0</v>
      </c>
      <c r="CY167" s="931">
        <v>0</v>
      </c>
      <c r="CZ167" s="931">
        <v>5400</v>
      </c>
      <c r="DA167" s="938">
        <v>51.675000000000004</v>
      </c>
      <c r="DB167" s="939">
        <v>20000</v>
      </c>
      <c r="DC167" s="940">
        <v>156</v>
      </c>
      <c r="DD167" s="931">
        <v>3000000</v>
      </c>
      <c r="DE167" s="941">
        <v>0</v>
      </c>
      <c r="DF167" s="941">
        <v>0</v>
      </c>
      <c r="DG167" s="941">
        <v>0</v>
      </c>
      <c r="DH167" s="931">
        <v>10412</v>
      </c>
      <c r="DI167" s="938">
        <v>125</v>
      </c>
      <c r="DJ167" s="939">
        <v>19230.76923076923</v>
      </c>
      <c r="DK167" s="942">
        <v>0</v>
      </c>
      <c r="DL167" s="943" t="s">
        <v>43</v>
      </c>
      <c r="DM167" s="944">
        <v>250</v>
      </c>
      <c r="DN167" s="945">
        <v>777</v>
      </c>
      <c r="DO167" s="946"/>
      <c r="DP167" s="946"/>
      <c r="DQ167" s="946"/>
      <c r="DR167" s="946"/>
      <c r="DS167" s="946"/>
      <c r="DT167" s="946"/>
      <c r="DU167" s="946"/>
      <c r="DV167" s="946"/>
      <c r="DW167" s="946"/>
      <c r="DX167" s="947"/>
      <c r="DY167" s="948" t="s">
        <v>43</v>
      </c>
      <c r="DZ167" s="949"/>
      <c r="EA167" s="950"/>
      <c r="EB167" s="950"/>
      <c r="EC167" s="951"/>
      <c r="ED167" s="952">
        <v>85</v>
      </c>
      <c r="EE167" s="931">
        <v>253</v>
      </c>
      <c r="EF167" s="931">
        <v>421</v>
      </c>
      <c r="EG167" s="931">
        <v>589</v>
      </c>
      <c r="EH167" s="935">
        <v>841</v>
      </c>
      <c r="EI167" s="953">
        <v>4.2352941176470589</v>
      </c>
      <c r="EJ167" s="954" t="s">
        <v>600</v>
      </c>
    </row>
    <row r="168" spans="2:140">
      <c r="B168" s="100" t="s">
        <v>224</v>
      </c>
      <c r="C168" s="917" t="s">
        <v>186</v>
      </c>
      <c r="D168" s="918"/>
      <c r="E168" s="919" t="s">
        <v>43</v>
      </c>
      <c r="F168" s="920" t="s">
        <v>43</v>
      </c>
      <c r="G168" s="921"/>
      <c r="H168" s="922">
        <v>2</v>
      </c>
      <c r="I168" s="923" t="s">
        <v>186</v>
      </c>
      <c r="J168" s="924">
        <v>2</v>
      </c>
      <c r="K168" s="925">
        <v>0.05</v>
      </c>
      <c r="L168" s="926">
        <v>2</v>
      </c>
      <c r="M168" s="927">
        <v>1</v>
      </c>
      <c r="N168" s="920">
        <v>8007</v>
      </c>
      <c r="O168" s="928">
        <v>42351</v>
      </c>
      <c r="P168" s="929" t="s">
        <v>206</v>
      </c>
      <c r="Q168" s="930">
        <v>200</v>
      </c>
      <c r="R168" s="931">
        <v>100</v>
      </c>
      <c r="S168" s="932">
        <v>2000</v>
      </c>
      <c r="T168" s="933" t="s">
        <v>565</v>
      </c>
      <c r="U168" s="934" t="s">
        <v>575</v>
      </c>
      <c r="V168" s="930">
        <v>67</v>
      </c>
      <c r="W168" s="931">
        <v>34</v>
      </c>
      <c r="X168" s="931">
        <f t="shared" si="50"/>
        <v>58</v>
      </c>
      <c r="Y168" s="935">
        <f t="shared" si="51"/>
        <v>-9</v>
      </c>
      <c r="Z168" s="936">
        <v>5</v>
      </c>
      <c r="AA168" s="931">
        <v>335</v>
      </c>
      <c r="AB168" s="931">
        <v>670</v>
      </c>
      <c r="AC168" s="931">
        <v>16</v>
      </c>
      <c r="AD168" s="935">
        <v>33</v>
      </c>
      <c r="AE168" s="937">
        <v>6</v>
      </c>
      <c r="AF168" s="931">
        <v>0</v>
      </c>
      <c r="AG168" s="931">
        <v>0</v>
      </c>
      <c r="AH168" s="931">
        <v>0</v>
      </c>
      <c r="AI168" s="931">
        <v>0</v>
      </c>
      <c r="AJ168" s="931">
        <v>168</v>
      </c>
      <c r="AK168" s="938">
        <v>0</v>
      </c>
      <c r="AL168" s="939">
        <v>0</v>
      </c>
      <c r="AM168" s="930">
        <v>84</v>
      </c>
      <c r="AN168" s="931">
        <v>42</v>
      </c>
      <c r="AO168" s="931">
        <f t="shared" si="52"/>
        <v>72</v>
      </c>
      <c r="AP168" s="935">
        <f t="shared" si="53"/>
        <v>-12</v>
      </c>
      <c r="AQ168" s="936">
        <v>5</v>
      </c>
      <c r="AR168" s="931">
        <v>420</v>
      </c>
      <c r="AS168" s="931">
        <v>840</v>
      </c>
      <c r="AT168" s="931">
        <v>21</v>
      </c>
      <c r="AU168" s="935">
        <v>42</v>
      </c>
      <c r="AV168" s="937">
        <v>18</v>
      </c>
      <c r="AW168" s="931">
        <v>300000</v>
      </c>
      <c r="AX168" s="931">
        <v>0</v>
      </c>
      <c r="AY168" s="931">
        <v>0</v>
      </c>
      <c r="AZ168" s="931">
        <v>0</v>
      </c>
      <c r="BA168" s="931">
        <v>630</v>
      </c>
      <c r="BB168" s="938">
        <v>30.360119047619047</v>
      </c>
      <c r="BC168" s="939">
        <v>16666</v>
      </c>
      <c r="BD168" s="930">
        <v>100</v>
      </c>
      <c r="BE168" s="931">
        <v>50</v>
      </c>
      <c r="BF168" s="931">
        <f t="shared" si="54"/>
        <v>86</v>
      </c>
      <c r="BG168" s="935">
        <f t="shared" si="55"/>
        <v>-14</v>
      </c>
      <c r="BH168" s="936">
        <v>5</v>
      </c>
      <c r="BI168" s="931">
        <v>500</v>
      </c>
      <c r="BJ168" s="931">
        <v>1000</v>
      </c>
      <c r="BK168" s="931">
        <v>25</v>
      </c>
      <c r="BL168" s="935">
        <v>50</v>
      </c>
      <c r="BM168" s="937">
        <v>30</v>
      </c>
      <c r="BN168" s="931">
        <v>600000</v>
      </c>
      <c r="BO168" s="931">
        <v>0</v>
      </c>
      <c r="BP168" s="931">
        <v>0</v>
      </c>
      <c r="BQ168" s="931">
        <v>0</v>
      </c>
      <c r="BR168" s="931">
        <v>1400</v>
      </c>
      <c r="BS168" s="938">
        <v>51.050000000000004</v>
      </c>
      <c r="BT168" s="939">
        <v>20000</v>
      </c>
      <c r="BU168" s="930">
        <v>134</v>
      </c>
      <c r="BV168" s="931">
        <v>67</v>
      </c>
      <c r="BW168" s="931">
        <f t="shared" si="56"/>
        <v>116</v>
      </c>
      <c r="BX168" s="935">
        <f t="shared" si="57"/>
        <v>-18</v>
      </c>
      <c r="BY168" s="936">
        <v>5</v>
      </c>
      <c r="BZ168" s="931">
        <v>670</v>
      </c>
      <c r="CA168" s="931">
        <v>1340</v>
      </c>
      <c r="CB168" s="931">
        <v>33</v>
      </c>
      <c r="CC168" s="935">
        <v>67</v>
      </c>
      <c r="CD168" s="937">
        <v>42</v>
      </c>
      <c r="CE168" s="931">
        <v>900000</v>
      </c>
      <c r="CF168" s="931">
        <v>0</v>
      </c>
      <c r="CG168" s="931">
        <v>0</v>
      </c>
      <c r="CH168" s="931">
        <v>0</v>
      </c>
      <c r="CI168" s="931">
        <v>2814</v>
      </c>
      <c r="CJ168" s="938">
        <v>57.276119402985074</v>
      </c>
      <c r="CK168" s="939">
        <v>21428</v>
      </c>
      <c r="CL168" s="930">
        <v>200</v>
      </c>
      <c r="CM168" s="931">
        <v>100</v>
      </c>
      <c r="CN168" s="931">
        <f t="shared" si="58"/>
        <v>173</v>
      </c>
      <c r="CO168" s="935">
        <f t="shared" si="59"/>
        <v>-27</v>
      </c>
      <c r="CP168" s="936">
        <v>5</v>
      </c>
      <c r="CQ168" s="931">
        <v>1000</v>
      </c>
      <c r="CR168" s="931">
        <v>2000</v>
      </c>
      <c r="CS168" s="931">
        <v>50</v>
      </c>
      <c r="CT168" s="935">
        <v>100</v>
      </c>
      <c r="CU168" s="937">
        <v>60</v>
      </c>
      <c r="CV168" s="931">
        <v>1200000</v>
      </c>
      <c r="CW168" s="931">
        <v>0</v>
      </c>
      <c r="CX168" s="931">
        <v>0</v>
      </c>
      <c r="CY168" s="931">
        <v>0</v>
      </c>
      <c r="CZ168" s="931">
        <v>5400</v>
      </c>
      <c r="DA168" s="938">
        <v>51.675000000000004</v>
      </c>
      <c r="DB168" s="939">
        <v>20000</v>
      </c>
      <c r="DC168" s="940">
        <v>156</v>
      </c>
      <c r="DD168" s="931">
        <v>3000000</v>
      </c>
      <c r="DE168" s="941">
        <v>0</v>
      </c>
      <c r="DF168" s="941">
        <v>0</v>
      </c>
      <c r="DG168" s="941">
        <v>0</v>
      </c>
      <c r="DH168" s="931">
        <v>10412</v>
      </c>
      <c r="DI168" s="938">
        <v>125</v>
      </c>
      <c r="DJ168" s="939">
        <v>19230.76923076923</v>
      </c>
      <c r="DK168" s="942">
        <v>0</v>
      </c>
      <c r="DL168" s="943" t="s">
        <v>43</v>
      </c>
      <c r="DM168" s="944">
        <v>250</v>
      </c>
      <c r="DN168" s="945">
        <v>777</v>
      </c>
      <c r="DO168" s="946"/>
      <c r="DP168" s="946"/>
      <c r="DQ168" s="946"/>
      <c r="DR168" s="946"/>
      <c r="DS168" s="946"/>
      <c r="DT168" s="946"/>
      <c r="DU168" s="946"/>
      <c r="DV168" s="946"/>
      <c r="DW168" s="946"/>
      <c r="DX168" s="947"/>
      <c r="DY168" s="948" t="s">
        <v>43</v>
      </c>
      <c r="DZ168" s="949"/>
      <c r="EA168" s="950"/>
      <c r="EB168" s="950"/>
      <c r="EC168" s="951"/>
      <c r="ED168" s="952">
        <v>85</v>
      </c>
      <c r="EE168" s="931">
        <v>253</v>
      </c>
      <c r="EF168" s="931">
        <v>421</v>
      </c>
      <c r="EG168" s="931">
        <v>589</v>
      </c>
      <c r="EH168" s="935">
        <v>841</v>
      </c>
      <c r="EI168" s="953">
        <v>4.2352941176470589</v>
      </c>
      <c r="EJ168" s="954" t="s">
        <v>602</v>
      </c>
    </row>
    <row r="169" spans="2:140">
      <c r="B169" s="100" t="s">
        <v>235</v>
      </c>
      <c r="C169" s="917" t="s">
        <v>186</v>
      </c>
      <c r="D169" s="918"/>
      <c r="E169" s="919" t="s">
        <v>43</v>
      </c>
      <c r="F169" s="920" t="s">
        <v>43</v>
      </c>
      <c r="G169" s="921"/>
      <c r="H169" s="922">
        <v>1</v>
      </c>
      <c r="I169" s="923" t="s">
        <v>186</v>
      </c>
      <c r="J169" s="924">
        <v>2</v>
      </c>
      <c r="K169" s="925">
        <v>0.05</v>
      </c>
      <c r="L169" s="926">
        <v>2</v>
      </c>
      <c r="M169" s="927">
        <v>1</v>
      </c>
      <c r="N169" s="920">
        <v>8008</v>
      </c>
      <c r="O169" s="928">
        <v>42364</v>
      </c>
      <c r="P169" s="929" t="s">
        <v>206</v>
      </c>
      <c r="Q169" s="930">
        <v>200</v>
      </c>
      <c r="R169" s="931">
        <v>100</v>
      </c>
      <c r="S169" s="932">
        <v>2000</v>
      </c>
      <c r="T169" s="933" t="s">
        <v>541</v>
      </c>
      <c r="U169" s="934" t="s">
        <v>577</v>
      </c>
      <c r="V169" s="930">
        <v>67</v>
      </c>
      <c r="W169" s="931">
        <v>34</v>
      </c>
      <c r="X169" s="931">
        <f t="shared" si="50"/>
        <v>58</v>
      </c>
      <c r="Y169" s="935">
        <f t="shared" si="51"/>
        <v>-9</v>
      </c>
      <c r="Z169" s="936">
        <v>5</v>
      </c>
      <c r="AA169" s="931">
        <v>335</v>
      </c>
      <c r="AB169" s="931">
        <v>670</v>
      </c>
      <c r="AC169" s="931">
        <v>16</v>
      </c>
      <c r="AD169" s="935">
        <v>33</v>
      </c>
      <c r="AE169" s="937">
        <v>3</v>
      </c>
      <c r="AF169" s="931">
        <v>0</v>
      </c>
      <c r="AG169" s="931">
        <v>0</v>
      </c>
      <c r="AH169" s="931">
        <v>0</v>
      </c>
      <c r="AI169" s="931">
        <v>0</v>
      </c>
      <c r="AJ169" s="931">
        <v>168</v>
      </c>
      <c r="AK169" s="938">
        <v>0</v>
      </c>
      <c r="AL169" s="939">
        <v>0</v>
      </c>
      <c r="AM169" s="930">
        <v>84</v>
      </c>
      <c r="AN169" s="931">
        <v>42</v>
      </c>
      <c r="AO169" s="931">
        <f t="shared" si="52"/>
        <v>72</v>
      </c>
      <c r="AP169" s="935">
        <f t="shared" si="53"/>
        <v>-12</v>
      </c>
      <c r="AQ169" s="936">
        <v>5</v>
      </c>
      <c r="AR169" s="931">
        <v>420</v>
      </c>
      <c r="AS169" s="931">
        <v>840</v>
      </c>
      <c r="AT169" s="931">
        <v>21</v>
      </c>
      <c r="AU169" s="935">
        <v>42</v>
      </c>
      <c r="AV169" s="937">
        <v>12</v>
      </c>
      <c r="AW169" s="931">
        <v>10</v>
      </c>
      <c r="AX169" s="931">
        <v>0</v>
      </c>
      <c r="AY169" s="931">
        <v>0</v>
      </c>
      <c r="AZ169" s="931">
        <v>0</v>
      </c>
      <c r="BA169" s="931">
        <v>630</v>
      </c>
      <c r="BB169" s="938">
        <v>0.39980158730158727</v>
      </c>
      <c r="BC169" s="939">
        <v>0</v>
      </c>
      <c r="BD169" s="930">
        <v>100</v>
      </c>
      <c r="BE169" s="931">
        <v>50</v>
      </c>
      <c r="BF169" s="931">
        <f t="shared" si="54"/>
        <v>86</v>
      </c>
      <c r="BG169" s="935">
        <f t="shared" si="55"/>
        <v>-14</v>
      </c>
      <c r="BH169" s="936">
        <v>5</v>
      </c>
      <c r="BI169" s="931">
        <v>500</v>
      </c>
      <c r="BJ169" s="931">
        <v>1000</v>
      </c>
      <c r="BK169" s="931">
        <v>25</v>
      </c>
      <c r="BL169" s="935">
        <v>50</v>
      </c>
      <c r="BM169" s="937">
        <v>18</v>
      </c>
      <c r="BN169" s="931">
        <v>20</v>
      </c>
      <c r="BO169" s="931">
        <v>0</v>
      </c>
      <c r="BP169" s="931">
        <v>0</v>
      </c>
      <c r="BQ169" s="931">
        <v>0</v>
      </c>
      <c r="BR169" s="931">
        <v>1400</v>
      </c>
      <c r="BS169" s="938">
        <v>0.63166666666666671</v>
      </c>
      <c r="BT169" s="939">
        <v>1</v>
      </c>
      <c r="BU169" s="930">
        <v>134</v>
      </c>
      <c r="BV169" s="931">
        <v>67</v>
      </c>
      <c r="BW169" s="931">
        <f t="shared" si="56"/>
        <v>116</v>
      </c>
      <c r="BX169" s="935">
        <f t="shared" si="57"/>
        <v>-18</v>
      </c>
      <c r="BY169" s="936">
        <v>5</v>
      </c>
      <c r="BZ169" s="931">
        <v>670</v>
      </c>
      <c r="CA169" s="931">
        <v>1340</v>
      </c>
      <c r="CB169" s="931">
        <v>33</v>
      </c>
      <c r="CC169" s="935">
        <v>67</v>
      </c>
      <c r="CD169" s="937">
        <v>27</v>
      </c>
      <c r="CE169" s="931">
        <v>30</v>
      </c>
      <c r="CF169" s="931">
        <v>0</v>
      </c>
      <c r="CG169" s="931">
        <v>0</v>
      </c>
      <c r="CH169" s="931">
        <v>0</v>
      </c>
      <c r="CI169" s="931">
        <v>2814</v>
      </c>
      <c r="CJ169" s="938">
        <v>0.84141791044776115</v>
      </c>
      <c r="CK169" s="939">
        <v>1</v>
      </c>
      <c r="CL169" s="930">
        <v>200</v>
      </c>
      <c r="CM169" s="931">
        <v>100</v>
      </c>
      <c r="CN169" s="931">
        <f t="shared" si="58"/>
        <v>173</v>
      </c>
      <c r="CO169" s="935">
        <f t="shared" si="59"/>
        <v>-27</v>
      </c>
      <c r="CP169" s="936">
        <v>5</v>
      </c>
      <c r="CQ169" s="931">
        <v>1000</v>
      </c>
      <c r="CR169" s="931">
        <v>2000</v>
      </c>
      <c r="CS169" s="931">
        <v>50</v>
      </c>
      <c r="CT169" s="935">
        <v>100</v>
      </c>
      <c r="CU169" s="937">
        <v>36</v>
      </c>
      <c r="CV169" s="931">
        <v>40</v>
      </c>
      <c r="CW169" s="931">
        <v>0</v>
      </c>
      <c r="CX169" s="931">
        <v>0</v>
      </c>
      <c r="CY169" s="931">
        <v>0</v>
      </c>
      <c r="CZ169" s="931">
        <v>5400</v>
      </c>
      <c r="DA169" s="938">
        <v>1.0066666666666666</v>
      </c>
      <c r="DB169" s="939">
        <v>1</v>
      </c>
      <c r="DC169" s="940">
        <v>96</v>
      </c>
      <c r="DD169" s="931">
        <v>100</v>
      </c>
      <c r="DE169" s="941">
        <v>0</v>
      </c>
      <c r="DF169" s="941">
        <v>0</v>
      </c>
      <c r="DG169" s="941">
        <v>0</v>
      </c>
      <c r="DH169" s="931">
        <v>10412</v>
      </c>
      <c r="DI169" s="938">
        <v>4.1666666666666666E-3</v>
      </c>
      <c r="DJ169" s="939">
        <v>1.0416666666666667</v>
      </c>
      <c r="DK169" s="942">
        <v>0</v>
      </c>
      <c r="DL169" s="943" t="s">
        <v>43</v>
      </c>
      <c r="DM169" s="944">
        <v>111</v>
      </c>
      <c r="DN169" s="945">
        <v>333</v>
      </c>
      <c r="DO169" s="946"/>
      <c r="DP169" s="946"/>
      <c r="DQ169" s="946"/>
      <c r="DR169" s="946"/>
      <c r="DS169" s="946"/>
      <c r="DT169" s="946"/>
      <c r="DU169" s="946"/>
      <c r="DV169" s="946"/>
      <c r="DW169" s="946"/>
      <c r="DX169" s="947"/>
      <c r="DY169" s="948" t="s">
        <v>43</v>
      </c>
      <c r="DZ169" s="949"/>
      <c r="EA169" s="950"/>
      <c r="EB169" s="950"/>
      <c r="EC169" s="951"/>
      <c r="ED169" s="952">
        <v>60</v>
      </c>
      <c r="EE169" s="931">
        <v>240</v>
      </c>
      <c r="EF169" s="931">
        <v>360</v>
      </c>
      <c r="EG169" s="931">
        <v>540</v>
      </c>
      <c r="EH169" s="935">
        <v>720</v>
      </c>
      <c r="EI169" s="953">
        <v>3</v>
      </c>
      <c r="EJ169" s="954" t="s">
        <v>604</v>
      </c>
    </row>
    <row r="170" spans="2:140">
      <c r="B170" s="100" t="s">
        <v>236</v>
      </c>
      <c r="C170" s="917" t="s">
        <v>186</v>
      </c>
      <c r="D170" s="918"/>
      <c r="E170" s="919" t="s">
        <v>43</v>
      </c>
      <c r="F170" s="920" t="s">
        <v>43</v>
      </c>
      <c r="G170" s="921"/>
      <c r="H170" s="922">
        <v>2</v>
      </c>
      <c r="I170" s="923" t="s">
        <v>186</v>
      </c>
      <c r="J170" s="924">
        <v>2</v>
      </c>
      <c r="K170" s="925">
        <v>0.05</v>
      </c>
      <c r="L170" s="926">
        <v>2</v>
      </c>
      <c r="M170" s="927">
        <v>1</v>
      </c>
      <c r="N170" s="920">
        <v>8009</v>
      </c>
      <c r="O170" s="928">
        <v>42364</v>
      </c>
      <c r="P170" s="929" t="s">
        <v>206</v>
      </c>
      <c r="Q170" s="930">
        <v>200</v>
      </c>
      <c r="R170" s="931">
        <v>100</v>
      </c>
      <c r="S170" s="932">
        <v>2000</v>
      </c>
      <c r="T170" s="933" t="s">
        <v>553</v>
      </c>
      <c r="U170" s="934" t="s">
        <v>577</v>
      </c>
      <c r="V170" s="930">
        <v>67</v>
      </c>
      <c r="W170" s="931">
        <v>34</v>
      </c>
      <c r="X170" s="931">
        <f t="shared" si="50"/>
        <v>58</v>
      </c>
      <c r="Y170" s="935">
        <f t="shared" si="51"/>
        <v>-9</v>
      </c>
      <c r="Z170" s="936">
        <v>5</v>
      </c>
      <c r="AA170" s="931">
        <v>335</v>
      </c>
      <c r="AB170" s="931">
        <v>670</v>
      </c>
      <c r="AC170" s="931">
        <v>16</v>
      </c>
      <c r="AD170" s="935">
        <v>33</v>
      </c>
      <c r="AE170" s="937">
        <v>3</v>
      </c>
      <c r="AF170" s="931">
        <v>0</v>
      </c>
      <c r="AG170" s="931">
        <v>0</v>
      </c>
      <c r="AH170" s="931">
        <v>0</v>
      </c>
      <c r="AI170" s="931">
        <v>0</v>
      </c>
      <c r="AJ170" s="931">
        <v>168</v>
      </c>
      <c r="AK170" s="938">
        <v>0</v>
      </c>
      <c r="AL170" s="939">
        <v>0</v>
      </c>
      <c r="AM170" s="930">
        <v>84</v>
      </c>
      <c r="AN170" s="931">
        <v>42</v>
      </c>
      <c r="AO170" s="931">
        <f t="shared" si="52"/>
        <v>72</v>
      </c>
      <c r="AP170" s="935">
        <f t="shared" si="53"/>
        <v>-12</v>
      </c>
      <c r="AQ170" s="936">
        <v>5</v>
      </c>
      <c r="AR170" s="931">
        <v>420</v>
      </c>
      <c r="AS170" s="931">
        <v>840</v>
      </c>
      <c r="AT170" s="931">
        <v>21</v>
      </c>
      <c r="AU170" s="935">
        <v>42</v>
      </c>
      <c r="AV170" s="937">
        <v>12</v>
      </c>
      <c r="AW170" s="931">
        <v>10</v>
      </c>
      <c r="AX170" s="931">
        <v>0</v>
      </c>
      <c r="AY170" s="931">
        <v>0</v>
      </c>
      <c r="AZ170" s="931">
        <v>0</v>
      </c>
      <c r="BA170" s="931">
        <v>630</v>
      </c>
      <c r="BB170" s="938">
        <v>0.39980158730158727</v>
      </c>
      <c r="BC170" s="939">
        <v>0</v>
      </c>
      <c r="BD170" s="930">
        <v>100</v>
      </c>
      <c r="BE170" s="931">
        <v>50</v>
      </c>
      <c r="BF170" s="931">
        <f t="shared" si="54"/>
        <v>86</v>
      </c>
      <c r="BG170" s="935">
        <f t="shared" si="55"/>
        <v>-14</v>
      </c>
      <c r="BH170" s="936">
        <v>5</v>
      </c>
      <c r="BI170" s="931">
        <v>500</v>
      </c>
      <c r="BJ170" s="931">
        <v>1000</v>
      </c>
      <c r="BK170" s="931">
        <v>25</v>
      </c>
      <c r="BL170" s="935">
        <v>50</v>
      </c>
      <c r="BM170" s="937">
        <v>18</v>
      </c>
      <c r="BN170" s="931">
        <v>20</v>
      </c>
      <c r="BO170" s="931">
        <v>0</v>
      </c>
      <c r="BP170" s="931">
        <v>0</v>
      </c>
      <c r="BQ170" s="931">
        <v>0</v>
      </c>
      <c r="BR170" s="931">
        <v>1400</v>
      </c>
      <c r="BS170" s="938">
        <v>0.63166666666666671</v>
      </c>
      <c r="BT170" s="939">
        <v>1</v>
      </c>
      <c r="BU170" s="930">
        <v>134</v>
      </c>
      <c r="BV170" s="931">
        <v>67</v>
      </c>
      <c r="BW170" s="931">
        <f t="shared" si="56"/>
        <v>116</v>
      </c>
      <c r="BX170" s="935">
        <f t="shared" si="57"/>
        <v>-18</v>
      </c>
      <c r="BY170" s="936">
        <v>5</v>
      </c>
      <c r="BZ170" s="931">
        <v>670</v>
      </c>
      <c r="CA170" s="931">
        <v>1340</v>
      </c>
      <c r="CB170" s="931">
        <v>33</v>
      </c>
      <c r="CC170" s="935">
        <v>67</v>
      </c>
      <c r="CD170" s="937">
        <v>27</v>
      </c>
      <c r="CE170" s="931">
        <v>30</v>
      </c>
      <c r="CF170" s="931">
        <v>0</v>
      </c>
      <c r="CG170" s="931">
        <v>0</v>
      </c>
      <c r="CH170" s="931">
        <v>0</v>
      </c>
      <c r="CI170" s="931">
        <v>2814</v>
      </c>
      <c r="CJ170" s="938">
        <v>0.84141791044776115</v>
      </c>
      <c r="CK170" s="939">
        <v>1</v>
      </c>
      <c r="CL170" s="930">
        <v>200</v>
      </c>
      <c r="CM170" s="931">
        <v>100</v>
      </c>
      <c r="CN170" s="931">
        <f t="shared" si="58"/>
        <v>173</v>
      </c>
      <c r="CO170" s="935">
        <f t="shared" si="59"/>
        <v>-27</v>
      </c>
      <c r="CP170" s="936">
        <v>5</v>
      </c>
      <c r="CQ170" s="931">
        <v>1000</v>
      </c>
      <c r="CR170" s="931">
        <v>2000</v>
      </c>
      <c r="CS170" s="931">
        <v>50</v>
      </c>
      <c r="CT170" s="935">
        <v>100</v>
      </c>
      <c r="CU170" s="937">
        <v>36</v>
      </c>
      <c r="CV170" s="931">
        <v>40</v>
      </c>
      <c r="CW170" s="931">
        <v>0</v>
      </c>
      <c r="CX170" s="931">
        <v>0</v>
      </c>
      <c r="CY170" s="931">
        <v>0</v>
      </c>
      <c r="CZ170" s="931">
        <v>5400</v>
      </c>
      <c r="DA170" s="938">
        <v>1.0066666666666666</v>
      </c>
      <c r="DB170" s="939">
        <v>1</v>
      </c>
      <c r="DC170" s="940">
        <v>96</v>
      </c>
      <c r="DD170" s="931">
        <v>100</v>
      </c>
      <c r="DE170" s="941">
        <v>0</v>
      </c>
      <c r="DF170" s="941">
        <v>0</v>
      </c>
      <c r="DG170" s="941">
        <v>0</v>
      </c>
      <c r="DH170" s="931">
        <v>10412</v>
      </c>
      <c r="DI170" s="938">
        <v>4.1666666666666666E-3</v>
      </c>
      <c r="DJ170" s="939">
        <v>1.0416666666666667</v>
      </c>
      <c r="DK170" s="942">
        <v>0</v>
      </c>
      <c r="DL170" s="943" t="s">
        <v>43</v>
      </c>
      <c r="DM170" s="944">
        <v>250</v>
      </c>
      <c r="DN170" s="945">
        <v>777</v>
      </c>
      <c r="DO170" s="946"/>
      <c r="DP170" s="946"/>
      <c r="DQ170" s="946"/>
      <c r="DR170" s="946"/>
      <c r="DS170" s="946"/>
      <c r="DT170" s="946"/>
      <c r="DU170" s="946"/>
      <c r="DV170" s="946"/>
      <c r="DW170" s="946"/>
      <c r="DX170" s="947"/>
      <c r="DY170" s="948" t="s">
        <v>43</v>
      </c>
      <c r="DZ170" s="949"/>
      <c r="EA170" s="950"/>
      <c r="EB170" s="950"/>
      <c r="EC170" s="951"/>
      <c r="ED170" s="952">
        <v>120</v>
      </c>
      <c r="EE170" s="931">
        <v>480</v>
      </c>
      <c r="EF170" s="931">
        <v>720</v>
      </c>
      <c r="EG170" s="931">
        <v>1080</v>
      </c>
      <c r="EH170" s="935">
        <v>1440</v>
      </c>
      <c r="EI170" s="953">
        <v>1.5</v>
      </c>
      <c r="EJ170" s="954" t="s">
        <v>606</v>
      </c>
    </row>
    <row r="171" spans="2:140">
      <c r="B171" s="100" t="s">
        <v>249</v>
      </c>
      <c r="C171" s="917" t="s">
        <v>186</v>
      </c>
      <c r="D171" s="918"/>
      <c r="E171" s="919" t="s">
        <v>43</v>
      </c>
      <c r="F171" s="920" t="s">
        <v>43</v>
      </c>
      <c r="G171" s="921"/>
      <c r="H171" s="922">
        <v>1</v>
      </c>
      <c r="I171" s="923" t="s">
        <v>186</v>
      </c>
      <c r="J171" s="924">
        <v>2</v>
      </c>
      <c r="K171" s="925">
        <v>0.05</v>
      </c>
      <c r="L171" s="926">
        <v>2</v>
      </c>
      <c r="M171" s="927">
        <v>1</v>
      </c>
      <c r="N171" s="920">
        <v>8010</v>
      </c>
      <c r="O171" s="928">
        <v>42370</v>
      </c>
      <c r="P171" s="929" t="s">
        <v>206</v>
      </c>
      <c r="Q171" s="930">
        <v>200</v>
      </c>
      <c r="R171" s="931">
        <v>100</v>
      </c>
      <c r="S171" s="932">
        <v>2000</v>
      </c>
      <c r="T171" s="933" t="s">
        <v>543</v>
      </c>
      <c r="U171" s="934" t="s">
        <v>579</v>
      </c>
      <c r="V171" s="930">
        <v>67</v>
      </c>
      <c r="W171" s="931">
        <v>34</v>
      </c>
      <c r="X171" s="931">
        <f t="shared" si="50"/>
        <v>58</v>
      </c>
      <c r="Y171" s="935">
        <f t="shared" si="51"/>
        <v>-9</v>
      </c>
      <c r="Z171" s="936">
        <v>5</v>
      </c>
      <c r="AA171" s="931">
        <v>335</v>
      </c>
      <c r="AB171" s="931">
        <v>670</v>
      </c>
      <c r="AC171" s="931">
        <v>16</v>
      </c>
      <c r="AD171" s="935">
        <v>33</v>
      </c>
      <c r="AE171" s="937">
        <v>4</v>
      </c>
      <c r="AF171" s="931">
        <v>0</v>
      </c>
      <c r="AG171" s="931">
        <v>0</v>
      </c>
      <c r="AH171" s="931">
        <v>0</v>
      </c>
      <c r="AI171" s="931">
        <v>0</v>
      </c>
      <c r="AJ171" s="931">
        <v>168</v>
      </c>
      <c r="AK171" s="938">
        <v>0</v>
      </c>
      <c r="AL171" s="939">
        <v>0</v>
      </c>
      <c r="AM171" s="930">
        <v>84</v>
      </c>
      <c r="AN171" s="931">
        <v>42</v>
      </c>
      <c r="AO171" s="931">
        <f t="shared" si="52"/>
        <v>72</v>
      </c>
      <c r="AP171" s="935">
        <f t="shared" si="53"/>
        <v>-12</v>
      </c>
      <c r="AQ171" s="936">
        <v>5</v>
      </c>
      <c r="AR171" s="931">
        <v>420</v>
      </c>
      <c r="AS171" s="931">
        <v>840</v>
      </c>
      <c r="AT171" s="931">
        <v>21</v>
      </c>
      <c r="AU171" s="935">
        <v>42</v>
      </c>
      <c r="AV171" s="937">
        <v>20</v>
      </c>
      <c r="AW171" s="931">
        <v>10</v>
      </c>
      <c r="AX171" s="931">
        <v>0</v>
      </c>
      <c r="AY171" s="931">
        <v>0</v>
      </c>
      <c r="AZ171" s="931">
        <v>0</v>
      </c>
      <c r="BA171" s="931">
        <v>630</v>
      </c>
      <c r="BB171" s="938">
        <v>0.66567460317460314</v>
      </c>
      <c r="BC171" s="939">
        <v>0</v>
      </c>
      <c r="BD171" s="930">
        <v>100</v>
      </c>
      <c r="BE171" s="931">
        <v>50</v>
      </c>
      <c r="BF171" s="931">
        <f t="shared" si="54"/>
        <v>86</v>
      </c>
      <c r="BG171" s="935">
        <f t="shared" si="55"/>
        <v>-14</v>
      </c>
      <c r="BH171" s="936">
        <v>5</v>
      </c>
      <c r="BI171" s="931">
        <v>500</v>
      </c>
      <c r="BJ171" s="931">
        <v>1000</v>
      </c>
      <c r="BK171" s="931">
        <v>25</v>
      </c>
      <c r="BL171" s="935">
        <v>50</v>
      </c>
      <c r="BM171" s="937">
        <v>34</v>
      </c>
      <c r="BN171" s="931">
        <v>20</v>
      </c>
      <c r="BO171" s="931">
        <v>0</v>
      </c>
      <c r="BP171" s="931">
        <v>0</v>
      </c>
      <c r="BQ171" s="931">
        <v>0</v>
      </c>
      <c r="BR171" s="931">
        <v>1400</v>
      </c>
      <c r="BS171" s="938">
        <v>1.1916666666666667</v>
      </c>
      <c r="BT171" s="939">
        <v>0</v>
      </c>
      <c r="BU171" s="930">
        <v>134</v>
      </c>
      <c r="BV171" s="931">
        <v>67</v>
      </c>
      <c r="BW171" s="931">
        <f t="shared" si="56"/>
        <v>116</v>
      </c>
      <c r="BX171" s="935">
        <f t="shared" si="57"/>
        <v>-18</v>
      </c>
      <c r="BY171" s="936">
        <v>5</v>
      </c>
      <c r="BZ171" s="931">
        <v>670</v>
      </c>
      <c r="CA171" s="931">
        <v>1340</v>
      </c>
      <c r="CB171" s="931">
        <v>33</v>
      </c>
      <c r="CC171" s="935">
        <v>67</v>
      </c>
      <c r="CD171" s="937">
        <v>48</v>
      </c>
      <c r="CE171" s="931">
        <v>30</v>
      </c>
      <c r="CF171" s="931">
        <v>0</v>
      </c>
      <c r="CG171" s="931">
        <v>0</v>
      </c>
      <c r="CH171" s="931">
        <v>0</v>
      </c>
      <c r="CI171" s="931">
        <v>2814</v>
      </c>
      <c r="CJ171" s="938">
        <v>1.494402985074627</v>
      </c>
      <c r="CK171" s="939">
        <v>0</v>
      </c>
      <c r="CL171" s="930">
        <v>200</v>
      </c>
      <c r="CM171" s="931">
        <v>100</v>
      </c>
      <c r="CN171" s="931">
        <f t="shared" si="58"/>
        <v>173</v>
      </c>
      <c r="CO171" s="935">
        <f t="shared" si="59"/>
        <v>-27</v>
      </c>
      <c r="CP171" s="936">
        <v>5</v>
      </c>
      <c r="CQ171" s="931">
        <v>1000</v>
      </c>
      <c r="CR171" s="931">
        <v>2000</v>
      </c>
      <c r="CS171" s="931">
        <v>50</v>
      </c>
      <c r="CT171" s="935">
        <v>100</v>
      </c>
      <c r="CU171" s="937">
        <v>62</v>
      </c>
      <c r="CV171" s="931">
        <v>40</v>
      </c>
      <c r="CW171" s="931">
        <v>0</v>
      </c>
      <c r="CX171" s="931">
        <v>0</v>
      </c>
      <c r="CY171" s="931">
        <v>0</v>
      </c>
      <c r="CZ171" s="931">
        <v>5400</v>
      </c>
      <c r="DA171" s="938">
        <v>1.7324999999999999</v>
      </c>
      <c r="DB171" s="939">
        <v>0</v>
      </c>
      <c r="DC171" s="940">
        <v>168</v>
      </c>
      <c r="DD171" s="931">
        <v>100</v>
      </c>
      <c r="DE171" s="941">
        <v>0</v>
      </c>
      <c r="DF171" s="941">
        <v>0</v>
      </c>
      <c r="DG171" s="941">
        <v>0</v>
      </c>
      <c r="DH171" s="931">
        <v>10412</v>
      </c>
      <c r="DI171" s="938">
        <v>4.1666666666666666E-3</v>
      </c>
      <c r="DJ171" s="939">
        <v>0.59523809523809523</v>
      </c>
      <c r="DK171" s="942">
        <v>0</v>
      </c>
      <c r="DL171" s="943" t="s">
        <v>43</v>
      </c>
      <c r="DM171" s="944">
        <v>111</v>
      </c>
      <c r="DN171" s="945">
        <v>333</v>
      </c>
      <c r="DO171" s="946"/>
      <c r="DP171" s="946"/>
      <c r="DQ171" s="946"/>
      <c r="DR171" s="946"/>
      <c r="DS171" s="946"/>
      <c r="DT171" s="946"/>
      <c r="DU171" s="946"/>
      <c r="DV171" s="946"/>
      <c r="DW171" s="946"/>
      <c r="DX171" s="947"/>
      <c r="DY171" s="948" t="s">
        <v>43</v>
      </c>
      <c r="DZ171" s="949"/>
      <c r="EA171" s="950"/>
      <c r="EB171" s="950"/>
      <c r="EC171" s="951"/>
      <c r="ED171" s="952">
        <v>80</v>
      </c>
      <c r="EE171" s="931">
        <v>400</v>
      </c>
      <c r="EF171" s="931">
        <v>680</v>
      </c>
      <c r="EG171" s="931">
        <v>960</v>
      </c>
      <c r="EH171" s="935">
        <v>1240</v>
      </c>
      <c r="EI171" s="953">
        <v>3</v>
      </c>
      <c r="EJ171" s="954" t="s">
        <v>608</v>
      </c>
    </row>
    <row r="172" spans="2:140">
      <c r="B172" s="100" t="s">
        <v>248</v>
      </c>
      <c r="C172" s="917" t="s">
        <v>186</v>
      </c>
      <c r="D172" s="918"/>
      <c r="E172" s="919" t="s">
        <v>43</v>
      </c>
      <c r="F172" s="920" t="s">
        <v>43</v>
      </c>
      <c r="G172" s="921"/>
      <c r="H172" s="922">
        <v>2</v>
      </c>
      <c r="I172" s="923" t="s">
        <v>186</v>
      </c>
      <c r="J172" s="924">
        <v>2</v>
      </c>
      <c r="K172" s="925">
        <v>0.05</v>
      </c>
      <c r="L172" s="926">
        <v>2</v>
      </c>
      <c r="M172" s="927">
        <v>1</v>
      </c>
      <c r="N172" s="920">
        <v>8011</v>
      </c>
      <c r="O172" s="928">
        <v>42370</v>
      </c>
      <c r="P172" s="929" t="s">
        <v>206</v>
      </c>
      <c r="Q172" s="930">
        <v>200</v>
      </c>
      <c r="R172" s="931">
        <v>100</v>
      </c>
      <c r="S172" s="932">
        <v>2000</v>
      </c>
      <c r="T172" s="933" t="s">
        <v>555</v>
      </c>
      <c r="U172" s="934" t="s">
        <v>579</v>
      </c>
      <c r="V172" s="930">
        <v>67</v>
      </c>
      <c r="W172" s="931">
        <v>34</v>
      </c>
      <c r="X172" s="931">
        <f t="shared" si="50"/>
        <v>58</v>
      </c>
      <c r="Y172" s="935">
        <f t="shared" si="51"/>
        <v>-9</v>
      </c>
      <c r="Z172" s="936">
        <v>5</v>
      </c>
      <c r="AA172" s="931">
        <v>335</v>
      </c>
      <c r="AB172" s="931">
        <v>670</v>
      </c>
      <c r="AC172" s="931">
        <v>16</v>
      </c>
      <c r="AD172" s="935">
        <v>33</v>
      </c>
      <c r="AE172" s="937">
        <v>4</v>
      </c>
      <c r="AF172" s="931">
        <v>0</v>
      </c>
      <c r="AG172" s="931">
        <v>0</v>
      </c>
      <c r="AH172" s="931">
        <v>0</v>
      </c>
      <c r="AI172" s="931">
        <v>0</v>
      </c>
      <c r="AJ172" s="931">
        <v>168</v>
      </c>
      <c r="AK172" s="938">
        <v>0</v>
      </c>
      <c r="AL172" s="939">
        <v>0</v>
      </c>
      <c r="AM172" s="930">
        <v>84</v>
      </c>
      <c r="AN172" s="931">
        <v>42</v>
      </c>
      <c r="AO172" s="931">
        <f t="shared" si="52"/>
        <v>72</v>
      </c>
      <c r="AP172" s="935">
        <f t="shared" si="53"/>
        <v>-12</v>
      </c>
      <c r="AQ172" s="936">
        <v>5</v>
      </c>
      <c r="AR172" s="931">
        <v>420</v>
      </c>
      <c r="AS172" s="931">
        <v>840</v>
      </c>
      <c r="AT172" s="931">
        <v>21</v>
      </c>
      <c r="AU172" s="935">
        <v>42</v>
      </c>
      <c r="AV172" s="937">
        <v>20</v>
      </c>
      <c r="AW172" s="931">
        <v>10</v>
      </c>
      <c r="AX172" s="931">
        <v>0</v>
      </c>
      <c r="AY172" s="931">
        <v>0</v>
      </c>
      <c r="AZ172" s="931">
        <v>0</v>
      </c>
      <c r="BA172" s="931">
        <v>630</v>
      </c>
      <c r="BB172" s="938">
        <v>0.66567460317460314</v>
      </c>
      <c r="BC172" s="939">
        <v>0</v>
      </c>
      <c r="BD172" s="930">
        <v>100</v>
      </c>
      <c r="BE172" s="931">
        <v>50</v>
      </c>
      <c r="BF172" s="931">
        <f t="shared" si="54"/>
        <v>86</v>
      </c>
      <c r="BG172" s="935">
        <f t="shared" si="55"/>
        <v>-14</v>
      </c>
      <c r="BH172" s="936">
        <v>5</v>
      </c>
      <c r="BI172" s="931">
        <v>500</v>
      </c>
      <c r="BJ172" s="931">
        <v>1000</v>
      </c>
      <c r="BK172" s="931">
        <v>25</v>
      </c>
      <c r="BL172" s="935">
        <v>50</v>
      </c>
      <c r="BM172" s="937">
        <v>34</v>
      </c>
      <c r="BN172" s="931">
        <v>20</v>
      </c>
      <c r="BO172" s="931">
        <v>0</v>
      </c>
      <c r="BP172" s="931">
        <v>0</v>
      </c>
      <c r="BQ172" s="931">
        <v>0</v>
      </c>
      <c r="BR172" s="931">
        <v>1400</v>
      </c>
      <c r="BS172" s="938">
        <v>1.1916666666666667</v>
      </c>
      <c r="BT172" s="939">
        <v>0</v>
      </c>
      <c r="BU172" s="930">
        <v>134</v>
      </c>
      <c r="BV172" s="931">
        <v>67</v>
      </c>
      <c r="BW172" s="931">
        <f t="shared" si="56"/>
        <v>116</v>
      </c>
      <c r="BX172" s="935">
        <f t="shared" si="57"/>
        <v>-18</v>
      </c>
      <c r="BY172" s="936">
        <v>5</v>
      </c>
      <c r="BZ172" s="931">
        <v>670</v>
      </c>
      <c r="CA172" s="931">
        <v>1340</v>
      </c>
      <c r="CB172" s="931">
        <v>33</v>
      </c>
      <c r="CC172" s="935">
        <v>67</v>
      </c>
      <c r="CD172" s="937">
        <v>48</v>
      </c>
      <c r="CE172" s="931">
        <v>30</v>
      </c>
      <c r="CF172" s="931">
        <v>0</v>
      </c>
      <c r="CG172" s="931">
        <v>0</v>
      </c>
      <c r="CH172" s="931">
        <v>0</v>
      </c>
      <c r="CI172" s="931">
        <v>2814</v>
      </c>
      <c r="CJ172" s="938">
        <v>1.494402985074627</v>
      </c>
      <c r="CK172" s="939">
        <v>0</v>
      </c>
      <c r="CL172" s="930">
        <v>200</v>
      </c>
      <c r="CM172" s="931">
        <v>100</v>
      </c>
      <c r="CN172" s="931">
        <f t="shared" si="58"/>
        <v>173</v>
      </c>
      <c r="CO172" s="935">
        <f t="shared" si="59"/>
        <v>-27</v>
      </c>
      <c r="CP172" s="936">
        <v>5</v>
      </c>
      <c r="CQ172" s="931">
        <v>1000</v>
      </c>
      <c r="CR172" s="931">
        <v>2000</v>
      </c>
      <c r="CS172" s="931">
        <v>50</v>
      </c>
      <c r="CT172" s="935">
        <v>100</v>
      </c>
      <c r="CU172" s="937">
        <v>62</v>
      </c>
      <c r="CV172" s="931">
        <v>40</v>
      </c>
      <c r="CW172" s="931">
        <v>0</v>
      </c>
      <c r="CX172" s="931">
        <v>0</v>
      </c>
      <c r="CY172" s="931">
        <v>0</v>
      </c>
      <c r="CZ172" s="931">
        <v>5400</v>
      </c>
      <c r="DA172" s="938">
        <v>1.7324999999999999</v>
      </c>
      <c r="DB172" s="939">
        <v>0</v>
      </c>
      <c r="DC172" s="940">
        <v>168</v>
      </c>
      <c r="DD172" s="931">
        <v>100</v>
      </c>
      <c r="DE172" s="941">
        <v>0</v>
      </c>
      <c r="DF172" s="941">
        <v>0</v>
      </c>
      <c r="DG172" s="941">
        <v>0</v>
      </c>
      <c r="DH172" s="931">
        <v>10412</v>
      </c>
      <c r="DI172" s="938">
        <v>4.1666666666666666E-3</v>
      </c>
      <c r="DJ172" s="939">
        <v>0.59523809523809523</v>
      </c>
      <c r="DK172" s="942">
        <v>0</v>
      </c>
      <c r="DL172" s="943" t="s">
        <v>43</v>
      </c>
      <c r="DM172" s="944">
        <v>250</v>
      </c>
      <c r="DN172" s="945">
        <v>777</v>
      </c>
      <c r="DO172" s="946"/>
      <c r="DP172" s="946"/>
      <c r="DQ172" s="946"/>
      <c r="DR172" s="946"/>
      <c r="DS172" s="946"/>
      <c r="DT172" s="946"/>
      <c r="DU172" s="946"/>
      <c r="DV172" s="946"/>
      <c r="DW172" s="946"/>
      <c r="DX172" s="947"/>
      <c r="DY172" s="948" t="s">
        <v>43</v>
      </c>
      <c r="DZ172" s="949"/>
      <c r="EA172" s="950"/>
      <c r="EB172" s="950"/>
      <c r="EC172" s="951"/>
      <c r="ED172" s="952">
        <v>160</v>
      </c>
      <c r="EE172" s="931">
        <v>800</v>
      </c>
      <c r="EF172" s="931">
        <v>1360</v>
      </c>
      <c r="EG172" s="931">
        <v>1920</v>
      </c>
      <c r="EH172" s="935">
        <v>2480</v>
      </c>
      <c r="EI172" s="953">
        <v>1.5</v>
      </c>
      <c r="EJ172" s="954" t="s">
        <v>610</v>
      </c>
    </row>
    <row r="173" spans="2:140">
      <c r="B173" s="100" t="s">
        <v>264</v>
      </c>
      <c r="C173" s="917" t="s">
        <v>186</v>
      </c>
      <c r="D173" s="918"/>
      <c r="E173" s="919" t="s">
        <v>43</v>
      </c>
      <c r="F173" s="920" t="s">
        <v>43</v>
      </c>
      <c r="G173" s="921"/>
      <c r="H173" s="922">
        <v>1</v>
      </c>
      <c r="I173" s="923" t="s">
        <v>186</v>
      </c>
      <c r="J173" s="924">
        <v>2</v>
      </c>
      <c r="K173" s="925">
        <v>0.05</v>
      </c>
      <c r="L173" s="926">
        <v>2</v>
      </c>
      <c r="M173" s="927">
        <v>1</v>
      </c>
      <c r="N173" s="920">
        <v>8012</v>
      </c>
      <c r="O173" s="928">
        <v>42385</v>
      </c>
      <c r="P173" s="929" t="s">
        <v>206</v>
      </c>
      <c r="Q173" s="930">
        <v>200</v>
      </c>
      <c r="R173" s="931">
        <v>100</v>
      </c>
      <c r="S173" s="932">
        <v>2000</v>
      </c>
      <c r="T173" s="933" t="s">
        <v>545</v>
      </c>
      <c r="U173" s="934" t="s">
        <v>581</v>
      </c>
      <c r="V173" s="930">
        <v>67</v>
      </c>
      <c r="W173" s="931">
        <v>34</v>
      </c>
      <c r="X173" s="931">
        <f t="shared" si="50"/>
        <v>58</v>
      </c>
      <c r="Y173" s="935">
        <f t="shared" si="51"/>
        <v>-9</v>
      </c>
      <c r="Z173" s="936">
        <v>5</v>
      </c>
      <c r="AA173" s="931">
        <v>335</v>
      </c>
      <c r="AB173" s="931">
        <v>670</v>
      </c>
      <c r="AC173" s="931">
        <v>16</v>
      </c>
      <c r="AD173" s="935">
        <v>33</v>
      </c>
      <c r="AE173" s="937">
        <v>6</v>
      </c>
      <c r="AF173" s="931">
        <v>0</v>
      </c>
      <c r="AG173" s="931">
        <v>0</v>
      </c>
      <c r="AH173" s="931">
        <v>0</v>
      </c>
      <c r="AI173" s="931">
        <v>0</v>
      </c>
      <c r="AJ173" s="931">
        <v>101</v>
      </c>
      <c r="AK173" s="938">
        <v>0</v>
      </c>
      <c r="AL173" s="939">
        <v>0</v>
      </c>
      <c r="AM173" s="930">
        <v>84</v>
      </c>
      <c r="AN173" s="931">
        <v>42</v>
      </c>
      <c r="AO173" s="931">
        <f t="shared" si="52"/>
        <v>72</v>
      </c>
      <c r="AP173" s="935">
        <f t="shared" si="53"/>
        <v>-12</v>
      </c>
      <c r="AQ173" s="936">
        <v>5</v>
      </c>
      <c r="AR173" s="931">
        <v>420</v>
      </c>
      <c r="AS173" s="931">
        <v>840</v>
      </c>
      <c r="AT173" s="931">
        <v>21</v>
      </c>
      <c r="AU173" s="935">
        <v>42</v>
      </c>
      <c r="AV173" s="937">
        <v>20</v>
      </c>
      <c r="AW173" s="931">
        <v>10</v>
      </c>
      <c r="AX173" s="931">
        <v>0</v>
      </c>
      <c r="AY173" s="931">
        <v>0</v>
      </c>
      <c r="AZ173" s="931">
        <v>0</v>
      </c>
      <c r="BA173" s="931">
        <v>420</v>
      </c>
      <c r="BB173" s="938">
        <v>0.66567460317460314</v>
      </c>
      <c r="BC173" s="939">
        <v>0</v>
      </c>
      <c r="BD173" s="930">
        <v>100</v>
      </c>
      <c r="BE173" s="931">
        <v>50</v>
      </c>
      <c r="BF173" s="931">
        <f t="shared" si="54"/>
        <v>86</v>
      </c>
      <c r="BG173" s="935">
        <f t="shared" si="55"/>
        <v>-14</v>
      </c>
      <c r="BH173" s="936">
        <v>5</v>
      </c>
      <c r="BI173" s="931">
        <v>500</v>
      </c>
      <c r="BJ173" s="931">
        <v>1000</v>
      </c>
      <c r="BK173" s="931">
        <v>25</v>
      </c>
      <c r="BL173" s="935">
        <v>50</v>
      </c>
      <c r="BM173" s="937">
        <v>34</v>
      </c>
      <c r="BN173" s="931">
        <v>20</v>
      </c>
      <c r="BO173" s="931">
        <v>0</v>
      </c>
      <c r="BP173" s="931">
        <v>0</v>
      </c>
      <c r="BQ173" s="931">
        <v>0</v>
      </c>
      <c r="BR173" s="931">
        <v>850</v>
      </c>
      <c r="BS173" s="938">
        <v>1.1916666666666667</v>
      </c>
      <c r="BT173" s="939">
        <v>0</v>
      </c>
      <c r="BU173" s="930">
        <v>134</v>
      </c>
      <c r="BV173" s="931">
        <v>67</v>
      </c>
      <c r="BW173" s="931">
        <f t="shared" si="56"/>
        <v>116</v>
      </c>
      <c r="BX173" s="935">
        <f t="shared" si="57"/>
        <v>-18</v>
      </c>
      <c r="BY173" s="936">
        <v>5</v>
      </c>
      <c r="BZ173" s="931">
        <v>670</v>
      </c>
      <c r="CA173" s="931">
        <v>1340</v>
      </c>
      <c r="CB173" s="931">
        <v>33</v>
      </c>
      <c r="CC173" s="935">
        <v>67</v>
      </c>
      <c r="CD173" s="937">
        <v>48</v>
      </c>
      <c r="CE173" s="931">
        <v>30</v>
      </c>
      <c r="CF173" s="931">
        <v>0</v>
      </c>
      <c r="CG173" s="931">
        <v>0</v>
      </c>
      <c r="CH173" s="931">
        <v>0</v>
      </c>
      <c r="CI173" s="931">
        <v>1608</v>
      </c>
      <c r="CJ173" s="938">
        <v>1.494402985074627</v>
      </c>
      <c r="CK173" s="939">
        <v>0</v>
      </c>
      <c r="CL173" s="930">
        <v>200</v>
      </c>
      <c r="CM173" s="931">
        <v>100</v>
      </c>
      <c r="CN173" s="931">
        <f t="shared" si="58"/>
        <v>173</v>
      </c>
      <c r="CO173" s="935">
        <f t="shared" si="59"/>
        <v>-27</v>
      </c>
      <c r="CP173" s="936">
        <v>5</v>
      </c>
      <c r="CQ173" s="931">
        <v>1000</v>
      </c>
      <c r="CR173" s="931">
        <v>2000</v>
      </c>
      <c r="CS173" s="931">
        <v>50</v>
      </c>
      <c r="CT173" s="935">
        <v>100</v>
      </c>
      <c r="CU173" s="937">
        <v>60</v>
      </c>
      <c r="CV173" s="931">
        <v>40</v>
      </c>
      <c r="CW173" s="931">
        <v>0</v>
      </c>
      <c r="CX173" s="931">
        <v>0</v>
      </c>
      <c r="CY173" s="931">
        <v>0</v>
      </c>
      <c r="CZ173" s="931">
        <v>3000</v>
      </c>
      <c r="DA173" s="938">
        <v>1.6766666666666667</v>
      </c>
      <c r="DB173" s="939">
        <v>0</v>
      </c>
      <c r="DC173" s="940">
        <v>168</v>
      </c>
      <c r="DD173" s="931">
        <v>100</v>
      </c>
      <c r="DE173" s="941">
        <v>0</v>
      </c>
      <c r="DF173" s="941">
        <v>0</v>
      </c>
      <c r="DG173" s="941">
        <v>0</v>
      </c>
      <c r="DH173" s="931">
        <v>5979</v>
      </c>
      <c r="DI173" s="938">
        <v>4.1666666666666666E-3</v>
      </c>
      <c r="DJ173" s="939">
        <v>0.59523809523809523</v>
      </c>
      <c r="DK173" s="942">
        <v>0</v>
      </c>
      <c r="DL173" s="943" t="s">
        <v>43</v>
      </c>
      <c r="DM173" s="944">
        <v>111</v>
      </c>
      <c r="DN173" s="945">
        <v>333</v>
      </c>
      <c r="DO173" s="946"/>
      <c r="DP173" s="946"/>
      <c r="DQ173" s="946"/>
      <c r="DR173" s="946"/>
      <c r="DS173" s="946"/>
      <c r="DT173" s="946"/>
      <c r="DU173" s="946"/>
      <c r="DV173" s="946"/>
      <c r="DW173" s="946"/>
      <c r="DX173" s="947"/>
      <c r="DY173" s="948" t="s">
        <v>43</v>
      </c>
      <c r="DZ173" s="949"/>
      <c r="EA173" s="950"/>
      <c r="EB173" s="950"/>
      <c r="EC173" s="951"/>
      <c r="ED173" s="952">
        <v>90</v>
      </c>
      <c r="EE173" s="931">
        <v>300</v>
      </c>
      <c r="EF173" s="931">
        <v>510</v>
      </c>
      <c r="EG173" s="931">
        <v>720</v>
      </c>
      <c r="EH173" s="935">
        <v>900</v>
      </c>
      <c r="EI173" s="953">
        <v>4</v>
      </c>
      <c r="EJ173" s="954" t="s">
        <v>612</v>
      </c>
    </row>
    <row r="174" spans="2:140">
      <c r="B174" s="100" t="s">
        <v>265</v>
      </c>
      <c r="C174" s="917" t="s">
        <v>186</v>
      </c>
      <c r="D174" s="918"/>
      <c r="E174" s="919" t="s">
        <v>43</v>
      </c>
      <c r="F174" s="920" t="s">
        <v>43</v>
      </c>
      <c r="G174" s="921"/>
      <c r="H174" s="922">
        <v>2</v>
      </c>
      <c r="I174" s="923" t="s">
        <v>186</v>
      </c>
      <c r="J174" s="924">
        <v>2</v>
      </c>
      <c r="K174" s="925">
        <v>0.05</v>
      </c>
      <c r="L174" s="926">
        <v>2</v>
      </c>
      <c r="M174" s="927">
        <v>1</v>
      </c>
      <c r="N174" s="920">
        <v>8013</v>
      </c>
      <c r="O174" s="928">
        <v>42385</v>
      </c>
      <c r="P174" s="929" t="s">
        <v>206</v>
      </c>
      <c r="Q174" s="930">
        <v>200</v>
      </c>
      <c r="R174" s="931">
        <v>100</v>
      </c>
      <c r="S174" s="932">
        <v>2000</v>
      </c>
      <c r="T174" s="933" t="s">
        <v>557</v>
      </c>
      <c r="U174" s="934" t="s">
        <v>581</v>
      </c>
      <c r="V174" s="930">
        <v>67</v>
      </c>
      <c r="W174" s="931">
        <v>34</v>
      </c>
      <c r="X174" s="931">
        <f t="shared" si="50"/>
        <v>58</v>
      </c>
      <c r="Y174" s="935">
        <f t="shared" si="51"/>
        <v>-9</v>
      </c>
      <c r="Z174" s="936">
        <v>5</v>
      </c>
      <c r="AA174" s="931">
        <v>335</v>
      </c>
      <c r="AB174" s="931">
        <v>670</v>
      </c>
      <c r="AC174" s="931">
        <v>16</v>
      </c>
      <c r="AD174" s="935">
        <v>33</v>
      </c>
      <c r="AE174" s="937">
        <v>6</v>
      </c>
      <c r="AF174" s="931">
        <v>0</v>
      </c>
      <c r="AG174" s="931">
        <v>0</v>
      </c>
      <c r="AH174" s="931">
        <v>0</v>
      </c>
      <c r="AI174" s="931">
        <v>0</v>
      </c>
      <c r="AJ174" s="931">
        <v>101</v>
      </c>
      <c r="AK174" s="938">
        <v>0</v>
      </c>
      <c r="AL174" s="939">
        <v>0</v>
      </c>
      <c r="AM174" s="930">
        <v>84</v>
      </c>
      <c r="AN174" s="931">
        <v>42</v>
      </c>
      <c r="AO174" s="931">
        <f t="shared" si="52"/>
        <v>72</v>
      </c>
      <c r="AP174" s="935">
        <f t="shared" si="53"/>
        <v>-12</v>
      </c>
      <c r="AQ174" s="936">
        <v>5</v>
      </c>
      <c r="AR174" s="931">
        <v>420</v>
      </c>
      <c r="AS174" s="931">
        <v>840</v>
      </c>
      <c r="AT174" s="931">
        <v>21</v>
      </c>
      <c r="AU174" s="935">
        <v>42</v>
      </c>
      <c r="AV174" s="937">
        <v>20</v>
      </c>
      <c r="AW174" s="931">
        <v>10</v>
      </c>
      <c r="AX174" s="931">
        <v>0</v>
      </c>
      <c r="AY174" s="931">
        <v>0</v>
      </c>
      <c r="AZ174" s="931">
        <v>0</v>
      </c>
      <c r="BA174" s="931">
        <v>420</v>
      </c>
      <c r="BB174" s="938">
        <v>0.66567460317460314</v>
      </c>
      <c r="BC174" s="939">
        <v>0</v>
      </c>
      <c r="BD174" s="930">
        <v>100</v>
      </c>
      <c r="BE174" s="931">
        <v>50</v>
      </c>
      <c r="BF174" s="931">
        <f t="shared" si="54"/>
        <v>86</v>
      </c>
      <c r="BG174" s="935">
        <f t="shared" si="55"/>
        <v>-14</v>
      </c>
      <c r="BH174" s="936">
        <v>5</v>
      </c>
      <c r="BI174" s="931">
        <v>500</v>
      </c>
      <c r="BJ174" s="931">
        <v>1000</v>
      </c>
      <c r="BK174" s="931">
        <v>25</v>
      </c>
      <c r="BL174" s="935">
        <v>50</v>
      </c>
      <c r="BM174" s="937">
        <v>34</v>
      </c>
      <c r="BN174" s="931">
        <v>20</v>
      </c>
      <c r="BO174" s="931">
        <v>0</v>
      </c>
      <c r="BP174" s="931">
        <v>0</v>
      </c>
      <c r="BQ174" s="931">
        <v>0</v>
      </c>
      <c r="BR174" s="931">
        <v>850</v>
      </c>
      <c r="BS174" s="938">
        <v>1.1916666666666667</v>
      </c>
      <c r="BT174" s="939">
        <v>0</v>
      </c>
      <c r="BU174" s="930">
        <v>134</v>
      </c>
      <c r="BV174" s="931">
        <v>67</v>
      </c>
      <c r="BW174" s="931">
        <f t="shared" si="56"/>
        <v>116</v>
      </c>
      <c r="BX174" s="935">
        <f t="shared" si="57"/>
        <v>-18</v>
      </c>
      <c r="BY174" s="936">
        <v>5</v>
      </c>
      <c r="BZ174" s="931">
        <v>670</v>
      </c>
      <c r="CA174" s="931">
        <v>1340</v>
      </c>
      <c r="CB174" s="931">
        <v>33</v>
      </c>
      <c r="CC174" s="935">
        <v>67</v>
      </c>
      <c r="CD174" s="937">
        <v>48</v>
      </c>
      <c r="CE174" s="931">
        <v>30</v>
      </c>
      <c r="CF174" s="931">
        <v>0</v>
      </c>
      <c r="CG174" s="931">
        <v>0</v>
      </c>
      <c r="CH174" s="931">
        <v>0</v>
      </c>
      <c r="CI174" s="931">
        <v>1608</v>
      </c>
      <c r="CJ174" s="938">
        <v>1.494402985074627</v>
      </c>
      <c r="CK174" s="939">
        <v>0</v>
      </c>
      <c r="CL174" s="930">
        <v>200</v>
      </c>
      <c r="CM174" s="931">
        <v>100</v>
      </c>
      <c r="CN174" s="931">
        <f t="shared" si="58"/>
        <v>173</v>
      </c>
      <c r="CO174" s="935">
        <f t="shared" si="59"/>
        <v>-27</v>
      </c>
      <c r="CP174" s="936">
        <v>5</v>
      </c>
      <c r="CQ174" s="931">
        <v>1000</v>
      </c>
      <c r="CR174" s="931">
        <v>2000</v>
      </c>
      <c r="CS174" s="931">
        <v>50</v>
      </c>
      <c r="CT174" s="935">
        <v>100</v>
      </c>
      <c r="CU174" s="937">
        <v>60</v>
      </c>
      <c r="CV174" s="931">
        <v>40</v>
      </c>
      <c r="CW174" s="931">
        <v>0</v>
      </c>
      <c r="CX174" s="931">
        <v>0</v>
      </c>
      <c r="CY174" s="931">
        <v>0</v>
      </c>
      <c r="CZ174" s="931">
        <v>3000</v>
      </c>
      <c r="DA174" s="938">
        <v>1.6766666666666667</v>
      </c>
      <c r="DB174" s="939">
        <v>0</v>
      </c>
      <c r="DC174" s="940">
        <v>168</v>
      </c>
      <c r="DD174" s="931">
        <v>100</v>
      </c>
      <c r="DE174" s="941">
        <v>0</v>
      </c>
      <c r="DF174" s="941">
        <v>0</v>
      </c>
      <c r="DG174" s="941">
        <v>0</v>
      </c>
      <c r="DH174" s="931">
        <v>5979</v>
      </c>
      <c r="DI174" s="938">
        <v>4.1666666666666666E-3</v>
      </c>
      <c r="DJ174" s="939">
        <v>0.59523809523809523</v>
      </c>
      <c r="DK174" s="942">
        <v>0</v>
      </c>
      <c r="DL174" s="943" t="s">
        <v>43</v>
      </c>
      <c r="DM174" s="944">
        <v>250</v>
      </c>
      <c r="DN174" s="945">
        <v>777</v>
      </c>
      <c r="DO174" s="946"/>
      <c r="DP174" s="946"/>
      <c r="DQ174" s="946"/>
      <c r="DR174" s="946"/>
      <c r="DS174" s="946"/>
      <c r="DT174" s="946"/>
      <c r="DU174" s="946"/>
      <c r="DV174" s="946"/>
      <c r="DW174" s="946"/>
      <c r="DX174" s="947"/>
      <c r="DY174" s="948" t="s">
        <v>43</v>
      </c>
      <c r="DZ174" s="949"/>
      <c r="EA174" s="950"/>
      <c r="EB174" s="950"/>
      <c r="EC174" s="951"/>
      <c r="ED174" s="952">
        <v>180</v>
      </c>
      <c r="EE174" s="931">
        <v>600</v>
      </c>
      <c r="EF174" s="931">
        <v>1020</v>
      </c>
      <c r="EG174" s="931">
        <v>1440</v>
      </c>
      <c r="EH174" s="935">
        <v>1800</v>
      </c>
      <c r="EI174" s="953">
        <v>2</v>
      </c>
      <c r="EJ174" s="954" t="s">
        <v>614</v>
      </c>
    </row>
    <row r="175" spans="2:140">
      <c r="B175" s="100" t="s">
        <v>529</v>
      </c>
      <c r="C175" s="917" t="s">
        <v>186</v>
      </c>
      <c r="D175" s="918"/>
      <c r="E175" s="919" t="s">
        <v>43</v>
      </c>
      <c r="F175" s="920" t="s">
        <v>43</v>
      </c>
      <c r="G175" s="921"/>
      <c r="H175" s="922">
        <v>1</v>
      </c>
      <c r="I175" s="923" t="s">
        <v>186</v>
      </c>
      <c r="J175" s="924">
        <v>2</v>
      </c>
      <c r="K175" s="925">
        <v>0.05</v>
      </c>
      <c r="L175" s="926">
        <v>2</v>
      </c>
      <c r="M175" s="927">
        <v>1</v>
      </c>
      <c r="N175" s="920">
        <v>8014</v>
      </c>
      <c r="O175" s="928">
        <v>42395</v>
      </c>
      <c r="P175" s="929" t="s">
        <v>206</v>
      </c>
      <c r="Q175" s="930">
        <v>200</v>
      </c>
      <c r="R175" s="931">
        <v>100</v>
      </c>
      <c r="S175" s="932">
        <v>2000</v>
      </c>
      <c r="T175" s="933" t="s">
        <v>547</v>
      </c>
      <c r="U175" s="934" t="s">
        <v>583</v>
      </c>
      <c r="V175" s="930">
        <v>67</v>
      </c>
      <c r="W175" s="931">
        <v>34</v>
      </c>
      <c r="X175" s="931">
        <f t="shared" si="50"/>
        <v>58</v>
      </c>
      <c r="Y175" s="935">
        <f t="shared" si="51"/>
        <v>-9</v>
      </c>
      <c r="Z175" s="936">
        <v>5</v>
      </c>
      <c r="AA175" s="931">
        <v>335</v>
      </c>
      <c r="AB175" s="931">
        <v>670</v>
      </c>
      <c r="AC175" s="931">
        <v>16</v>
      </c>
      <c r="AD175" s="935">
        <v>33</v>
      </c>
      <c r="AE175" s="937">
        <v>3</v>
      </c>
      <c r="AF175" s="931">
        <v>0</v>
      </c>
      <c r="AG175" s="931">
        <v>0</v>
      </c>
      <c r="AH175" s="931">
        <v>0</v>
      </c>
      <c r="AI175" s="931">
        <v>0</v>
      </c>
      <c r="AJ175" s="931">
        <v>101</v>
      </c>
      <c r="AK175" s="938">
        <v>0</v>
      </c>
      <c r="AL175" s="939">
        <v>0</v>
      </c>
      <c r="AM175" s="930">
        <v>84</v>
      </c>
      <c r="AN175" s="931">
        <v>42</v>
      </c>
      <c r="AO175" s="931">
        <f t="shared" si="52"/>
        <v>72</v>
      </c>
      <c r="AP175" s="935">
        <f t="shared" si="53"/>
        <v>-12</v>
      </c>
      <c r="AQ175" s="936">
        <v>5</v>
      </c>
      <c r="AR175" s="931">
        <v>420</v>
      </c>
      <c r="AS175" s="931">
        <v>840</v>
      </c>
      <c r="AT175" s="931">
        <v>21</v>
      </c>
      <c r="AU175" s="935">
        <v>42</v>
      </c>
      <c r="AV175" s="937">
        <v>12</v>
      </c>
      <c r="AW175" s="931">
        <v>10</v>
      </c>
      <c r="AX175" s="931">
        <v>0</v>
      </c>
      <c r="AY175" s="931">
        <v>0</v>
      </c>
      <c r="AZ175" s="931">
        <v>0</v>
      </c>
      <c r="BA175" s="931">
        <v>420</v>
      </c>
      <c r="BB175" s="938">
        <v>0.39980158730158727</v>
      </c>
      <c r="BC175" s="939">
        <v>0</v>
      </c>
      <c r="BD175" s="930">
        <v>100</v>
      </c>
      <c r="BE175" s="931">
        <v>50</v>
      </c>
      <c r="BF175" s="931">
        <f t="shared" si="54"/>
        <v>86</v>
      </c>
      <c r="BG175" s="935">
        <f t="shared" si="55"/>
        <v>-14</v>
      </c>
      <c r="BH175" s="936">
        <v>5</v>
      </c>
      <c r="BI175" s="931">
        <v>500</v>
      </c>
      <c r="BJ175" s="931">
        <v>1000</v>
      </c>
      <c r="BK175" s="931">
        <v>25</v>
      </c>
      <c r="BL175" s="935">
        <v>50</v>
      </c>
      <c r="BM175" s="937">
        <v>18</v>
      </c>
      <c r="BN175" s="931">
        <v>20</v>
      </c>
      <c r="BO175" s="931">
        <v>0</v>
      </c>
      <c r="BP175" s="931">
        <v>0</v>
      </c>
      <c r="BQ175" s="931">
        <v>0</v>
      </c>
      <c r="BR175" s="931">
        <v>850</v>
      </c>
      <c r="BS175" s="938">
        <v>0.63166666666666671</v>
      </c>
      <c r="BT175" s="939">
        <v>1</v>
      </c>
      <c r="BU175" s="930">
        <v>134</v>
      </c>
      <c r="BV175" s="931">
        <v>67</v>
      </c>
      <c r="BW175" s="931">
        <f t="shared" si="56"/>
        <v>116</v>
      </c>
      <c r="BX175" s="935">
        <f t="shared" si="57"/>
        <v>-18</v>
      </c>
      <c r="BY175" s="936">
        <v>5</v>
      </c>
      <c r="BZ175" s="931">
        <v>670</v>
      </c>
      <c r="CA175" s="931">
        <v>1340</v>
      </c>
      <c r="CB175" s="931">
        <v>33</v>
      </c>
      <c r="CC175" s="935">
        <v>67</v>
      </c>
      <c r="CD175" s="937">
        <v>27</v>
      </c>
      <c r="CE175" s="931">
        <v>30</v>
      </c>
      <c r="CF175" s="931">
        <v>0</v>
      </c>
      <c r="CG175" s="931">
        <v>0</v>
      </c>
      <c r="CH175" s="931">
        <v>0</v>
      </c>
      <c r="CI175" s="931">
        <v>1608</v>
      </c>
      <c r="CJ175" s="938">
        <v>0.84141791044776115</v>
      </c>
      <c r="CK175" s="939">
        <v>1</v>
      </c>
      <c r="CL175" s="930">
        <v>200</v>
      </c>
      <c r="CM175" s="931">
        <v>100</v>
      </c>
      <c r="CN175" s="931">
        <f t="shared" si="58"/>
        <v>173</v>
      </c>
      <c r="CO175" s="935">
        <f t="shared" si="59"/>
        <v>-27</v>
      </c>
      <c r="CP175" s="936">
        <v>5</v>
      </c>
      <c r="CQ175" s="931">
        <v>1000</v>
      </c>
      <c r="CR175" s="931">
        <v>2000</v>
      </c>
      <c r="CS175" s="931">
        <v>50</v>
      </c>
      <c r="CT175" s="935">
        <v>100</v>
      </c>
      <c r="CU175" s="937">
        <v>36</v>
      </c>
      <c r="CV175" s="931">
        <v>40</v>
      </c>
      <c r="CW175" s="931">
        <v>0</v>
      </c>
      <c r="CX175" s="931">
        <v>0</v>
      </c>
      <c r="CY175" s="931">
        <v>0</v>
      </c>
      <c r="CZ175" s="931">
        <v>3000</v>
      </c>
      <c r="DA175" s="938">
        <v>1.0066666666666666</v>
      </c>
      <c r="DB175" s="939">
        <v>1</v>
      </c>
      <c r="DC175" s="940">
        <v>96</v>
      </c>
      <c r="DD175" s="931">
        <v>100</v>
      </c>
      <c r="DE175" s="941">
        <v>0</v>
      </c>
      <c r="DF175" s="941">
        <v>0</v>
      </c>
      <c r="DG175" s="941">
        <v>0</v>
      </c>
      <c r="DH175" s="931">
        <v>5979</v>
      </c>
      <c r="DI175" s="938">
        <v>4.1666666666666666E-3</v>
      </c>
      <c r="DJ175" s="939">
        <v>1.0416666666666667</v>
      </c>
      <c r="DK175" s="942">
        <v>0</v>
      </c>
      <c r="DL175" s="943" t="s">
        <v>43</v>
      </c>
      <c r="DM175" s="944">
        <v>111</v>
      </c>
      <c r="DN175" s="945">
        <v>333</v>
      </c>
      <c r="DO175" s="946"/>
      <c r="DP175" s="946"/>
      <c r="DQ175" s="946"/>
      <c r="DR175" s="946"/>
      <c r="DS175" s="946"/>
      <c r="DT175" s="946"/>
      <c r="DU175" s="946"/>
      <c r="DV175" s="946"/>
      <c r="DW175" s="946"/>
      <c r="DX175" s="947"/>
      <c r="DY175" s="948" t="s">
        <v>43</v>
      </c>
      <c r="DZ175" s="949"/>
      <c r="EA175" s="950"/>
      <c r="EB175" s="950"/>
      <c r="EC175" s="951"/>
      <c r="ED175" s="952">
        <v>45</v>
      </c>
      <c r="EE175" s="931">
        <v>180</v>
      </c>
      <c r="EF175" s="931">
        <v>270</v>
      </c>
      <c r="EG175" s="931">
        <v>405</v>
      </c>
      <c r="EH175" s="935">
        <v>540</v>
      </c>
      <c r="EI175" s="953">
        <v>4</v>
      </c>
      <c r="EJ175" s="954" t="s">
        <v>616</v>
      </c>
    </row>
    <row r="176" spans="2:140">
      <c r="B176" s="100" t="s">
        <v>530</v>
      </c>
      <c r="C176" s="917" t="s">
        <v>186</v>
      </c>
      <c r="D176" s="918"/>
      <c r="E176" s="919" t="s">
        <v>43</v>
      </c>
      <c r="F176" s="920" t="s">
        <v>43</v>
      </c>
      <c r="G176" s="921"/>
      <c r="H176" s="922">
        <v>2</v>
      </c>
      <c r="I176" s="923" t="s">
        <v>186</v>
      </c>
      <c r="J176" s="924">
        <v>2</v>
      </c>
      <c r="K176" s="925">
        <v>0.05</v>
      </c>
      <c r="L176" s="926">
        <v>2</v>
      </c>
      <c r="M176" s="927">
        <v>1</v>
      </c>
      <c r="N176" s="920">
        <v>8015</v>
      </c>
      <c r="O176" s="928">
        <v>42395</v>
      </c>
      <c r="P176" s="929" t="s">
        <v>206</v>
      </c>
      <c r="Q176" s="930">
        <v>200</v>
      </c>
      <c r="R176" s="931">
        <v>100</v>
      </c>
      <c r="S176" s="932">
        <v>2000</v>
      </c>
      <c r="T176" s="933" t="s">
        <v>559</v>
      </c>
      <c r="U176" s="934" t="s">
        <v>583</v>
      </c>
      <c r="V176" s="930">
        <v>67</v>
      </c>
      <c r="W176" s="931">
        <v>34</v>
      </c>
      <c r="X176" s="931">
        <f t="shared" si="50"/>
        <v>58</v>
      </c>
      <c r="Y176" s="935">
        <f t="shared" si="51"/>
        <v>-9</v>
      </c>
      <c r="Z176" s="936">
        <v>5</v>
      </c>
      <c r="AA176" s="931">
        <v>335</v>
      </c>
      <c r="AB176" s="931">
        <v>670</v>
      </c>
      <c r="AC176" s="931">
        <v>16</v>
      </c>
      <c r="AD176" s="935">
        <v>33</v>
      </c>
      <c r="AE176" s="937">
        <v>3</v>
      </c>
      <c r="AF176" s="931">
        <v>0</v>
      </c>
      <c r="AG176" s="931">
        <v>0</v>
      </c>
      <c r="AH176" s="931">
        <v>0</v>
      </c>
      <c r="AI176" s="931">
        <v>0</v>
      </c>
      <c r="AJ176" s="931">
        <v>101</v>
      </c>
      <c r="AK176" s="938">
        <v>0</v>
      </c>
      <c r="AL176" s="939">
        <v>0</v>
      </c>
      <c r="AM176" s="930">
        <v>84</v>
      </c>
      <c r="AN176" s="931">
        <v>42</v>
      </c>
      <c r="AO176" s="931">
        <f t="shared" si="52"/>
        <v>72</v>
      </c>
      <c r="AP176" s="935">
        <f t="shared" si="53"/>
        <v>-12</v>
      </c>
      <c r="AQ176" s="936">
        <v>5</v>
      </c>
      <c r="AR176" s="931">
        <v>420</v>
      </c>
      <c r="AS176" s="931">
        <v>840</v>
      </c>
      <c r="AT176" s="931">
        <v>21</v>
      </c>
      <c r="AU176" s="935">
        <v>42</v>
      </c>
      <c r="AV176" s="937">
        <v>12</v>
      </c>
      <c r="AW176" s="931">
        <v>10</v>
      </c>
      <c r="AX176" s="931">
        <v>0</v>
      </c>
      <c r="AY176" s="931">
        <v>0</v>
      </c>
      <c r="AZ176" s="931">
        <v>0</v>
      </c>
      <c r="BA176" s="931">
        <v>420</v>
      </c>
      <c r="BB176" s="938">
        <v>0.39980158730158727</v>
      </c>
      <c r="BC176" s="939">
        <v>0</v>
      </c>
      <c r="BD176" s="930">
        <v>100</v>
      </c>
      <c r="BE176" s="931">
        <v>50</v>
      </c>
      <c r="BF176" s="931">
        <f t="shared" si="54"/>
        <v>86</v>
      </c>
      <c r="BG176" s="935">
        <f t="shared" si="55"/>
        <v>-14</v>
      </c>
      <c r="BH176" s="936">
        <v>5</v>
      </c>
      <c r="BI176" s="931">
        <v>500</v>
      </c>
      <c r="BJ176" s="931">
        <v>1000</v>
      </c>
      <c r="BK176" s="931">
        <v>25</v>
      </c>
      <c r="BL176" s="935">
        <v>50</v>
      </c>
      <c r="BM176" s="937">
        <v>18</v>
      </c>
      <c r="BN176" s="931">
        <v>20</v>
      </c>
      <c r="BO176" s="931">
        <v>0</v>
      </c>
      <c r="BP176" s="931">
        <v>0</v>
      </c>
      <c r="BQ176" s="931">
        <v>0</v>
      </c>
      <c r="BR176" s="931">
        <v>850</v>
      </c>
      <c r="BS176" s="938">
        <v>0.63166666666666671</v>
      </c>
      <c r="BT176" s="939">
        <v>1</v>
      </c>
      <c r="BU176" s="930">
        <v>134</v>
      </c>
      <c r="BV176" s="931">
        <v>67</v>
      </c>
      <c r="BW176" s="931">
        <f t="shared" si="56"/>
        <v>116</v>
      </c>
      <c r="BX176" s="935">
        <f t="shared" si="57"/>
        <v>-18</v>
      </c>
      <c r="BY176" s="936">
        <v>5</v>
      </c>
      <c r="BZ176" s="931">
        <v>670</v>
      </c>
      <c r="CA176" s="931">
        <v>1340</v>
      </c>
      <c r="CB176" s="931">
        <v>33</v>
      </c>
      <c r="CC176" s="935">
        <v>67</v>
      </c>
      <c r="CD176" s="937">
        <v>27</v>
      </c>
      <c r="CE176" s="931">
        <v>30</v>
      </c>
      <c r="CF176" s="931">
        <v>0</v>
      </c>
      <c r="CG176" s="931">
        <v>0</v>
      </c>
      <c r="CH176" s="931">
        <v>0</v>
      </c>
      <c r="CI176" s="931">
        <v>1608</v>
      </c>
      <c r="CJ176" s="938">
        <v>0.84141791044776115</v>
      </c>
      <c r="CK176" s="939">
        <v>1</v>
      </c>
      <c r="CL176" s="930">
        <v>200</v>
      </c>
      <c r="CM176" s="931">
        <v>100</v>
      </c>
      <c r="CN176" s="931">
        <f t="shared" si="58"/>
        <v>173</v>
      </c>
      <c r="CO176" s="935">
        <f t="shared" si="59"/>
        <v>-27</v>
      </c>
      <c r="CP176" s="936">
        <v>5</v>
      </c>
      <c r="CQ176" s="931">
        <v>1000</v>
      </c>
      <c r="CR176" s="931">
        <v>2000</v>
      </c>
      <c r="CS176" s="931">
        <v>50</v>
      </c>
      <c r="CT176" s="935">
        <v>100</v>
      </c>
      <c r="CU176" s="937">
        <v>36</v>
      </c>
      <c r="CV176" s="931">
        <v>40</v>
      </c>
      <c r="CW176" s="931">
        <v>0</v>
      </c>
      <c r="CX176" s="931">
        <v>0</v>
      </c>
      <c r="CY176" s="931">
        <v>0</v>
      </c>
      <c r="CZ176" s="931">
        <v>3000</v>
      </c>
      <c r="DA176" s="938">
        <v>1.0066666666666666</v>
      </c>
      <c r="DB176" s="939">
        <v>1</v>
      </c>
      <c r="DC176" s="940">
        <v>96</v>
      </c>
      <c r="DD176" s="931">
        <v>100</v>
      </c>
      <c r="DE176" s="941">
        <v>0</v>
      </c>
      <c r="DF176" s="941">
        <v>0</v>
      </c>
      <c r="DG176" s="941">
        <v>0</v>
      </c>
      <c r="DH176" s="931">
        <v>5979</v>
      </c>
      <c r="DI176" s="938">
        <v>4.1666666666666666E-3</v>
      </c>
      <c r="DJ176" s="939">
        <v>1.0416666666666667</v>
      </c>
      <c r="DK176" s="942">
        <v>0</v>
      </c>
      <c r="DL176" s="943" t="s">
        <v>43</v>
      </c>
      <c r="DM176" s="944">
        <v>250</v>
      </c>
      <c r="DN176" s="945">
        <v>777</v>
      </c>
      <c r="DO176" s="946"/>
      <c r="DP176" s="946"/>
      <c r="DQ176" s="946"/>
      <c r="DR176" s="946"/>
      <c r="DS176" s="946"/>
      <c r="DT176" s="946"/>
      <c r="DU176" s="946"/>
      <c r="DV176" s="946"/>
      <c r="DW176" s="946"/>
      <c r="DX176" s="947"/>
      <c r="DY176" s="948" t="s">
        <v>43</v>
      </c>
      <c r="DZ176" s="949"/>
      <c r="EA176" s="950"/>
      <c r="EB176" s="950"/>
      <c r="EC176" s="951"/>
      <c r="ED176" s="952">
        <v>90</v>
      </c>
      <c r="EE176" s="931">
        <v>360</v>
      </c>
      <c r="EF176" s="931">
        <v>540</v>
      </c>
      <c r="EG176" s="931">
        <v>810</v>
      </c>
      <c r="EH176" s="935">
        <v>1080</v>
      </c>
      <c r="EI176" s="953">
        <v>2</v>
      </c>
      <c r="EJ176" s="954" t="s">
        <v>618</v>
      </c>
    </row>
    <row r="177" spans="2:140">
      <c r="B177" s="100" t="s">
        <v>531</v>
      </c>
      <c r="C177" s="917" t="s">
        <v>186</v>
      </c>
      <c r="D177" s="918"/>
      <c r="E177" s="919" t="s">
        <v>43</v>
      </c>
      <c r="F177" s="920" t="s">
        <v>43</v>
      </c>
      <c r="G177" s="921"/>
      <c r="H177" s="922">
        <v>1</v>
      </c>
      <c r="I177" s="923" t="s">
        <v>186</v>
      </c>
      <c r="J177" s="924">
        <v>2</v>
      </c>
      <c r="K177" s="925">
        <v>0.05</v>
      </c>
      <c r="L177" s="926">
        <v>2</v>
      </c>
      <c r="M177" s="927">
        <v>1</v>
      </c>
      <c r="N177" s="920">
        <v>8017</v>
      </c>
      <c r="O177" s="928">
        <v>42401</v>
      </c>
      <c r="P177" s="929" t="s">
        <v>206</v>
      </c>
      <c r="Q177" s="930">
        <v>200</v>
      </c>
      <c r="R177" s="931">
        <v>100</v>
      </c>
      <c r="S177" s="932">
        <v>2000</v>
      </c>
      <c r="T177" s="933" t="s">
        <v>549</v>
      </c>
      <c r="U177" s="934" t="s">
        <v>585</v>
      </c>
      <c r="V177" s="930">
        <v>67</v>
      </c>
      <c r="W177" s="931">
        <v>34</v>
      </c>
      <c r="X177" s="931">
        <f t="shared" si="50"/>
        <v>58</v>
      </c>
      <c r="Y177" s="935">
        <f t="shared" si="51"/>
        <v>-9</v>
      </c>
      <c r="Z177" s="936">
        <v>5</v>
      </c>
      <c r="AA177" s="931">
        <v>335</v>
      </c>
      <c r="AB177" s="931">
        <v>670</v>
      </c>
      <c r="AC177" s="931">
        <v>16</v>
      </c>
      <c r="AD177" s="935">
        <v>33</v>
      </c>
      <c r="AE177" s="937">
        <v>4</v>
      </c>
      <c r="AF177" s="931">
        <v>0</v>
      </c>
      <c r="AG177" s="931">
        <v>0</v>
      </c>
      <c r="AH177" s="931">
        <v>0</v>
      </c>
      <c r="AI177" s="931">
        <v>0</v>
      </c>
      <c r="AJ177" s="931">
        <v>101</v>
      </c>
      <c r="AK177" s="938">
        <v>0</v>
      </c>
      <c r="AL177" s="939">
        <v>0</v>
      </c>
      <c r="AM177" s="930">
        <v>84</v>
      </c>
      <c r="AN177" s="931">
        <v>42</v>
      </c>
      <c r="AO177" s="931">
        <f t="shared" si="52"/>
        <v>72</v>
      </c>
      <c r="AP177" s="935">
        <f t="shared" si="53"/>
        <v>-12</v>
      </c>
      <c r="AQ177" s="936">
        <v>5</v>
      </c>
      <c r="AR177" s="931">
        <v>420</v>
      </c>
      <c r="AS177" s="931">
        <v>840</v>
      </c>
      <c r="AT177" s="931">
        <v>21</v>
      </c>
      <c r="AU177" s="935">
        <v>42</v>
      </c>
      <c r="AV177" s="937">
        <v>10</v>
      </c>
      <c r="AW177" s="931">
        <v>10</v>
      </c>
      <c r="AX177" s="931">
        <v>0</v>
      </c>
      <c r="AY177" s="931">
        <v>0</v>
      </c>
      <c r="AZ177" s="931">
        <v>0</v>
      </c>
      <c r="BA177" s="931">
        <v>420</v>
      </c>
      <c r="BB177" s="938">
        <v>0.33333333333333331</v>
      </c>
      <c r="BC177" s="939">
        <v>1</v>
      </c>
      <c r="BD177" s="930">
        <v>100</v>
      </c>
      <c r="BE177" s="931">
        <v>50</v>
      </c>
      <c r="BF177" s="931">
        <f t="shared" si="54"/>
        <v>86</v>
      </c>
      <c r="BG177" s="935">
        <f t="shared" si="55"/>
        <v>-14</v>
      </c>
      <c r="BH177" s="936">
        <v>5</v>
      </c>
      <c r="BI177" s="931">
        <v>500</v>
      </c>
      <c r="BJ177" s="931">
        <v>1000</v>
      </c>
      <c r="BK177" s="931">
        <v>25</v>
      </c>
      <c r="BL177" s="935">
        <v>50</v>
      </c>
      <c r="BM177" s="937">
        <v>20</v>
      </c>
      <c r="BN177" s="931">
        <v>20</v>
      </c>
      <c r="BO177" s="931">
        <v>0</v>
      </c>
      <c r="BP177" s="931">
        <v>0</v>
      </c>
      <c r="BQ177" s="931">
        <v>0</v>
      </c>
      <c r="BR177" s="931">
        <v>850</v>
      </c>
      <c r="BS177" s="938">
        <v>0.70166666666666666</v>
      </c>
      <c r="BT177" s="939">
        <v>1</v>
      </c>
      <c r="BU177" s="930">
        <v>134</v>
      </c>
      <c r="BV177" s="931">
        <v>67</v>
      </c>
      <c r="BW177" s="931">
        <f t="shared" si="56"/>
        <v>116</v>
      </c>
      <c r="BX177" s="935">
        <f t="shared" si="57"/>
        <v>-18</v>
      </c>
      <c r="BY177" s="936">
        <v>5</v>
      </c>
      <c r="BZ177" s="931">
        <v>670</v>
      </c>
      <c r="CA177" s="931">
        <v>1340</v>
      </c>
      <c r="CB177" s="931">
        <v>33</v>
      </c>
      <c r="CC177" s="935">
        <v>67</v>
      </c>
      <c r="CD177" s="937">
        <v>40</v>
      </c>
      <c r="CE177" s="931">
        <v>30</v>
      </c>
      <c r="CF177" s="931">
        <v>0</v>
      </c>
      <c r="CG177" s="931">
        <v>0</v>
      </c>
      <c r="CH177" s="931">
        <v>0</v>
      </c>
      <c r="CI177" s="931">
        <v>1608</v>
      </c>
      <c r="CJ177" s="938">
        <v>1.2456467661691544</v>
      </c>
      <c r="CK177" s="939">
        <v>0</v>
      </c>
      <c r="CL177" s="930">
        <v>200</v>
      </c>
      <c r="CM177" s="931">
        <v>100</v>
      </c>
      <c r="CN177" s="931">
        <f t="shared" si="58"/>
        <v>173</v>
      </c>
      <c r="CO177" s="935">
        <f t="shared" si="59"/>
        <v>-27</v>
      </c>
      <c r="CP177" s="936">
        <v>5</v>
      </c>
      <c r="CQ177" s="931">
        <v>1000</v>
      </c>
      <c r="CR177" s="931">
        <v>2000</v>
      </c>
      <c r="CS177" s="931">
        <v>50</v>
      </c>
      <c r="CT177" s="935">
        <v>100</v>
      </c>
      <c r="CU177" s="937">
        <v>70</v>
      </c>
      <c r="CV177" s="931">
        <v>40</v>
      </c>
      <c r="CW177" s="931">
        <v>0</v>
      </c>
      <c r="CX177" s="931">
        <v>0</v>
      </c>
      <c r="CY177" s="931">
        <v>0</v>
      </c>
      <c r="CZ177" s="931">
        <v>3000</v>
      </c>
      <c r="DA177" s="938">
        <v>1.9558333333333333</v>
      </c>
      <c r="DB177" s="939">
        <v>0</v>
      </c>
      <c r="DC177" s="940">
        <v>144</v>
      </c>
      <c r="DD177" s="931">
        <v>100</v>
      </c>
      <c r="DE177" s="941">
        <v>0</v>
      </c>
      <c r="DF177" s="941">
        <v>0</v>
      </c>
      <c r="DG177" s="941">
        <v>0</v>
      </c>
      <c r="DH177" s="931">
        <v>5979</v>
      </c>
      <c r="DI177" s="938">
        <v>4.1666666666666666E-3</v>
      </c>
      <c r="DJ177" s="939">
        <v>0.69444444444444442</v>
      </c>
      <c r="DK177" s="942">
        <v>0</v>
      </c>
      <c r="DL177" s="943" t="s">
        <v>43</v>
      </c>
      <c r="DM177" s="944">
        <v>111</v>
      </c>
      <c r="DN177" s="945">
        <v>333</v>
      </c>
      <c r="DO177" s="946"/>
      <c r="DP177" s="946"/>
      <c r="DQ177" s="946"/>
      <c r="DR177" s="946"/>
      <c r="DS177" s="946"/>
      <c r="DT177" s="946"/>
      <c r="DU177" s="946"/>
      <c r="DV177" s="946"/>
      <c r="DW177" s="946"/>
      <c r="DX177" s="947"/>
      <c r="DY177" s="948" t="s">
        <v>43</v>
      </c>
      <c r="DZ177" s="949"/>
      <c r="EA177" s="950"/>
      <c r="EB177" s="950"/>
      <c r="EC177" s="951"/>
      <c r="ED177" s="952">
        <v>80</v>
      </c>
      <c r="EE177" s="931">
        <v>200</v>
      </c>
      <c r="EF177" s="931">
        <v>400</v>
      </c>
      <c r="EG177" s="931">
        <v>800</v>
      </c>
      <c r="EH177" s="935">
        <v>1400</v>
      </c>
      <c r="EI177" s="953">
        <v>3</v>
      </c>
      <c r="EJ177" s="954" t="s">
        <v>620</v>
      </c>
    </row>
    <row r="178" spans="2:140">
      <c r="B178" s="100" t="s">
        <v>532</v>
      </c>
      <c r="C178" s="917" t="s">
        <v>186</v>
      </c>
      <c r="D178" s="918"/>
      <c r="E178" s="919" t="s">
        <v>43</v>
      </c>
      <c r="F178" s="920" t="s">
        <v>43</v>
      </c>
      <c r="G178" s="921"/>
      <c r="H178" s="922">
        <v>2</v>
      </c>
      <c r="I178" s="923" t="s">
        <v>186</v>
      </c>
      <c r="J178" s="924">
        <v>2</v>
      </c>
      <c r="K178" s="925">
        <v>0.05</v>
      </c>
      <c r="L178" s="926">
        <v>2</v>
      </c>
      <c r="M178" s="927">
        <v>1</v>
      </c>
      <c r="N178" s="920">
        <v>8016</v>
      </c>
      <c r="O178" s="928">
        <v>42401</v>
      </c>
      <c r="P178" s="929" t="s">
        <v>206</v>
      </c>
      <c r="Q178" s="930">
        <v>200</v>
      </c>
      <c r="R178" s="931">
        <v>100</v>
      </c>
      <c r="S178" s="932">
        <v>2000</v>
      </c>
      <c r="T178" s="933" t="s">
        <v>561</v>
      </c>
      <c r="U178" s="934" t="s">
        <v>585</v>
      </c>
      <c r="V178" s="930">
        <v>67</v>
      </c>
      <c r="W178" s="931">
        <v>34</v>
      </c>
      <c r="X178" s="931">
        <f t="shared" si="50"/>
        <v>58</v>
      </c>
      <c r="Y178" s="935">
        <f t="shared" si="51"/>
        <v>-9</v>
      </c>
      <c r="Z178" s="936">
        <v>5</v>
      </c>
      <c r="AA178" s="931">
        <v>335</v>
      </c>
      <c r="AB178" s="931">
        <v>670</v>
      </c>
      <c r="AC178" s="931">
        <v>16</v>
      </c>
      <c r="AD178" s="935">
        <v>33</v>
      </c>
      <c r="AE178" s="937">
        <v>4</v>
      </c>
      <c r="AF178" s="931">
        <v>0</v>
      </c>
      <c r="AG178" s="931">
        <v>0</v>
      </c>
      <c r="AH178" s="931">
        <v>0</v>
      </c>
      <c r="AI178" s="931">
        <v>0</v>
      </c>
      <c r="AJ178" s="931">
        <v>101</v>
      </c>
      <c r="AK178" s="938">
        <v>0</v>
      </c>
      <c r="AL178" s="939">
        <v>0</v>
      </c>
      <c r="AM178" s="930">
        <v>84</v>
      </c>
      <c r="AN178" s="931">
        <v>42</v>
      </c>
      <c r="AO178" s="931">
        <f t="shared" si="52"/>
        <v>72</v>
      </c>
      <c r="AP178" s="935">
        <f t="shared" si="53"/>
        <v>-12</v>
      </c>
      <c r="AQ178" s="936">
        <v>5</v>
      </c>
      <c r="AR178" s="931">
        <v>420</v>
      </c>
      <c r="AS178" s="931">
        <v>840</v>
      </c>
      <c r="AT178" s="931">
        <v>21</v>
      </c>
      <c r="AU178" s="935">
        <v>42</v>
      </c>
      <c r="AV178" s="937">
        <v>10</v>
      </c>
      <c r="AW178" s="931">
        <v>10</v>
      </c>
      <c r="AX178" s="931">
        <v>0</v>
      </c>
      <c r="AY178" s="931">
        <v>0</v>
      </c>
      <c r="AZ178" s="931">
        <v>0</v>
      </c>
      <c r="BA178" s="931">
        <v>420</v>
      </c>
      <c r="BB178" s="938">
        <v>0.33333333333333331</v>
      </c>
      <c r="BC178" s="939">
        <v>1</v>
      </c>
      <c r="BD178" s="930">
        <v>100</v>
      </c>
      <c r="BE178" s="931">
        <v>50</v>
      </c>
      <c r="BF178" s="931">
        <f t="shared" si="54"/>
        <v>86</v>
      </c>
      <c r="BG178" s="935">
        <f t="shared" si="55"/>
        <v>-14</v>
      </c>
      <c r="BH178" s="936">
        <v>5</v>
      </c>
      <c r="BI178" s="931">
        <v>500</v>
      </c>
      <c r="BJ178" s="931">
        <v>1000</v>
      </c>
      <c r="BK178" s="931">
        <v>25</v>
      </c>
      <c r="BL178" s="935">
        <v>50</v>
      </c>
      <c r="BM178" s="937">
        <v>20</v>
      </c>
      <c r="BN178" s="931">
        <v>20</v>
      </c>
      <c r="BO178" s="931">
        <v>0</v>
      </c>
      <c r="BP178" s="931">
        <v>0</v>
      </c>
      <c r="BQ178" s="931">
        <v>0</v>
      </c>
      <c r="BR178" s="931">
        <v>850</v>
      </c>
      <c r="BS178" s="938">
        <v>0.70166666666666666</v>
      </c>
      <c r="BT178" s="939">
        <v>1</v>
      </c>
      <c r="BU178" s="930">
        <v>134</v>
      </c>
      <c r="BV178" s="931">
        <v>67</v>
      </c>
      <c r="BW178" s="931">
        <f t="shared" si="56"/>
        <v>116</v>
      </c>
      <c r="BX178" s="935">
        <f t="shared" si="57"/>
        <v>-18</v>
      </c>
      <c r="BY178" s="936">
        <v>5</v>
      </c>
      <c r="BZ178" s="931">
        <v>670</v>
      </c>
      <c r="CA178" s="931">
        <v>1340</v>
      </c>
      <c r="CB178" s="931">
        <v>33</v>
      </c>
      <c r="CC178" s="935">
        <v>67</v>
      </c>
      <c r="CD178" s="937">
        <v>40</v>
      </c>
      <c r="CE178" s="931">
        <v>30</v>
      </c>
      <c r="CF178" s="931">
        <v>0</v>
      </c>
      <c r="CG178" s="931">
        <v>0</v>
      </c>
      <c r="CH178" s="931">
        <v>0</v>
      </c>
      <c r="CI178" s="931">
        <v>1608</v>
      </c>
      <c r="CJ178" s="938">
        <v>1.2456467661691544</v>
      </c>
      <c r="CK178" s="939">
        <v>0</v>
      </c>
      <c r="CL178" s="930">
        <v>200</v>
      </c>
      <c r="CM178" s="931">
        <v>100</v>
      </c>
      <c r="CN178" s="931">
        <f t="shared" si="58"/>
        <v>173</v>
      </c>
      <c r="CO178" s="935">
        <f t="shared" si="59"/>
        <v>-27</v>
      </c>
      <c r="CP178" s="936">
        <v>5</v>
      </c>
      <c r="CQ178" s="931">
        <v>1000</v>
      </c>
      <c r="CR178" s="931">
        <v>2000</v>
      </c>
      <c r="CS178" s="931">
        <v>50</v>
      </c>
      <c r="CT178" s="935">
        <v>100</v>
      </c>
      <c r="CU178" s="937">
        <v>70</v>
      </c>
      <c r="CV178" s="931">
        <v>40</v>
      </c>
      <c r="CW178" s="931">
        <v>0</v>
      </c>
      <c r="CX178" s="931">
        <v>0</v>
      </c>
      <c r="CY178" s="931">
        <v>0</v>
      </c>
      <c r="CZ178" s="931">
        <v>3000</v>
      </c>
      <c r="DA178" s="938">
        <v>1.9558333333333333</v>
      </c>
      <c r="DB178" s="939">
        <v>0</v>
      </c>
      <c r="DC178" s="940">
        <v>144</v>
      </c>
      <c r="DD178" s="931">
        <v>100</v>
      </c>
      <c r="DE178" s="941">
        <v>0</v>
      </c>
      <c r="DF178" s="941">
        <v>0</v>
      </c>
      <c r="DG178" s="941">
        <v>0</v>
      </c>
      <c r="DH178" s="931">
        <v>5979</v>
      </c>
      <c r="DI178" s="938">
        <v>4.1666666666666666E-3</v>
      </c>
      <c r="DJ178" s="939">
        <v>0.69444444444444442</v>
      </c>
      <c r="DK178" s="942">
        <v>0</v>
      </c>
      <c r="DL178" s="943" t="s">
        <v>43</v>
      </c>
      <c r="DM178" s="944">
        <v>250</v>
      </c>
      <c r="DN178" s="945">
        <v>777</v>
      </c>
      <c r="DO178" s="946"/>
      <c r="DP178" s="946"/>
      <c r="DQ178" s="946"/>
      <c r="DR178" s="946"/>
      <c r="DS178" s="946"/>
      <c r="DT178" s="946"/>
      <c r="DU178" s="946"/>
      <c r="DV178" s="946"/>
      <c r="DW178" s="946"/>
      <c r="DX178" s="947"/>
      <c r="DY178" s="948" t="s">
        <v>43</v>
      </c>
      <c r="DZ178" s="949"/>
      <c r="EA178" s="950"/>
      <c r="EB178" s="950"/>
      <c r="EC178" s="951"/>
      <c r="ED178" s="952">
        <v>160</v>
      </c>
      <c r="EE178" s="931">
        <v>400</v>
      </c>
      <c r="EF178" s="931">
        <v>800</v>
      </c>
      <c r="EG178" s="931">
        <v>1600</v>
      </c>
      <c r="EH178" s="935">
        <v>2800</v>
      </c>
      <c r="EI178" s="953">
        <v>1.5</v>
      </c>
      <c r="EJ178" s="954" t="s">
        <v>622</v>
      </c>
    </row>
    <row r="179" spans="2:140">
      <c r="B179" s="100" t="s">
        <v>726</v>
      </c>
      <c r="C179" s="917" t="s">
        <v>186</v>
      </c>
      <c r="D179" s="918"/>
      <c r="E179" s="919" t="s">
        <v>43</v>
      </c>
      <c r="F179" s="920" t="s">
        <v>43</v>
      </c>
      <c r="G179" s="921"/>
      <c r="H179" s="922">
        <v>1</v>
      </c>
      <c r="I179" s="923" t="s">
        <v>186</v>
      </c>
      <c r="J179" s="924">
        <v>2</v>
      </c>
      <c r="K179" s="925">
        <v>0.05</v>
      </c>
      <c r="L179" s="926">
        <v>2</v>
      </c>
      <c r="M179" s="927">
        <v>1</v>
      </c>
      <c r="N179" s="920">
        <v>8019</v>
      </c>
      <c r="O179" s="928">
        <v>42413</v>
      </c>
      <c r="P179" s="929" t="s">
        <v>206</v>
      </c>
      <c r="Q179" s="930">
        <v>200</v>
      </c>
      <c r="R179" s="931">
        <v>100</v>
      </c>
      <c r="S179" s="932">
        <v>2000</v>
      </c>
      <c r="T179" s="933" t="s">
        <v>728</v>
      </c>
      <c r="U179" s="934" t="s">
        <v>732</v>
      </c>
      <c r="V179" s="930">
        <v>67</v>
      </c>
      <c r="W179" s="931">
        <v>34</v>
      </c>
      <c r="X179" s="931">
        <f t="shared" si="50"/>
        <v>58</v>
      </c>
      <c r="Y179" s="935">
        <f t="shared" si="51"/>
        <v>-9</v>
      </c>
      <c r="Z179" s="936">
        <v>5</v>
      </c>
      <c r="AA179" s="931">
        <v>335</v>
      </c>
      <c r="AB179" s="931">
        <v>670</v>
      </c>
      <c r="AC179" s="931">
        <v>16</v>
      </c>
      <c r="AD179" s="935">
        <v>33</v>
      </c>
      <c r="AE179" s="937">
        <v>4</v>
      </c>
      <c r="AF179" s="931">
        <v>0</v>
      </c>
      <c r="AG179" s="931">
        <v>0</v>
      </c>
      <c r="AH179" s="931">
        <v>0</v>
      </c>
      <c r="AI179" s="931">
        <v>0</v>
      </c>
      <c r="AJ179" s="931">
        <v>101</v>
      </c>
      <c r="AK179" s="938">
        <v>0</v>
      </c>
      <c r="AL179" s="939">
        <v>0</v>
      </c>
      <c r="AM179" s="930">
        <v>84</v>
      </c>
      <c r="AN179" s="931">
        <v>42</v>
      </c>
      <c r="AO179" s="931">
        <f t="shared" si="52"/>
        <v>72</v>
      </c>
      <c r="AP179" s="935">
        <f t="shared" si="53"/>
        <v>-12</v>
      </c>
      <c r="AQ179" s="936">
        <v>5</v>
      </c>
      <c r="AR179" s="931">
        <v>420</v>
      </c>
      <c r="AS179" s="931">
        <v>840</v>
      </c>
      <c r="AT179" s="931">
        <v>21</v>
      </c>
      <c r="AU179" s="935">
        <v>42</v>
      </c>
      <c r="AV179" s="937">
        <v>10</v>
      </c>
      <c r="AW179" s="931">
        <v>10</v>
      </c>
      <c r="AX179" s="931">
        <v>0</v>
      </c>
      <c r="AY179" s="931">
        <v>0</v>
      </c>
      <c r="AZ179" s="931">
        <v>0</v>
      </c>
      <c r="BA179" s="931">
        <v>420</v>
      </c>
      <c r="BB179" s="938">
        <v>0.33333333333333331</v>
      </c>
      <c r="BC179" s="939">
        <v>1</v>
      </c>
      <c r="BD179" s="930">
        <v>100</v>
      </c>
      <c r="BE179" s="931">
        <v>50</v>
      </c>
      <c r="BF179" s="931">
        <f t="shared" si="54"/>
        <v>86</v>
      </c>
      <c r="BG179" s="935">
        <f t="shared" si="55"/>
        <v>-14</v>
      </c>
      <c r="BH179" s="936">
        <v>5</v>
      </c>
      <c r="BI179" s="931">
        <v>500</v>
      </c>
      <c r="BJ179" s="931">
        <v>1000</v>
      </c>
      <c r="BK179" s="931">
        <v>25</v>
      </c>
      <c r="BL179" s="935">
        <v>50</v>
      </c>
      <c r="BM179" s="937">
        <v>20</v>
      </c>
      <c r="BN179" s="931">
        <v>20</v>
      </c>
      <c r="BO179" s="931">
        <v>0</v>
      </c>
      <c r="BP179" s="931">
        <v>0</v>
      </c>
      <c r="BQ179" s="931">
        <v>0</v>
      </c>
      <c r="BR179" s="931">
        <v>850</v>
      </c>
      <c r="BS179" s="938">
        <v>0.70166666666666666</v>
      </c>
      <c r="BT179" s="939">
        <v>1</v>
      </c>
      <c r="BU179" s="930">
        <v>134</v>
      </c>
      <c r="BV179" s="931">
        <v>67</v>
      </c>
      <c r="BW179" s="931">
        <f t="shared" si="56"/>
        <v>116</v>
      </c>
      <c r="BX179" s="935">
        <f t="shared" si="57"/>
        <v>-18</v>
      </c>
      <c r="BY179" s="936">
        <v>5</v>
      </c>
      <c r="BZ179" s="931">
        <v>670</v>
      </c>
      <c r="CA179" s="931">
        <v>1340</v>
      </c>
      <c r="CB179" s="931">
        <v>33</v>
      </c>
      <c r="CC179" s="935">
        <v>67</v>
      </c>
      <c r="CD179" s="937">
        <v>40</v>
      </c>
      <c r="CE179" s="931">
        <v>30</v>
      </c>
      <c r="CF179" s="931">
        <v>0</v>
      </c>
      <c r="CG179" s="931">
        <v>0</v>
      </c>
      <c r="CH179" s="931">
        <v>0</v>
      </c>
      <c r="CI179" s="931">
        <v>1608</v>
      </c>
      <c r="CJ179" s="938">
        <v>1.2456467661691544</v>
      </c>
      <c r="CK179" s="939">
        <v>0</v>
      </c>
      <c r="CL179" s="930">
        <v>200</v>
      </c>
      <c r="CM179" s="931">
        <v>100</v>
      </c>
      <c r="CN179" s="931">
        <f t="shared" si="58"/>
        <v>173</v>
      </c>
      <c r="CO179" s="935">
        <f t="shared" si="59"/>
        <v>-27</v>
      </c>
      <c r="CP179" s="936">
        <v>5</v>
      </c>
      <c r="CQ179" s="931">
        <v>1000</v>
      </c>
      <c r="CR179" s="931">
        <v>2000</v>
      </c>
      <c r="CS179" s="931">
        <v>50</v>
      </c>
      <c r="CT179" s="935">
        <v>100</v>
      </c>
      <c r="CU179" s="937">
        <v>70</v>
      </c>
      <c r="CV179" s="931">
        <v>40</v>
      </c>
      <c r="CW179" s="931">
        <v>0</v>
      </c>
      <c r="CX179" s="931">
        <v>0</v>
      </c>
      <c r="CY179" s="931">
        <v>0</v>
      </c>
      <c r="CZ179" s="931">
        <v>3000</v>
      </c>
      <c r="DA179" s="938">
        <v>1.9558333333333333</v>
      </c>
      <c r="DB179" s="939">
        <v>0</v>
      </c>
      <c r="DC179" s="940">
        <v>144</v>
      </c>
      <c r="DD179" s="931">
        <v>100</v>
      </c>
      <c r="DE179" s="941">
        <v>0</v>
      </c>
      <c r="DF179" s="941">
        <v>0</v>
      </c>
      <c r="DG179" s="941">
        <v>0</v>
      </c>
      <c r="DH179" s="931">
        <v>5979</v>
      </c>
      <c r="DI179" s="938">
        <v>4.1666666666666666E-3</v>
      </c>
      <c r="DJ179" s="939">
        <v>0.69444444444444442</v>
      </c>
      <c r="DK179" s="942">
        <v>0</v>
      </c>
      <c r="DL179" s="943" t="s">
        <v>43</v>
      </c>
      <c r="DM179" s="944">
        <v>111</v>
      </c>
      <c r="DN179" s="945">
        <v>333</v>
      </c>
      <c r="DO179" s="946"/>
      <c r="DP179" s="946"/>
      <c r="DQ179" s="946"/>
      <c r="DR179" s="946"/>
      <c r="DS179" s="946"/>
      <c r="DT179" s="946"/>
      <c r="DU179" s="946"/>
      <c r="DV179" s="946"/>
      <c r="DW179" s="946"/>
      <c r="DX179" s="947"/>
      <c r="DY179" s="948" t="s">
        <v>43</v>
      </c>
      <c r="DZ179" s="949"/>
      <c r="EA179" s="950"/>
      <c r="EB179" s="950"/>
      <c r="EC179" s="951"/>
      <c r="ED179" s="952">
        <v>80</v>
      </c>
      <c r="EE179" s="931">
        <v>200</v>
      </c>
      <c r="EF179" s="931">
        <v>400</v>
      </c>
      <c r="EG179" s="931">
        <v>800</v>
      </c>
      <c r="EH179" s="935">
        <v>1400</v>
      </c>
      <c r="EI179" s="953">
        <v>3</v>
      </c>
      <c r="EJ179" s="954" t="s">
        <v>734</v>
      </c>
    </row>
    <row r="180" spans="2:140">
      <c r="B180" s="100" t="s">
        <v>727</v>
      </c>
      <c r="C180" s="917" t="s">
        <v>186</v>
      </c>
      <c r="D180" s="918"/>
      <c r="E180" s="919" t="s">
        <v>43</v>
      </c>
      <c r="F180" s="920" t="s">
        <v>43</v>
      </c>
      <c r="G180" s="921"/>
      <c r="H180" s="922">
        <v>2</v>
      </c>
      <c r="I180" s="923" t="s">
        <v>186</v>
      </c>
      <c r="J180" s="924">
        <v>2</v>
      </c>
      <c r="K180" s="925">
        <v>0.05</v>
      </c>
      <c r="L180" s="926">
        <v>2</v>
      </c>
      <c r="M180" s="927">
        <v>1</v>
      </c>
      <c r="N180" s="920">
        <v>8018</v>
      </c>
      <c r="O180" s="928">
        <v>42413</v>
      </c>
      <c r="P180" s="929" t="s">
        <v>206</v>
      </c>
      <c r="Q180" s="930">
        <v>200</v>
      </c>
      <c r="R180" s="931">
        <v>100</v>
      </c>
      <c r="S180" s="932">
        <v>2000</v>
      </c>
      <c r="T180" s="933" t="s">
        <v>729</v>
      </c>
      <c r="U180" s="934" t="s">
        <v>732</v>
      </c>
      <c r="V180" s="930">
        <v>67</v>
      </c>
      <c r="W180" s="931">
        <v>34</v>
      </c>
      <c r="X180" s="931">
        <f t="shared" si="50"/>
        <v>58</v>
      </c>
      <c r="Y180" s="935">
        <f t="shared" si="51"/>
        <v>-9</v>
      </c>
      <c r="Z180" s="936">
        <v>5</v>
      </c>
      <c r="AA180" s="931">
        <v>335</v>
      </c>
      <c r="AB180" s="931">
        <v>670</v>
      </c>
      <c r="AC180" s="931">
        <v>16</v>
      </c>
      <c r="AD180" s="935">
        <v>33</v>
      </c>
      <c r="AE180" s="937">
        <v>4</v>
      </c>
      <c r="AF180" s="931">
        <v>0</v>
      </c>
      <c r="AG180" s="931">
        <v>0</v>
      </c>
      <c r="AH180" s="931">
        <v>0</v>
      </c>
      <c r="AI180" s="931">
        <v>0</v>
      </c>
      <c r="AJ180" s="931">
        <v>101</v>
      </c>
      <c r="AK180" s="938">
        <v>0</v>
      </c>
      <c r="AL180" s="939">
        <v>0</v>
      </c>
      <c r="AM180" s="930">
        <v>84</v>
      </c>
      <c r="AN180" s="931">
        <v>42</v>
      </c>
      <c r="AO180" s="931">
        <f t="shared" si="52"/>
        <v>72</v>
      </c>
      <c r="AP180" s="935">
        <f t="shared" si="53"/>
        <v>-12</v>
      </c>
      <c r="AQ180" s="936">
        <v>5</v>
      </c>
      <c r="AR180" s="931">
        <v>420</v>
      </c>
      <c r="AS180" s="931">
        <v>840</v>
      </c>
      <c r="AT180" s="931">
        <v>21</v>
      </c>
      <c r="AU180" s="935">
        <v>42</v>
      </c>
      <c r="AV180" s="937">
        <v>10</v>
      </c>
      <c r="AW180" s="931">
        <v>10</v>
      </c>
      <c r="AX180" s="931">
        <v>0</v>
      </c>
      <c r="AY180" s="931">
        <v>0</v>
      </c>
      <c r="AZ180" s="931">
        <v>0</v>
      </c>
      <c r="BA180" s="931">
        <v>420</v>
      </c>
      <c r="BB180" s="938">
        <v>0.33333333333333331</v>
      </c>
      <c r="BC180" s="939">
        <v>1</v>
      </c>
      <c r="BD180" s="930">
        <v>100</v>
      </c>
      <c r="BE180" s="931">
        <v>50</v>
      </c>
      <c r="BF180" s="931">
        <f t="shared" si="54"/>
        <v>86</v>
      </c>
      <c r="BG180" s="935">
        <f t="shared" si="55"/>
        <v>-14</v>
      </c>
      <c r="BH180" s="936">
        <v>5</v>
      </c>
      <c r="BI180" s="931">
        <v>500</v>
      </c>
      <c r="BJ180" s="931">
        <v>1000</v>
      </c>
      <c r="BK180" s="931">
        <v>25</v>
      </c>
      <c r="BL180" s="935">
        <v>50</v>
      </c>
      <c r="BM180" s="937">
        <v>20</v>
      </c>
      <c r="BN180" s="931">
        <v>20</v>
      </c>
      <c r="BO180" s="931">
        <v>0</v>
      </c>
      <c r="BP180" s="931">
        <v>0</v>
      </c>
      <c r="BQ180" s="931">
        <v>0</v>
      </c>
      <c r="BR180" s="931">
        <v>850</v>
      </c>
      <c r="BS180" s="938">
        <v>0.70166666666666666</v>
      </c>
      <c r="BT180" s="939">
        <v>1</v>
      </c>
      <c r="BU180" s="930">
        <v>134</v>
      </c>
      <c r="BV180" s="931">
        <v>67</v>
      </c>
      <c r="BW180" s="931">
        <f t="shared" si="56"/>
        <v>116</v>
      </c>
      <c r="BX180" s="935">
        <f t="shared" si="57"/>
        <v>-18</v>
      </c>
      <c r="BY180" s="936">
        <v>5</v>
      </c>
      <c r="BZ180" s="931">
        <v>670</v>
      </c>
      <c r="CA180" s="931">
        <v>1340</v>
      </c>
      <c r="CB180" s="931">
        <v>33</v>
      </c>
      <c r="CC180" s="935">
        <v>67</v>
      </c>
      <c r="CD180" s="937">
        <v>40</v>
      </c>
      <c r="CE180" s="931">
        <v>30</v>
      </c>
      <c r="CF180" s="931">
        <v>0</v>
      </c>
      <c r="CG180" s="931">
        <v>0</v>
      </c>
      <c r="CH180" s="931">
        <v>0</v>
      </c>
      <c r="CI180" s="931">
        <v>1608</v>
      </c>
      <c r="CJ180" s="938">
        <v>1.2456467661691544</v>
      </c>
      <c r="CK180" s="939">
        <v>0</v>
      </c>
      <c r="CL180" s="930">
        <v>200</v>
      </c>
      <c r="CM180" s="931">
        <v>100</v>
      </c>
      <c r="CN180" s="931">
        <f t="shared" si="58"/>
        <v>173</v>
      </c>
      <c r="CO180" s="935">
        <f t="shared" si="59"/>
        <v>-27</v>
      </c>
      <c r="CP180" s="936">
        <v>5</v>
      </c>
      <c r="CQ180" s="931">
        <v>1000</v>
      </c>
      <c r="CR180" s="931">
        <v>2000</v>
      </c>
      <c r="CS180" s="931">
        <v>50</v>
      </c>
      <c r="CT180" s="935">
        <v>100</v>
      </c>
      <c r="CU180" s="937">
        <v>70</v>
      </c>
      <c r="CV180" s="931">
        <v>40</v>
      </c>
      <c r="CW180" s="931">
        <v>0</v>
      </c>
      <c r="CX180" s="931">
        <v>0</v>
      </c>
      <c r="CY180" s="931">
        <v>0</v>
      </c>
      <c r="CZ180" s="931">
        <v>3000</v>
      </c>
      <c r="DA180" s="938">
        <v>1.9558333333333333</v>
      </c>
      <c r="DB180" s="939">
        <v>0</v>
      </c>
      <c r="DC180" s="940">
        <v>144</v>
      </c>
      <c r="DD180" s="931">
        <v>100</v>
      </c>
      <c r="DE180" s="941">
        <v>0</v>
      </c>
      <c r="DF180" s="941">
        <v>0</v>
      </c>
      <c r="DG180" s="941">
        <v>0</v>
      </c>
      <c r="DH180" s="931">
        <v>5979</v>
      </c>
      <c r="DI180" s="938">
        <v>4.1666666666666666E-3</v>
      </c>
      <c r="DJ180" s="939">
        <v>0.69444444444444442</v>
      </c>
      <c r="DK180" s="942">
        <v>0</v>
      </c>
      <c r="DL180" s="943" t="s">
        <v>43</v>
      </c>
      <c r="DM180" s="944">
        <v>250</v>
      </c>
      <c r="DN180" s="945">
        <v>777</v>
      </c>
      <c r="DO180" s="946"/>
      <c r="DP180" s="946"/>
      <c r="DQ180" s="946"/>
      <c r="DR180" s="946"/>
      <c r="DS180" s="946"/>
      <c r="DT180" s="946"/>
      <c r="DU180" s="946"/>
      <c r="DV180" s="946"/>
      <c r="DW180" s="946"/>
      <c r="DX180" s="947"/>
      <c r="DY180" s="948" t="s">
        <v>43</v>
      </c>
      <c r="DZ180" s="949"/>
      <c r="EA180" s="950"/>
      <c r="EB180" s="950"/>
      <c r="EC180" s="951"/>
      <c r="ED180" s="952">
        <v>160</v>
      </c>
      <c r="EE180" s="931">
        <v>400</v>
      </c>
      <c r="EF180" s="931">
        <v>800</v>
      </c>
      <c r="EG180" s="931">
        <v>1600</v>
      </c>
      <c r="EH180" s="935">
        <v>2800</v>
      </c>
      <c r="EI180" s="953">
        <v>1.5</v>
      </c>
      <c r="EJ180" s="954" t="s">
        <v>736</v>
      </c>
    </row>
  </sheetData>
  <autoFilter ref="B5:EJ180"/>
  <phoneticPr fontId="15"/>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E180"/>
  <sheetViews>
    <sheetView topLeftCell="CI1" workbookViewId="0">
      <selection activeCell="O6" sqref="O6"/>
    </sheetView>
  </sheetViews>
  <sheetFormatPr defaultRowHeight="13.2"/>
  <sheetData>
    <row r="1" spans="1:109">
      <c r="A1">
        <v>175</v>
      </c>
    </row>
    <row r="6" spans="1:109">
      <c r="A6">
        <v>5</v>
      </c>
      <c r="B6" t="s">
        <v>817</v>
      </c>
      <c r="C6" t="s">
        <v>48</v>
      </c>
      <c r="E6" t="s">
        <v>43</v>
      </c>
      <c r="H6">
        <v>1</v>
      </c>
      <c r="I6" t="s">
        <v>268</v>
      </c>
      <c r="J6">
        <v>4</v>
      </c>
      <c r="K6">
        <v>2.5000000000000001E-2</v>
      </c>
      <c r="L6">
        <v>3.5087719298245612</v>
      </c>
      <c r="M6">
        <v>30</v>
      </c>
      <c r="N6" t="s">
        <v>47</v>
      </c>
      <c r="O6" t="s">
        <v>98</v>
      </c>
      <c r="P6">
        <v>0</v>
      </c>
      <c r="Q6">
        <v>0</v>
      </c>
      <c r="R6">
        <v>0</v>
      </c>
      <c r="S6">
        <v>0</v>
      </c>
      <c r="T6">
        <v>0</v>
      </c>
      <c r="U6">
        <v>0</v>
      </c>
      <c r="V6">
        <v>0</v>
      </c>
      <c r="W6">
        <v>0</v>
      </c>
      <c r="X6">
        <v>0</v>
      </c>
      <c r="Y6">
        <v>0</v>
      </c>
      <c r="Z6">
        <v>0</v>
      </c>
      <c r="AA6">
        <v>0</v>
      </c>
      <c r="AB6">
        <v>0</v>
      </c>
      <c r="AC6">
        <v>0</v>
      </c>
      <c r="AD6">
        <v>200</v>
      </c>
      <c r="AE6">
        <v>57</v>
      </c>
      <c r="AF6">
        <v>3</v>
      </c>
      <c r="AG6">
        <v>600</v>
      </c>
      <c r="AH6">
        <v>2400</v>
      </c>
      <c r="AI6">
        <v>15</v>
      </c>
      <c r="AJ6">
        <v>60</v>
      </c>
      <c r="AK6">
        <v>8.3333333333333339E-4</v>
      </c>
      <c r="AL6">
        <v>500</v>
      </c>
      <c r="AM6">
        <v>0</v>
      </c>
      <c r="AN6">
        <v>0</v>
      </c>
      <c r="AO6">
        <v>0</v>
      </c>
      <c r="AP6">
        <v>3.4722222222222224E-2</v>
      </c>
      <c r="AQ6">
        <v>600000</v>
      </c>
      <c r="AR6">
        <v>300</v>
      </c>
      <c r="AS6">
        <v>85</v>
      </c>
      <c r="AT6">
        <v>3</v>
      </c>
      <c r="AU6">
        <v>900</v>
      </c>
      <c r="AV6">
        <v>3600</v>
      </c>
      <c r="AW6">
        <v>22</v>
      </c>
      <c r="AX6">
        <v>90</v>
      </c>
      <c r="AY6">
        <v>8.3333333333333329E-2</v>
      </c>
      <c r="AZ6">
        <v>3000</v>
      </c>
      <c r="BA6">
        <v>0</v>
      </c>
      <c r="BB6">
        <v>0</v>
      </c>
      <c r="BC6">
        <v>0</v>
      </c>
      <c r="BD6">
        <v>0.14120370370370369</v>
      </c>
      <c r="BE6">
        <v>36000</v>
      </c>
      <c r="BF6">
        <v>350</v>
      </c>
      <c r="BG6">
        <v>99</v>
      </c>
      <c r="BH6">
        <v>3</v>
      </c>
      <c r="BI6">
        <v>1050</v>
      </c>
      <c r="BJ6">
        <v>4200</v>
      </c>
      <c r="BK6">
        <v>26</v>
      </c>
      <c r="BL6">
        <v>105</v>
      </c>
      <c r="BM6">
        <v>0.5</v>
      </c>
      <c r="BN6">
        <v>6000</v>
      </c>
      <c r="BO6">
        <v>1</v>
      </c>
      <c r="BP6">
        <v>0</v>
      </c>
      <c r="BQ6">
        <v>0</v>
      </c>
      <c r="BR6">
        <v>0.25595238095238099</v>
      </c>
      <c r="BS6">
        <v>12000</v>
      </c>
      <c r="BT6">
        <v>380</v>
      </c>
      <c r="BU6">
        <v>108</v>
      </c>
      <c r="BV6">
        <v>3</v>
      </c>
      <c r="BW6">
        <v>1140</v>
      </c>
      <c r="BX6">
        <v>4560</v>
      </c>
      <c r="BY6">
        <v>28</v>
      </c>
      <c r="BZ6">
        <v>114</v>
      </c>
      <c r="CA6">
        <v>1</v>
      </c>
      <c r="CB6">
        <v>9000</v>
      </c>
      <c r="CC6">
        <v>0</v>
      </c>
      <c r="CD6">
        <v>0</v>
      </c>
      <c r="CE6">
        <v>0</v>
      </c>
      <c r="CF6">
        <v>0.36732456140350878</v>
      </c>
      <c r="CG6">
        <v>9000</v>
      </c>
      <c r="CH6">
        <v>400</v>
      </c>
      <c r="CI6">
        <v>114</v>
      </c>
      <c r="CJ6">
        <v>3</v>
      </c>
      <c r="CK6">
        <v>1200</v>
      </c>
      <c r="CL6">
        <v>4800</v>
      </c>
      <c r="CM6">
        <v>30</v>
      </c>
      <c r="CN6">
        <v>120</v>
      </c>
      <c r="CO6">
        <v>2</v>
      </c>
      <c r="CP6">
        <v>15000</v>
      </c>
      <c r="CQ6">
        <v>0</v>
      </c>
      <c r="CR6">
        <v>1</v>
      </c>
      <c r="CS6">
        <v>0</v>
      </c>
      <c r="CT6">
        <v>0.6</v>
      </c>
      <c r="CU6">
        <v>7500</v>
      </c>
      <c r="CV6">
        <v>3.5841666666666665</v>
      </c>
      <c r="CW6">
        <v>33500</v>
      </c>
      <c r="CX6">
        <v>1</v>
      </c>
      <c r="CY6">
        <v>1</v>
      </c>
      <c r="CZ6">
        <v>0</v>
      </c>
      <c r="DA6">
        <v>1.1631944444444444</v>
      </c>
      <c r="DB6">
        <v>9346.6635666124166</v>
      </c>
      <c r="DD6" t="s">
        <v>817</v>
      </c>
      <c r="DE6">
        <v>5</v>
      </c>
    </row>
    <row r="7" spans="1:109">
      <c r="A7">
        <v>6</v>
      </c>
      <c r="B7" t="s">
        <v>746</v>
      </c>
      <c r="C7" t="s">
        <v>54</v>
      </c>
      <c r="E7" t="s">
        <v>43</v>
      </c>
      <c r="H7">
        <v>2</v>
      </c>
      <c r="I7" t="s">
        <v>268</v>
      </c>
      <c r="J7">
        <v>3</v>
      </c>
      <c r="K7">
        <v>7.4999999999999997E-2</v>
      </c>
      <c r="L7">
        <v>2.3255813953488373</v>
      </c>
      <c r="M7">
        <v>30</v>
      </c>
      <c r="N7" t="s">
        <v>47</v>
      </c>
      <c r="O7" t="s">
        <v>98</v>
      </c>
      <c r="P7">
        <v>0</v>
      </c>
      <c r="Q7">
        <v>0</v>
      </c>
      <c r="R7">
        <v>0</v>
      </c>
      <c r="S7">
        <v>0</v>
      </c>
      <c r="T7">
        <v>0</v>
      </c>
      <c r="U7">
        <v>0</v>
      </c>
      <c r="V7">
        <v>0</v>
      </c>
      <c r="W7">
        <v>0</v>
      </c>
      <c r="X7">
        <v>0</v>
      </c>
      <c r="Y7">
        <v>0</v>
      </c>
      <c r="Z7">
        <v>0</v>
      </c>
      <c r="AA7">
        <v>0</v>
      </c>
      <c r="AB7">
        <v>0</v>
      </c>
      <c r="AC7">
        <v>0</v>
      </c>
      <c r="AD7">
        <v>200</v>
      </c>
      <c r="AE7">
        <v>86</v>
      </c>
      <c r="AF7">
        <v>4</v>
      </c>
      <c r="AG7">
        <v>800</v>
      </c>
      <c r="AH7">
        <v>2400</v>
      </c>
      <c r="AI7">
        <v>60</v>
      </c>
      <c r="AJ7">
        <v>180</v>
      </c>
      <c r="AK7">
        <v>8.3333333333333339E-4</v>
      </c>
      <c r="AL7">
        <v>1500</v>
      </c>
      <c r="AM7">
        <v>0</v>
      </c>
      <c r="AN7">
        <v>0</v>
      </c>
      <c r="AO7">
        <v>0</v>
      </c>
      <c r="AP7">
        <v>7.8125E-2</v>
      </c>
      <c r="AQ7">
        <v>1800000</v>
      </c>
      <c r="AR7">
        <v>300</v>
      </c>
      <c r="AS7">
        <v>129</v>
      </c>
      <c r="AT7">
        <v>4</v>
      </c>
      <c r="AU7">
        <v>1200</v>
      </c>
      <c r="AV7">
        <v>3600</v>
      </c>
      <c r="AW7">
        <v>90</v>
      </c>
      <c r="AX7">
        <v>270</v>
      </c>
      <c r="AY7">
        <v>8.3333333333333329E-2</v>
      </c>
      <c r="AZ7">
        <v>5000</v>
      </c>
      <c r="BA7">
        <v>0</v>
      </c>
      <c r="BB7">
        <v>0</v>
      </c>
      <c r="BC7">
        <v>0</v>
      </c>
      <c r="BD7">
        <v>0.17592592592592593</v>
      </c>
      <c r="BE7">
        <v>60000</v>
      </c>
      <c r="BF7">
        <v>350</v>
      </c>
      <c r="BG7">
        <v>150</v>
      </c>
      <c r="BH7">
        <v>4</v>
      </c>
      <c r="BI7">
        <v>1400</v>
      </c>
      <c r="BJ7">
        <v>4200</v>
      </c>
      <c r="BK7">
        <v>105</v>
      </c>
      <c r="BL7">
        <v>315</v>
      </c>
      <c r="BM7">
        <v>0.5</v>
      </c>
      <c r="BN7">
        <v>10000</v>
      </c>
      <c r="BO7">
        <v>1</v>
      </c>
      <c r="BP7">
        <v>0</v>
      </c>
      <c r="BQ7">
        <v>0</v>
      </c>
      <c r="BR7">
        <v>0.31547619047619047</v>
      </c>
      <c r="BS7">
        <v>20000</v>
      </c>
      <c r="BT7">
        <v>380</v>
      </c>
      <c r="BU7">
        <v>163</v>
      </c>
      <c r="BV7">
        <v>4</v>
      </c>
      <c r="BW7">
        <v>1520</v>
      </c>
      <c r="BX7">
        <v>4560</v>
      </c>
      <c r="BY7">
        <v>114</v>
      </c>
      <c r="BZ7">
        <v>342</v>
      </c>
      <c r="CA7">
        <v>1</v>
      </c>
      <c r="CB7">
        <v>15000</v>
      </c>
      <c r="CC7">
        <v>0</v>
      </c>
      <c r="CD7">
        <v>0</v>
      </c>
      <c r="CE7">
        <v>0</v>
      </c>
      <c r="CF7">
        <v>0.44956140350877188</v>
      </c>
      <c r="CG7">
        <v>15000</v>
      </c>
      <c r="CH7">
        <v>400</v>
      </c>
      <c r="CI7">
        <v>172</v>
      </c>
      <c r="CJ7">
        <v>4</v>
      </c>
      <c r="CK7">
        <v>1600</v>
      </c>
      <c r="CL7">
        <v>4800</v>
      </c>
      <c r="CM7">
        <v>120</v>
      </c>
      <c r="CN7">
        <v>360</v>
      </c>
      <c r="CO7">
        <v>2</v>
      </c>
      <c r="CP7">
        <v>30000</v>
      </c>
      <c r="CQ7">
        <v>0</v>
      </c>
      <c r="CR7">
        <v>1</v>
      </c>
      <c r="CS7">
        <v>0</v>
      </c>
      <c r="CT7">
        <v>0.86041666666666661</v>
      </c>
      <c r="CU7">
        <v>15000</v>
      </c>
      <c r="CV7">
        <v>3.5841666666666665</v>
      </c>
      <c r="CW7">
        <v>61500</v>
      </c>
      <c r="CX7">
        <v>1</v>
      </c>
      <c r="CY7">
        <v>1</v>
      </c>
      <c r="CZ7">
        <v>0</v>
      </c>
      <c r="DA7">
        <v>1.6015625</v>
      </c>
      <c r="DB7">
        <v>17158.800279004885</v>
      </c>
      <c r="DD7" t="s">
        <v>746</v>
      </c>
      <c r="DE7">
        <v>6</v>
      </c>
    </row>
    <row r="8" spans="1:109">
      <c r="A8">
        <v>7</v>
      </c>
      <c r="B8" t="s">
        <v>806</v>
      </c>
      <c r="C8" t="s">
        <v>77</v>
      </c>
      <c r="E8" t="s">
        <v>43</v>
      </c>
      <c r="H8">
        <v>1</v>
      </c>
      <c r="I8" t="s">
        <v>268</v>
      </c>
      <c r="J8">
        <v>1.5</v>
      </c>
      <c r="K8">
        <v>0.22500000000000001</v>
      </c>
      <c r="L8">
        <v>0.4854368932038835</v>
      </c>
      <c r="M8">
        <v>30</v>
      </c>
      <c r="N8" t="s">
        <v>47</v>
      </c>
      <c r="O8" t="s">
        <v>98</v>
      </c>
      <c r="P8">
        <v>0</v>
      </c>
      <c r="Q8">
        <v>0</v>
      </c>
      <c r="R8">
        <v>0</v>
      </c>
      <c r="S8">
        <v>0</v>
      </c>
      <c r="T8">
        <v>0</v>
      </c>
      <c r="U8">
        <v>0</v>
      </c>
      <c r="V8">
        <v>0</v>
      </c>
      <c r="W8">
        <v>0</v>
      </c>
      <c r="X8">
        <v>0</v>
      </c>
      <c r="Y8">
        <v>0</v>
      </c>
      <c r="Z8">
        <v>0</v>
      </c>
      <c r="AA8">
        <v>0</v>
      </c>
      <c r="AB8">
        <v>0</v>
      </c>
      <c r="AC8">
        <v>0</v>
      </c>
      <c r="AD8">
        <v>50</v>
      </c>
      <c r="AE8">
        <v>103</v>
      </c>
      <c r="AF8">
        <v>3</v>
      </c>
      <c r="AG8">
        <v>150</v>
      </c>
      <c r="AH8">
        <v>225</v>
      </c>
      <c r="AI8">
        <v>33</v>
      </c>
      <c r="AJ8">
        <v>50</v>
      </c>
      <c r="AK8">
        <v>8.3333333333333339E-4</v>
      </c>
      <c r="AL8">
        <v>700</v>
      </c>
      <c r="AM8">
        <v>0</v>
      </c>
      <c r="AN8">
        <v>0</v>
      </c>
      <c r="AO8">
        <v>0</v>
      </c>
      <c r="AP8">
        <v>0.19444444444444445</v>
      </c>
      <c r="AQ8">
        <v>840000</v>
      </c>
      <c r="AR8">
        <v>75</v>
      </c>
      <c r="AS8">
        <v>154</v>
      </c>
      <c r="AT8">
        <v>3</v>
      </c>
      <c r="AU8">
        <v>225</v>
      </c>
      <c r="AV8">
        <v>337</v>
      </c>
      <c r="AW8">
        <v>50</v>
      </c>
      <c r="AX8">
        <v>75</v>
      </c>
      <c r="AY8">
        <v>8.3333333333333329E-2</v>
      </c>
      <c r="AZ8">
        <v>3000</v>
      </c>
      <c r="BA8">
        <v>0</v>
      </c>
      <c r="BB8">
        <v>0</v>
      </c>
      <c r="BC8">
        <v>0</v>
      </c>
      <c r="BD8">
        <v>0.55787037037037035</v>
      </c>
      <c r="BE8">
        <v>36000</v>
      </c>
      <c r="BF8">
        <v>87</v>
      </c>
      <c r="BG8">
        <v>180</v>
      </c>
      <c r="BH8">
        <v>3</v>
      </c>
      <c r="BI8">
        <v>261</v>
      </c>
      <c r="BJ8">
        <v>391</v>
      </c>
      <c r="BK8">
        <v>58</v>
      </c>
      <c r="BL8">
        <v>87</v>
      </c>
      <c r="BM8">
        <v>0.5</v>
      </c>
      <c r="BN8">
        <v>6000</v>
      </c>
      <c r="BO8">
        <v>1</v>
      </c>
      <c r="BP8">
        <v>0</v>
      </c>
      <c r="BQ8">
        <v>0</v>
      </c>
      <c r="BR8">
        <v>0.97581417624521072</v>
      </c>
      <c r="BS8">
        <v>12000</v>
      </c>
      <c r="BT8">
        <v>95</v>
      </c>
      <c r="BU8">
        <v>195</v>
      </c>
      <c r="BV8">
        <v>3</v>
      </c>
      <c r="BW8">
        <v>285</v>
      </c>
      <c r="BX8">
        <v>427</v>
      </c>
      <c r="BY8">
        <v>64</v>
      </c>
      <c r="BZ8">
        <v>96</v>
      </c>
      <c r="CA8">
        <v>1</v>
      </c>
      <c r="CB8">
        <v>9000</v>
      </c>
      <c r="CC8">
        <v>0</v>
      </c>
      <c r="CD8">
        <v>0</v>
      </c>
      <c r="CE8">
        <v>0</v>
      </c>
      <c r="CF8">
        <v>1.3539473684210526</v>
      </c>
      <c r="CG8">
        <v>9000</v>
      </c>
      <c r="CH8">
        <v>100</v>
      </c>
      <c r="CI8">
        <v>206</v>
      </c>
      <c r="CJ8">
        <v>3</v>
      </c>
      <c r="CK8">
        <v>300</v>
      </c>
      <c r="CL8">
        <v>450</v>
      </c>
      <c r="CM8">
        <v>67</v>
      </c>
      <c r="CN8">
        <v>101</v>
      </c>
      <c r="CO8">
        <v>2</v>
      </c>
      <c r="CP8">
        <v>12000</v>
      </c>
      <c r="CQ8">
        <v>0</v>
      </c>
      <c r="CR8">
        <v>1</v>
      </c>
      <c r="CS8">
        <v>0</v>
      </c>
      <c r="CT8">
        <v>1.7458333333333333</v>
      </c>
      <c r="CU8">
        <v>6000</v>
      </c>
      <c r="CV8">
        <v>3.5841666666666665</v>
      </c>
      <c r="CW8">
        <v>30700</v>
      </c>
      <c r="CX8">
        <v>1</v>
      </c>
      <c r="CY8">
        <v>1</v>
      </c>
      <c r="CZ8">
        <v>0</v>
      </c>
      <c r="DA8">
        <v>4.2638888888888884</v>
      </c>
      <c r="DB8">
        <v>8565.4498953731691</v>
      </c>
      <c r="DD8" t="s">
        <v>806</v>
      </c>
      <c r="DE8">
        <v>7</v>
      </c>
    </row>
    <row r="9" spans="1:109">
      <c r="A9">
        <v>8</v>
      </c>
      <c r="B9" t="s">
        <v>785</v>
      </c>
      <c r="C9" t="s">
        <v>52</v>
      </c>
      <c r="E9" t="s">
        <v>43</v>
      </c>
      <c r="H9">
        <v>1</v>
      </c>
      <c r="I9" t="s">
        <v>268</v>
      </c>
      <c r="J9">
        <v>1</v>
      </c>
      <c r="K9">
        <v>0.13250000000000001</v>
      </c>
      <c r="L9">
        <v>0.55555555555555558</v>
      </c>
      <c r="M9">
        <v>30</v>
      </c>
      <c r="N9" t="s">
        <v>47</v>
      </c>
      <c r="O9" t="s">
        <v>98</v>
      </c>
      <c r="P9">
        <v>0</v>
      </c>
      <c r="Q9">
        <v>0</v>
      </c>
      <c r="R9">
        <v>0</v>
      </c>
      <c r="S9">
        <v>0</v>
      </c>
      <c r="T9">
        <v>0</v>
      </c>
      <c r="U9">
        <v>0</v>
      </c>
      <c r="V9">
        <v>0</v>
      </c>
      <c r="W9">
        <v>0</v>
      </c>
      <c r="X9">
        <v>0</v>
      </c>
      <c r="Y9">
        <v>0</v>
      </c>
      <c r="Z9">
        <v>0</v>
      </c>
      <c r="AA9">
        <v>0</v>
      </c>
      <c r="AB9">
        <v>0</v>
      </c>
      <c r="AC9">
        <v>0</v>
      </c>
      <c r="AD9">
        <v>70</v>
      </c>
      <c r="AE9">
        <v>126</v>
      </c>
      <c r="AF9">
        <v>6</v>
      </c>
      <c r="AG9">
        <v>420</v>
      </c>
      <c r="AH9">
        <v>420</v>
      </c>
      <c r="AI9">
        <v>55</v>
      </c>
      <c r="AJ9">
        <v>55</v>
      </c>
      <c r="AK9">
        <v>8.3333333333333339E-4</v>
      </c>
      <c r="AL9">
        <v>800</v>
      </c>
      <c r="AM9">
        <v>0</v>
      </c>
      <c r="AN9">
        <v>0</v>
      </c>
      <c r="AO9">
        <v>0</v>
      </c>
      <c r="AP9">
        <v>7.9365079365079361E-2</v>
      </c>
      <c r="AQ9">
        <v>959999</v>
      </c>
      <c r="AR9">
        <v>105</v>
      </c>
      <c r="AS9">
        <v>189</v>
      </c>
      <c r="AT9">
        <v>6</v>
      </c>
      <c r="AU9">
        <v>630</v>
      </c>
      <c r="AV9">
        <v>630</v>
      </c>
      <c r="AW9">
        <v>83</v>
      </c>
      <c r="AX9">
        <v>83</v>
      </c>
      <c r="AY9">
        <v>8.3333333333333329E-2</v>
      </c>
      <c r="AZ9">
        <v>3000</v>
      </c>
      <c r="BA9">
        <v>0</v>
      </c>
      <c r="BB9">
        <v>0</v>
      </c>
      <c r="BC9">
        <v>0</v>
      </c>
      <c r="BD9">
        <v>0.20072751322751323</v>
      </c>
      <c r="BE9">
        <v>36000</v>
      </c>
      <c r="BF9">
        <v>122</v>
      </c>
      <c r="BG9">
        <v>220</v>
      </c>
      <c r="BH9">
        <v>6</v>
      </c>
      <c r="BI9">
        <v>732</v>
      </c>
      <c r="BJ9">
        <v>732</v>
      </c>
      <c r="BK9">
        <v>96</v>
      </c>
      <c r="BL9">
        <v>96</v>
      </c>
      <c r="BM9">
        <v>0.5</v>
      </c>
      <c r="BN9">
        <v>6000</v>
      </c>
      <c r="BO9">
        <v>1</v>
      </c>
      <c r="BP9">
        <v>0</v>
      </c>
      <c r="BQ9">
        <v>0</v>
      </c>
      <c r="BR9">
        <v>0.35946038251366125</v>
      </c>
      <c r="BS9">
        <v>12000</v>
      </c>
      <c r="BT9">
        <v>133</v>
      </c>
      <c r="BU9">
        <v>239</v>
      </c>
      <c r="BV9">
        <v>7</v>
      </c>
      <c r="BW9">
        <v>931</v>
      </c>
      <c r="BX9">
        <v>931</v>
      </c>
      <c r="BY9">
        <v>123</v>
      </c>
      <c r="BZ9">
        <v>123</v>
      </c>
      <c r="CA9">
        <v>1</v>
      </c>
      <c r="CB9">
        <v>9000</v>
      </c>
      <c r="CC9">
        <v>0</v>
      </c>
      <c r="CD9">
        <v>0</v>
      </c>
      <c r="CE9">
        <v>0</v>
      </c>
      <c r="CF9">
        <v>0.4355531686358754</v>
      </c>
      <c r="CG9">
        <v>9000</v>
      </c>
      <c r="CH9">
        <v>140</v>
      </c>
      <c r="CI9">
        <v>252</v>
      </c>
      <c r="CJ9">
        <v>7</v>
      </c>
      <c r="CK9">
        <v>980</v>
      </c>
      <c r="CL9">
        <v>980</v>
      </c>
      <c r="CM9">
        <v>129</v>
      </c>
      <c r="CN9">
        <v>129</v>
      </c>
      <c r="CO9">
        <v>2</v>
      </c>
      <c r="CP9">
        <v>15000</v>
      </c>
      <c r="CQ9">
        <v>0</v>
      </c>
      <c r="CR9">
        <v>1</v>
      </c>
      <c r="CS9">
        <v>0</v>
      </c>
      <c r="CT9">
        <v>0.71692176870748303</v>
      </c>
      <c r="CU9">
        <v>7500</v>
      </c>
      <c r="CV9">
        <v>3.5841666666666665</v>
      </c>
      <c r="CW9">
        <v>33800</v>
      </c>
      <c r="CX9">
        <v>1</v>
      </c>
      <c r="CY9">
        <v>1</v>
      </c>
      <c r="CZ9">
        <v>0</v>
      </c>
      <c r="DA9">
        <v>1.4370748299319729</v>
      </c>
      <c r="DB9">
        <v>9430.3650313880498</v>
      </c>
      <c r="DD9" t="s">
        <v>785</v>
      </c>
      <c r="DE9">
        <v>8</v>
      </c>
    </row>
    <row r="10" spans="1:109">
      <c r="A10">
        <v>9</v>
      </c>
      <c r="B10" t="s">
        <v>818</v>
      </c>
      <c r="C10" t="s">
        <v>42</v>
      </c>
      <c r="F10" t="s">
        <v>43</v>
      </c>
      <c r="H10">
        <v>1</v>
      </c>
      <c r="I10" t="s">
        <v>268</v>
      </c>
      <c r="J10">
        <v>1</v>
      </c>
      <c r="K10">
        <v>0.13250000000000001</v>
      </c>
      <c r="L10">
        <v>0.57647058823529407</v>
      </c>
      <c r="M10">
        <v>30</v>
      </c>
      <c r="N10" t="s">
        <v>47</v>
      </c>
      <c r="O10" t="s">
        <v>98</v>
      </c>
      <c r="P10">
        <v>0</v>
      </c>
      <c r="Q10">
        <v>0</v>
      </c>
      <c r="R10">
        <v>0</v>
      </c>
      <c r="S10">
        <v>0</v>
      </c>
      <c r="T10">
        <v>0</v>
      </c>
      <c r="U10">
        <v>0</v>
      </c>
      <c r="V10">
        <v>0</v>
      </c>
      <c r="W10">
        <v>0</v>
      </c>
      <c r="X10">
        <v>0</v>
      </c>
      <c r="Y10">
        <v>0</v>
      </c>
      <c r="Z10">
        <v>0</v>
      </c>
      <c r="AA10">
        <v>0</v>
      </c>
      <c r="AB10">
        <v>0</v>
      </c>
      <c r="AC10">
        <v>0</v>
      </c>
      <c r="AD10">
        <v>98</v>
      </c>
      <c r="AE10">
        <v>170</v>
      </c>
      <c r="AF10">
        <v>7</v>
      </c>
      <c r="AG10">
        <v>686</v>
      </c>
      <c r="AH10">
        <v>686</v>
      </c>
      <c r="AI10">
        <v>90</v>
      </c>
      <c r="AJ10">
        <v>90</v>
      </c>
      <c r="AK10">
        <v>4</v>
      </c>
      <c r="AL10">
        <v>10000</v>
      </c>
      <c r="AM10">
        <v>0</v>
      </c>
      <c r="AN10">
        <v>0</v>
      </c>
      <c r="AO10">
        <v>0</v>
      </c>
      <c r="AP10">
        <v>0.60738581146744408</v>
      </c>
      <c r="AQ10">
        <v>2500</v>
      </c>
      <c r="AR10">
        <v>147</v>
      </c>
      <c r="AS10">
        <v>255</v>
      </c>
      <c r="AT10">
        <v>7</v>
      </c>
      <c r="AU10">
        <v>1029</v>
      </c>
      <c r="AV10">
        <v>1029</v>
      </c>
      <c r="AW10">
        <v>136</v>
      </c>
      <c r="AX10">
        <v>136</v>
      </c>
      <c r="AY10">
        <v>1</v>
      </c>
      <c r="AZ10">
        <v>10000</v>
      </c>
      <c r="BA10">
        <v>0</v>
      </c>
      <c r="BB10">
        <v>0</v>
      </c>
      <c r="BC10">
        <v>0</v>
      </c>
      <c r="BD10">
        <v>0.4327016520894072</v>
      </c>
      <c r="BE10">
        <v>10000</v>
      </c>
      <c r="BF10">
        <v>171</v>
      </c>
      <c r="BG10">
        <v>297</v>
      </c>
      <c r="BH10">
        <v>8</v>
      </c>
      <c r="BI10">
        <v>1368</v>
      </c>
      <c r="BJ10">
        <v>1368</v>
      </c>
      <c r="BK10">
        <v>181</v>
      </c>
      <c r="BL10">
        <v>181</v>
      </c>
      <c r="BM10">
        <v>2</v>
      </c>
      <c r="BN10">
        <v>15000</v>
      </c>
      <c r="BO10">
        <v>1</v>
      </c>
      <c r="BP10">
        <v>0</v>
      </c>
      <c r="BQ10">
        <v>0</v>
      </c>
      <c r="BR10">
        <v>0.51955409356725146</v>
      </c>
      <c r="BS10">
        <v>7500</v>
      </c>
      <c r="BT10">
        <v>186</v>
      </c>
      <c r="BU10">
        <v>323</v>
      </c>
      <c r="BV10">
        <v>8</v>
      </c>
      <c r="BW10">
        <v>1488</v>
      </c>
      <c r="BX10">
        <v>1488</v>
      </c>
      <c r="BY10">
        <v>197</v>
      </c>
      <c r="BZ10">
        <v>197</v>
      </c>
      <c r="CA10">
        <v>3</v>
      </c>
      <c r="CB10">
        <v>20000</v>
      </c>
      <c r="CC10">
        <v>0</v>
      </c>
      <c r="CD10">
        <v>0</v>
      </c>
      <c r="CE10">
        <v>0</v>
      </c>
      <c r="CF10">
        <v>0.67495519713261654</v>
      </c>
      <c r="CG10">
        <v>6666</v>
      </c>
      <c r="CH10">
        <v>196</v>
      </c>
      <c r="CI10">
        <v>340</v>
      </c>
      <c r="CJ10">
        <v>8</v>
      </c>
      <c r="CK10">
        <v>1568</v>
      </c>
      <c r="CL10">
        <v>1568</v>
      </c>
      <c r="CM10">
        <v>207</v>
      </c>
      <c r="CN10">
        <v>207</v>
      </c>
      <c r="CO10">
        <v>4</v>
      </c>
      <c r="CP10">
        <v>25000</v>
      </c>
      <c r="CQ10">
        <v>0</v>
      </c>
      <c r="CR10">
        <v>1</v>
      </c>
      <c r="CS10">
        <v>0</v>
      </c>
      <c r="CT10">
        <v>0.8224914965986394</v>
      </c>
      <c r="CU10">
        <v>6250</v>
      </c>
      <c r="CV10">
        <v>14</v>
      </c>
      <c r="CW10">
        <v>80000</v>
      </c>
      <c r="CX10">
        <v>1</v>
      </c>
      <c r="CY10">
        <v>1</v>
      </c>
      <c r="CZ10">
        <v>0</v>
      </c>
      <c r="DA10">
        <v>2.1258503401360547</v>
      </c>
      <c r="DB10">
        <v>5714.2857142857147</v>
      </c>
      <c r="DD10" t="s">
        <v>818</v>
      </c>
      <c r="DE10">
        <v>9</v>
      </c>
    </row>
    <row r="11" spans="1:109">
      <c r="A11">
        <v>10</v>
      </c>
      <c r="B11" t="s">
        <v>786</v>
      </c>
      <c r="C11" t="s">
        <v>52</v>
      </c>
      <c r="E11" t="s">
        <v>43</v>
      </c>
      <c r="H11">
        <v>1</v>
      </c>
      <c r="I11" t="s">
        <v>268</v>
      </c>
      <c r="J11">
        <v>1</v>
      </c>
      <c r="K11">
        <v>0.13250000000000001</v>
      </c>
      <c r="L11">
        <v>0.56375838926174493</v>
      </c>
      <c r="M11">
        <v>30</v>
      </c>
      <c r="N11" t="s">
        <v>47</v>
      </c>
      <c r="O11" t="s">
        <v>98</v>
      </c>
      <c r="P11">
        <v>0</v>
      </c>
      <c r="Q11">
        <v>0</v>
      </c>
      <c r="R11">
        <v>0</v>
      </c>
      <c r="S11">
        <v>0</v>
      </c>
      <c r="T11">
        <v>0</v>
      </c>
      <c r="U11">
        <v>0</v>
      </c>
      <c r="V11">
        <v>0</v>
      </c>
      <c r="W11">
        <v>0</v>
      </c>
      <c r="X11">
        <v>0</v>
      </c>
      <c r="Y11">
        <v>0</v>
      </c>
      <c r="Z11">
        <v>0</v>
      </c>
      <c r="AA11">
        <v>0</v>
      </c>
      <c r="AB11">
        <v>0</v>
      </c>
      <c r="AC11">
        <v>0</v>
      </c>
      <c r="AD11">
        <v>84</v>
      </c>
      <c r="AE11">
        <v>149</v>
      </c>
      <c r="AF11">
        <v>6</v>
      </c>
      <c r="AG11">
        <v>504</v>
      </c>
      <c r="AH11">
        <v>504</v>
      </c>
      <c r="AI11">
        <v>66</v>
      </c>
      <c r="AJ11">
        <v>66</v>
      </c>
      <c r="AK11">
        <v>8.3333333333333329E-2</v>
      </c>
      <c r="AL11">
        <v>2000</v>
      </c>
      <c r="AM11">
        <v>0</v>
      </c>
      <c r="AN11">
        <v>0</v>
      </c>
      <c r="AO11">
        <v>0</v>
      </c>
      <c r="AP11">
        <v>0.16534391534391535</v>
      </c>
      <c r="AQ11">
        <v>24000</v>
      </c>
      <c r="AR11">
        <v>126</v>
      </c>
      <c r="AS11">
        <v>223</v>
      </c>
      <c r="AT11">
        <v>6</v>
      </c>
      <c r="AU11">
        <v>756</v>
      </c>
      <c r="AV11">
        <v>756</v>
      </c>
      <c r="AW11">
        <v>100</v>
      </c>
      <c r="AX11">
        <v>100</v>
      </c>
      <c r="AY11">
        <v>8.3333333333333329E-2</v>
      </c>
      <c r="AZ11">
        <v>3000</v>
      </c>
      <c r="BA11">
        <v>0</v>
      </c>
      <c r="BB11">
        <v>0</v>
      </c>
      <c r="BC11">
        <v>0</v>
      </c>
      <c r="BD11">
        <v>0.16765873015873015</v>
      </c>
      <c r="BE11">
        <v>36000</v>
      </c>
      <c r="BF11">
        <v>147</v>
      </c>
      <c r="BG11">
        <v>260</v>
      </c>
      <c r="BH11">
        <v>6</v>
      </c>
      <c r="BI11">
        <v>882</v>
      </c>
      <c r="BJ11">
        <v>882</v>
      </c>
      <c r="BK11">
        <v>116</v>
      </c>
      <c r="BL11">
        <v>116</v>
      </c>
      <c r="BM11">
        <v>0.5</v>
      </c>
      <c r="BN11">
        <v>6000</v>
      </c>
      <c r="BO11">
        <v>1</v>
      </c>
      <c r="BP11">
        <v>0</v>
      </c>
      <c r="BQ11">
        <v>0</v>
      </c>
      <c r="BR11">
        <v>0.30130385487528344</v>
      </c>
      <c r="BS11">
        <v>12000</v>
      </c>
      <c r="BT11">
        <v>159</v>
      </c>
      <c r="BU11">
        <v>283</v>
      </c>
      <c r="BV11">
        <v>7</v>
      </c>
      <c r="BW11">
        <v>1113</v>
      </c>
      <c r="BX11">
        <v>1113</v>
      </c>
      <c r="BY11">
        <v>147</v>
      </c>
      <c r="BZ11">
        <v>147</v>
      </c>
      <c r="CA11">
        <v>1</v>
      </c>
      <c r="CB11">
        <v>9000</v>
      </c>
      <c r="CC11">
        <v>0</v>
      </c>
      <c r="CD11">
        <v>0</v>
      </c>
      <c r="CE11">
        <v>0</v>
      </c>
      <c r="CF11">
        <v>0.36994609164420483</v>
      </c>
      <c r="CG11">
        <v>9000</v>
      </c>
      <c r="CH11">
        <v>168</v>
      </c>
      <c r="CI11">
        <v>298</v>
      </c>
      <c r="CJ11">
        <v>7</v>
      </c>
      <c r="CK11">
        <v>1176</v>
      </c>
      <c r="CL11">
        <v>1176</v>
      </c>
      <c r="CM11">
        <v>155</v>
      </c>
      <c r="CN11">
        <v>155</v>
      </c>
      <c r="CO11">
        <v>2</v>
      </c>
      <c r="CP11">
        <v>15000</v>
      </c>
      <c r="CQ11">
        <v>0</v>
      </c>
      <c r="CR11">
        <v>1</v>
      </c>
      <c r="CS11">
        <v>0</v>
      </c>
      <c r="CT11">
        <v>0.61033163265306123</v>
      </c>
      <c r="CU11">
        <v>7500</v>
      </c>
      <c r="CV11">
        <v>3.6666666666666665</v>
      </c>
      <c r="CW11">
        <v>35000</v>
      </c>
      <c r="CX11">
        <v>1</v>
      </c>
      <c r="CY11">
        <v>1</v>
      </c>
      <c r="CZ11">
        <v>0</v>
      </c>
      <c r="DA11">
        <v>1.2400793650793651</v>
      </c>
      <c r="DB11">
        <v>9545.454545454546</v>
      </c>
      <c r="DD11" t="s">
        <v>786</v>
      </c>
      <c r="DE11">
        <v>10</v>
      </c>
    </row>
    <row r="12" spans="1:109">
      <c r="A12">
        <v>12</v>
      </c>
      <c r="B12" t="s">
        <v>124</v>
      </c>
      <c r="C12" t="s">
        <v>42</v>
      </c>
      <c r="E12" t="s">
        <v>43</v>
      </c>
      <c r="H12">
        <v>3</v>
      </c>
      <c r="I12" t="s">
        <v>283</v>
      </c>
      <c r="J12">
        <v>1</v>
      </c>
      <c r="K12">
        <v>0.1</v>
      </c>
      <c r="L12">
        <v>0.57219251336898391</v>
      </c>
      <c r="M12">
        <v>30</v>
      </c>
      <c r="N12" t="s">
        <v>47</v>
      </c>
      <c r="O12" t="s">
        <v>98</v>
      </c>
      <c r="P12">
        <v>0</v>
      </c>
      <c r="Q12">
        <v>0</v>
      </c>
      <c r="R12">
        <v>0</v>
      </c>
      <c r="S12">
        <v>0</v>
      </c>
      <c r="T12">
        <v>0</v>
      </c>
      <c r="U12">
        <v>0</v>
      </c>
      <c r="V12">
        <v>0</v>
      </c>
      <c r="W12">
        <v>0</v>
      </c>
      <c r="X12">
        <v>0</v>
      </c>
      <c r="Y12">
        <v>0</v>
      </c>
      <c r="Z12">
        <v>0</v>
      </c>
      <c r="AA12">
        <v>0</v>
      </c>
      <c r="AB12">
        <v>0</v>
      </c>
      <c r="AC12">
        <v>0</v>
      </c>
      <c r="AD12">
        <v>107</v>
      </c>
      <c r="AE12">
        <v>187</v>
      </c>
      <c r="AF12">
        <v>7</v>
      </c>
      <c r="AG12">
        <v>749</v>
      </c>
      <c r="AH12">
        <v>749</v>
      </c>
      <c r="AI12">
        <v>74</v>
      </c>
      <c r="AJ12">
        <v>74</v>
      </c>
      <c r="AK12">
        <v>1</v>
      </c>
      <c r="AL12">
        <v>0</v>
      </c>
      <c r="AM12">
        <v>0</v>
      </c>
      <c r="AN12">
        <v>0</v>
      </c>
      <c r="AO12">
        <v>0</v>
      </c>
      <c r="AP12">
        <v>0</v>
      </c>
      <c r="AQ12">
        <v>0</v>
      </c>
      <c r="AR12">
        <v>160</v>
      </c>
      <c r="AS12">
        <v>280</v>
      </c>
      <c r="AT12">
        <v>7</v>
      </c>
      <c r="AU12">
        <v>1120</v>
      </c>
      <c r="AV12">
        <v>1120</v>
      </c>
      <c r="AW12">
        <v>112</v>
      </c>
      <c r="AX12">
        <v>112</v>
      </c>
      <c r="AY12">
        <v>0.16666666666666666</v>
      </c>
      <c r="AZ12">
        <v>3000</v>
      </c>
      <c r="BA12">
        <v>0</v>
      </c>
      <c r="BB12">
        <v>0</v>
      </c>
      <c r="BC12">
        <v>0</v>
      </c>
      <c r="BD12">
        <v>0.11625124007936509</v>
      </c>
      <c r="BE12">
        <v>18000</v>
      </c>
      <c r="BF12">
        <v>187</v>
      </c>
      <c r="BG12">
        <v>327</v>
      </c>
      <c r="BH12">
        <v>8</v>
      </c>
      <c r="BI12">
        <v>1496</v>
      </c>
      <c r="BJ12">
        <v>1496</v>
      </c>
      <c r="BK12">
        <v>149</v>
      </c>
      <c r="BL12">
        <v>149</v>
      </c>
      <c r="BM12">
        <v>0.5</v>
      </c>
      <c r="BN12">
        <v>4500</v>
      </c>
      <c r="BO12">
        <v>0</v>
      </c>
      <c r="BP12">
        <v>1</v>
      </c>
      <c r="BQ12">
        <v>0</v>
      </c>
      <c r="BR12">
        <v>0.14093137254901961</v>
      </c>
      <c r="BS12">
        <v>9000</v>
      </c>
      <c r="BT12">
        <v>203</v>
      </c>
      <c r="BU12">
        <v>355</v>
      </c>
      <c r="BV12">
        <v>8</v>
      </c>
      <c r="BW12">
        <v>1624</v>
      </c>
      <c r="BX12">
        <v>1624</v>
      </c>
      <c r="BY12">
        <v>162</v>
      </c>
      <c r="BZ12">
        <v>162</v>
      </c>
      <c r="CA12">
        <v>0.75</v>
      </c>
      <c r="CB12">
        <v>6000</v>
      </c>
      <c r="CC12">
        <v>0</v>
      </c>
      <c r="CD12">
        <v>0</v>
      </c>
      <c r="CE12">
        <v>0</v>
      </c>
      <c r="CF12">
        <v>0.18272783251231528</v>
      </c>
      <c r="CG12">
        <v>8000</v>
      </c>
      <c r="CH12">
        <v>214</v>
      </c>
      <c r="CI12">
        <v>374</v>
      </c>
      <c r="CJ12">
        <v>8</v>
      </c>
      <c r="CK12">
        <v>1712</v>
      </c>
      <c r="CL12">
        <v>1712</v>
      </c>
      <c r="CM12">
        <v>171</v>
      </c>
      <c r="CN12">
        <v>171</v>
      </c>
      <c r="CO12">
        <v>1</v>
      </c>
      <c r="CP12">
        <v>7500</v>
      </c>
      <c r="CQ12">
        <v>0</v>
      </c>
      <c r="CR12">
        <v>0</v>
      </c>
      <c r="CS12">
        <v>1</v>
      </c>
      <c r="CT12">
        <v>0.22205996884735202</v>
      </c>
      <c r="CU12">
        <v>7500</v>
      </c>
      <c r="CV12">
        <v>3.416666666666667</v>
      </c>
      <c r="CW12">
        <v>21000</v>
      </c>
      <c r="CX12">
        <v>0</v>
      </c>
      <c r="CY12">
        <v>1</v>
      </c>
      <c r="CZ12">
        <v>1</v>
      </c>
      <c r="DA12">
        <v>0.51109813084112143</v>
      </c>
      <c r="DB12">
        <v>6146.3414634146338</v>
      </c>
      <c r="DD12" t="s">
        <v>124</v>
      </c>
      <c r="DE12">
        <v>12</v>
      </c>
    </row>
    <row r="13" spans="1:109">
      <c r="A13">
        <v>13</v>
      </c>
      <c r="B13" t="s">
        <v>807</v>
      </c>
      <c r="C13" t="s">
        <v>77</v>
      </c>
      <c r="E13" t="s">
        <v>43</v>
      </c>
      <c r="F13" t="s">
        <v>43</v>
      </c>
      <c r="H13">
        <v>1</v>
      </c>
      <c r="I13" t="s">
        <v>268</v>
      </c>
      <c r="J13">
        <v>1.5</v>
      </c>
      <c r="K13">
        <v>0.22500000000000001</v>
      </c>
      <c r="L13">
        <v>0.49180327868852458</v>
      </c>
      <c r="M13">
        <v>30</v>
      </c>
      <c r="N13" t="s">
        <v>47</v>
      </c>
      <c r="O13" t="s">
        <v>98</v>
      </c>
      <c r="P13">
        <v>0</v>
      </c>
      <c r="Q13">
        <v>0</v>
      </c>
      <c r="R13">
        <v>0</v>
      </c>
      <c r="S13">
        <v>0</v>
      </c>
      <c r="T13">
        <v>0</v>
      </c>
      <c r="U13">
        <v>0</v>
      </c>
      <c r="V13">
        <v>0</v>
      </c>
      <c r="W13">
        <v>0</v>
      </c>
      <c r="X13">
        <v>0</v>
      </c>
      <c r="Y13">
        <v>0</v>
      </c>
      <c r="Z13">
        <v>0</v>
      </c>
      <c r="AA13">
        <v>0</v>
      </c>
      <c r="AB13">
        <v>0</v>
      </c>
      <c r="AC13">
        <v>0</v>
      </c>
      <c r="AD13">
        <v>60</v>
      </c>
      <c r="AE13">
        <v>122</v>
      </c>
      <c r="AF13">
        <v>3</v>
      </c>
      <c r="AG13">
        <v>180</v>
      </c>
      <c r="AH13">
        <v>270</v>
      </c>
      <c r="AI13">
        <v>40</v>
      </c>
      <c r="AJ13">
        <v>60</v>
      </c>
      <c r="AK13">
        <v>1</v>
      </c>
      <c r="AL13">
        <v>3000</v>
      </c>
      <c r="AM13">
        <v>0</v>
      </c>
      <c r="AN13">
        <v>0</v>
      </c>
      <c r="AO13">
        <v>0</v>
      </c>
      <c r="AP13">
        <v>0.69444444444444453</v>
      </c>
      <c r="AQ13">
        <v>3000</v>
      </c>
      <c r="AR13">
        <v>90</v>
      </c>
      <c r="AS13">
        <v>183</v>
      </c>
      <c r="AT13">
        <v>3</v>
      </c>
      <c r="AU13">
        <v>270</v>
      </c>
      <c r="AV13">
        <v>405</v>
      </c>
      <c r="AW13">
        <v>60</v>
      </c>
      <c r="AX13">
        <v>91</v>
      </c>
      <c r="AY13">
        <v>8.3333333333333329E-2</v>
      </c>
      <c r="AZ13">
        <v>5000</v>
      </c>
      <c r="BA13">
        <v>0</v>
      </c>
      <c r="BB13">
        <v>0</v>
      </c>
      <c r="BC13">
        <v>0</v>
      </c>
      <c r="BD13">
        <v>0.77391975308641969</v>
      </c>
      <c r="BE13">
        <v>60000</v>
      </c>
      <c r="BF13">
        <v>105</v>
      </c>
      <c r="BG13">
        <v>213</v>
      </c>
      <c r="BH13">
        <v>3</v>
      </c>
      <c r="BI13">
        <v>315</v>
      </c>
      <c r="BJ13">
        <v>472</v>
      </c>
      <c r="BK13">
        <v>70</v>
      </c>
      <c r="BL13">
        <v>106</v>
      </c>
      <c r="BM13">
        <v>0.5</v>
      </c>
      <c r="BN13">
        <v>10000</v>
      </c>
      <c r="BO13">
        <v>1</v>
      </c>
      <c r="BP13">
        <v>0</v>
      </c>
      <c r="BQ13">
        <v>0</v>
      </c>
      <c r="BR13">
        <v>1.3406084656084658</v>
      </c>
      <c r="BS13">
        <v>20000</v>
      </c>
      <c r="BT13">
        <v>114</v>
      </c>
      <c r="BU13">
        <v>231</v>
      </c>
      <c r="BV13">
        <v>3</v>
      </c>
      <c r="BW13">
        <v>342</v>
      </c>
      <c r="BX13">
        <v>513</v>
      </c>
      <c r="BY13">
        <v>76</v>
      </c>
      <c r="BZ13">
        <v>115</v>
      </c>
      <c r="CA13">
        <v>0.75</v>
      </c>
      <c r="CB13">
        <v>15000</v>
      </c>
      <c r="CC13">
        <v>0</v>
      </c>
      <c r="CD13">
        <v>0</v>
      </c>
      <c r="CE13">
        <v>0</v>
      </c>
      <c r="CF13">
        <v>1.8562682748538011</v>
      </c>
      <c r="CG13">
        <v>20000</v>
      </c>
      <c r="CH13">
        <v>120</v>
      </c>
      <c r="CI13">
        <v>244</v>
      </c>
      <c r="CJ13">
        <v>3</v>
      </c>
      <c r="CK13">
        <v>360</v>
      </c>
      <c r="CL13">
        <v>540</v>
      </c>
      <c r="CM13">
        <v>81</v>
      </c>
      <c r="CN13">
        <v>121</v>
      </c>
      <c r="CO13">
        <v>1</v>
      </c>
      <c r="CP13">
        <v>20000</v>
      </c>
      <c r="CQ13">
        <v>0</v>
      </c>
      <c r="CR13">
        <v>1</v>
      </c>
      <c r="CS13">
        <v>0</v>
      </c>
      <c r="CT13">
        <v>2.3543981481481482</v>
      </c>
      <c r="CU13">
        <v>20000</v>
      </c>
      <c r="CV13">
        <v>3.333333333333333</v>
      </c>
      <c r="CW13">
        <v>53000</v>
      </c>
      <c r="CX13">
        <v>1</v>
      </c>
      <c r="CY13">
        <v>1</v>
      </c>
      <c r="CZ13">
        <v>0</v>
      </c>
      <c r="DA13">
        <v>6.1342592592592595</v>
      </c>
      <c r="DB13">
        <v>15900.000000000002</v>
      </c>
      <c r="DD13" t="s">
        <v>807</v>
      </c>
      <c r="DE13">
        <v>13</v>
      </c>
    </row>
    <row r="14" spans="1:109">
      <c r="A14">
        <v>15</v>
      </c>
      <c r="B14" t="s">
        <v>813</v>
      </c>
      <c r="C14" t="s">
        <v>77</v>
      </c>
      <c r="E14" t="s">
        <v>43</v>
      </c>
      <c r="H14">
        <v>3</v>
      </c>
      <c r="I14" t="s">
        <v>283</v>
      </c>
      <c r="J14">
        <v>1.5</v>
      </c>
      <c r="K14">
        <v>0.2</v>
      </c>
      <c r="L14">
        <v>0.4925373134328358</v>
      </c>
      <c r="M14">
        <v>30</v>
      </c>
      <c r="N14" t="s">
        <v>47</v>
      </c>
      <c r="O14" t="s">
        <v>98</v>
      </c>
      <c r="P14">
        <v>0</v>
      </c>
      <c r="Q14">
        <v>0</v>
      </c>
      <c r="R14">
        <v>0</v>
      </c>
      <c r="S14">
        <v>0</v>
      </c>
      <c r="T14">
        <v>0</v>
      </c>
      <c r="U14">
        <v>0</v>
      </c>
      <c r="V14">
        <v>0</v>
      </c>
      <c r="W14">
        <v>0</v>
      </c>
      <c r="X14">
        <v>0</v>
      </c>
      <c r="Y14">
        <v>0</v>
      </c>
      <c r="Z14">
        <v>0</v>
      </c>
      <c r="AA14">
        <v>0</v>
      </c>
      <c r="AB14">
        <v>0</v>
      </c>
      <c r="AC14">
        <v>0</v>
      </c>
      <c r="AD14">
        <v>66</v>
      </c>
      <c r="AE14">
        <v>134</v>
      </c>
      <c r="AF14">
        <v>3</v>
      </c>
      <c r="AG14">
        <v>198</v>
      </c>
      <c r="AH14">
        <v>297</v>
      </c>
      <c r="AI14">
        <v>39</v>
      </c>
      <c r="AJ14">
        <v>59</v>
      </c>
      <c r="AK14">
        <v>1.5</v>
      </c>
      <c r="AL14">
        <v>0</v>
      </c>
      <c r="AM14">
        <v>0</v>
      </c>
      <c r="AN14">
        <v>0</v>
      </c>
      <c r="AO14">
        <v>0</v>
      </c>
      <c r="AP14">
        <v>0</v>
      </c>
      <c r="AQ14">
        <v>0</v>
      </c>
      <c r="AR14">
        <v>99</v>
      </c>
      <c r="AS14">
        <v>201</v>
      </c>
      <c r="AT14">
        <v>3</v>
      </c>
      <c r="AU14">
        <v>297</v>
      </c>
      <c r="AV14">
        <v>445</v>
      </c>
      <c r="AW14">
        <v>59</v>
      </c>
      <c r="AX14">
        <v>89</v>
      </c>
      <c r="AY14">
        <v>0.41666666666666669</v>
      </c>
      <c r="AZ14">
        <v>4000</v>
      </c>
      <c r="BA14">
        <v>0</v>
      </c>
      <c r="BB14">
        <v>0</v>
      </c>
      <c r="BC14">
        <v>0</v>
      </c>
      <c r="BD14">
        <v>0.57274130190796857</v>
      </c>
      <c r="BE14">
        <v>9600</v>
      </c>
      <c r="BF14">
        <v>115</v>
      </c>
      <c r="BG14">
        <v>234</v>
      </c>
      <c r="BH14">
        <v>3</v>
      </c>
      <c r="BI14">
        <v>345</v>
      </c>
      <c r="BJ14">
        <v>517</v>
      </c>
      <c r="BK14">
        <v>69</v>
      </c>
      <c r="BL14">
        <v>103</v>
      </c>
      <c r="BM14">
        <v>0.75</v>
      </c>
      <c r="BN14">
        <v>6000</v>
      </c>
      <c r="BO14">
        <v>0</v>
      </c>
      <c r="BP14">
        <v>1</v>
      </c>
      <c r="BQ14">
        <v>0</v>
      </c>
      <c r="BR14">
        <v>0.75153985507246379</v>
      </c>
      <c r="BS14">
        <v>8000</v>
      </c>
      <c r="BT14">
        <v>125</v>
      </c>
      <c r="BU14">
        <v>254</v>
      </c>
      <c r="BV14">
        <v>3</v>
      </c>
      <c r="BW14">
        <v>375</v>
      </c>
      <c r="BX14">
        <v>562</v>
      </c>
      <c r="BY14">
        <v>75</v>
      </c>
      <c r="BZ14">
        <v>112</v>
      </c>
      <c r="CA14">
        <v>2</v>
      </c>
      <c r="CB14">
        <v>8000</v>
      </c>
      <c r="CC14">
        <v>0</v>
      </c>
      <c r="CD14">
        <v>0</v>
      </c>
      <c r="CE14">
        <v>0</v>
      </c>
      <c r="CF14">
        <v>0.9655555555555555</v>
      </c>
      <c r="CG14">
        <v>4000</v>
      </c>
      <c r="CH14">
        <v>132</v>
      </c>
      <c r="CI14">
        <v>268</v>
      </c>
      <c r="CJ14">
        <v>3</v>
      </c>
      <c r="CK14">
        <v>396</v>
      </c>
      <c r="CL14">
        <v>594</v>
      </c>
      <c r="CM14">
        <v>79</v>
      </c>
      <c r="CN14">
        <v>118</v>
      </c>
      <c r="CO14">
        <v>2</v>
      </c>
      <c r="CP14">
        <v>10000</v>
      </c>
      <c r="CQ14">
        <v>0</v>
      </c>
      <c r="CR14">
        <v>0</v>
      </c>
      <c r="CS14">
        <v>1</v>
      </c>
      <c r="CT14">
        <v>1.1311026936026936</v>
      </c>
      <c r="CU14">
        <v>5000</v>
      </c>
      <c r="CV14">
        <v>6.666666666666667</v>
      </c>
      <c r="CW14">
        <v>28000</v>
      </c>
      <c r="CX14">
        <v>0</v>
      </c>
      <c r="CY14">
        <v>1</v>
      </c>
      <c r="CZ14">
        <v>1</v>
      </c>
      <c r="DA14">
        <v>2.9461279461279464</v>
      </c>
      <c r="DB14">
        <v>4200</v>
      </c>
      <c r="DD14" t="s">
        <v>813</v>
      </c>
      <c r="DE14">
        <v>15</v>
      </c>
    </row>
    <row r="15" spans="1:109">
      <c r="A15">
        <v>16</v>
      </c>
      <c r="B15" t="s">
        <v>819</v>
      </c>
      <c r="C15" t="s">
        <v>42</v>
      </c>
      <c r="E15" t="s">
        <v>43</v>
      </c>
      <c r="F15" t="s">
        <v>43</v>
      </c>
      <c r="H15">
        <v>1</v>
      </c>
      <c r="I15" t="s">
        <v>268</v>
      </c>
      <c r="J15">
        <v>2.5</v>
      </c>
      <c r="K15">
        <v>0.1</v>
      </c>
      <c r="L15">
        <v>0.88888888888888884</v>
      </c>
      <c r="M15">
        <v>30</v>
      </c>
      <c r="N15" t="s">
        <v>47</v>
      </c>
      <c r="O15" t="s">
        <v>98</v>
      </c>
      <c r="P15">
        <v>0</v>
      </c>
      <c r="Q15">
        <v>0</v>
      </c>
      <c r="R15">
        <v>0</v>
      </c>
      <c r="S15">
        <v>0</v>
      </c>
      <c r="T15">
        <v>0</v>
      </c>
      <c r="U15">
        <v>0</v>
      </c>
      <c r="V15">
        <v>0</v>
      </c>
      <c r="W15">
        <v>0</v>
      </c>
      <c r="X15">
        <v>0</v>
      </c>
      <c r="Y15">
        <v>0</v>
      </c>
      <c r="Z15">
        <v>0</v>
      </c>
      <c r="AA15">
        <v>0</v>
      </c>
      <c r="AB15">
        <v>0</v>
      </c>
      <c r="AC15">
        <v>0</v>
      </c>
      <c r="AD15">
        <v>120</v>
      </c>
      <c r="AE15">
        <v>135</v>
      </c>
      <c r="AF15">
        <v>3</v>
      </c>
      <c r="AG15">
        <v>360</v>
      </c>
      <c r="AH15">
        <v>900</v>
      </c>
      <c r="AI15">
        <v>36</v>
      </c>
      <c r="AJ15">
        <v>90</v>
      </c>
      <c r="AK15">
        <v>2</v>
      </c>
      <c r="AL15">
        <v>4000</v>
      </c>
      <c r="AM15">
        <v>0</v>
      </c>
      <c r="AN15">
        <v>0</v>
      </c>
      <c r="AO15">
        <v>0</v>
      </c>
      <c r="AP15">
        <v>0.46296296296296297</v>
      </c>
      <c r="AQ15">
        <v>2000</v>
      </c>
      <c r="AR15">
        <v>180</v>
      </c>
      <c r="AS15">
        <v>202</v>
      </c>
      <c r="AT15">
        <v>3</v>
      </c>
      <c r="AU15">
        <v>540</v>
      </c>
      <c r="AV15">
        <v>1350</v>
      </c>
      <c r="AW15">
        <v>54</v>
      </c>
      <c r="AX15">
        <v>135</v>
      </c>
      <c r="AY15">
        <v>0.5</v>
      </c>
      <c r="AZ15">
        <v>5000</v>
      </c>
      <c r="BA15">
        <v>0</v>
      </c>
      <c r="BB15">
        <v>0</v>
      </c>
      <c r="BC15">
        <v>0</v>
      </c>
      <c r="BD15">
        <v>0.39969135802469141</v>
      </c>
      <c r="BE15">
        <v>10000</v>
      </c>
      <c r="BF15">
        <v>210</v>
      </c>
      <c r="BG15">
        <v>236</v>
      </c>
      <c r="BH15">
        <v>3</v>
      </c>
      <c r="BI15">
        <v>630</v>
      </c>
      <c r="BJ15">
        <v>1575</v>
      </c>
      <c r="BK15">
        <v>63</v>
      </c>
      <c r="BL15">
        <v>157</v>
      </c>
      <c r="BM15">
        <v>1</v>
      </c>
      <c r="BN15">
        <v>10000</v>
      </c>
      <c r="BO15">
        <v>1</v>
      </c>
      <c r="BP15">
        <v>0</v>
      </c>
      <c r="BQ15">
        <v>0</v>
      </c>
      <c r="BR15">
        <v>0.69708994708994709</v>
      </c>
      <c r="BS15">
        <v>10000</v>
      </c>
      <c r="BT15">
        <v>228</v>
      </c>
      <c r="BU15">
        <v>256</v>
      </c>
      <c r="BV15">
        <v>3</v>
      </c>
      <c r="BW15">
        <v>684</v>
      </c>
      <c r="BX15">
        <v>1710</v>
      </c>
      <c r="BY15">
        <v>68</v>
      </c>
      <c r="BZ15">
        <v>171</v>
      </c>
      <c r="CA15">
        <v>2</v>
      </c>
      <c r="CB15">
        <v>15000</v>
      </c>
      <c r="CC15">
        <v>0</v>
      </c>
      <c r="CD15">
        <v>0</v>
      </c>
      <c r="CE15">
        <v>0</v>
      </c>
      <c r="CF15">
        <v>0.99049707602339188</v>
      </c>
      <c r="CG15">
        <v>7500</v>
      </c>
      <c r="CH15">
        <v>240</v>
      </c>
      <c r="CI15">
        <v>270</v>
      </c>
      <c r="CJ15">
        <v>3</v>
      </c>
      <c r="CK15">
        <v>720</v>
      </c>
      <c r="CL15">
        <v>1800</v>
      </c>
      <c r="CM15">
        <v>72</v>
      </c>
      <c r="CN15">
        <v>180</v>
      </c>
      <c r="CO15">
        <v>2</v>
      </c>
      <c r="CP15">
        <v>20000</v>
      </c>
      <c r="CQ15">
        <v>0</v>
      </c>
      <c r="CR15">
        <v>1</v>
      </c>
      <c r="CS15">
        <v>0</v>
      </c>
      <c r="CT15">
        <v>1.236574074074074</v>
      </c>
      <c r="CU15">
        <v>10000</v>
      </c>
      <c r="CV15">
        <v>7.5</v>
      </c>
      <c r="CW15">
        <v>54000</v>
      </c>
      <c r="CX15">
        <v>1</v>
      </c>
      <c r="CY15">
        <v>1</v>
      </c>
      <c r="CZ15">
        <v>0</v>
      </c>
      <c r="DA15">
        <v>3.125</v>
      </c>
      <c r="DB15">
        <v>7200</v>
      </c>
      <c r="DD15" t="s">
        <v>819</v>
      </c>
      <c r="DE15">
        <v>16</v>
      </c>
    </row>
    <row r="16" spans="1:109">
      <c r="A16">
        <v>17</v>
      </c>
      <c r="B16" t="s">
        <v>820</v>
      </c>
      <c r="C16" t="s">
        <v>48</v>
      </c>
      <c r="F16" t="s">
        <v>43</v>
      </c>
      <c r="G16" t="s">
        <v>43</v>
      </c>
      <c r="H16">
        <v>3</v>
      </c>
      <c r="I16" t="s">
        <v>283</v>
      </c>
      <c r="J16">
        <v>5</v>
      </c>
      <c r="K16">
        <v>2.5000000000000001E-2</v>
      </c>
      <c r="L16">
        <v>3.6164383561643834</v>
      </c>
      <c r="M16">
        <v>30</v>
      </c>
      <c r="N16" t="s">
        <v>47</v>
      </c>
      <c r="O16" t="s">
        <v>98</v>
      </c>
      <c r="P16">
        <v>0</v>
      </c>
      <c r="Q16">
        <v>0</v>
      </c>
      <c r="R16">
        <v>0</v>
      </c>
      <c r="S16">
        <v>0</v>
      </c>
      <c r="T16">
        <v>0</v>
      </c>
      <c r="U16">
        <v>0</v>
      </c>
      <c r="V16">
        <v>0</v>
      </c>
      <c r="W16">
        <v>0</v>
      </c>
      <c r="X16">
        <v>0</v>
      </c>
      <c r="Y16">
        <v>0</v>
      </c>
      <c r="Z16">
        <v>0</v>
      </c>
      <c r="AA16">
        <v>0</v>
      </c>
      <c r="AB16">
        <v>0</v>
      </c>
      <c r="AC16">
        <v>0</v>
      </c>
      <c r="AD16">
        <v>264</v>
      </c>
      <c r="AE16">
        <v>73</v>
      </c>
      <c r="AF16">
        <v>3</v>
      </c>
      <c r="AG16">
        <v>792</v>
      </c>
      <c r="AH16">
        <v>3960</v>
      </c>
      <c r="AI16">
        <v>19</v>
      </c>
      <c r="AJ16">
        <v>99</v>
      </c>
      <c r="AK16">
        <v>2</v>
      </c>
      <c r="AL16">
        <v>0</v>
      </c>
      <c r="AM16">
        <v>0</v>
      </c>
      <c r="AN16">
        <v>0</v>
      </c>
      <c r="AO16">
        <v>0</v>
      </c>
      <c r="AP16">
        <v>0</v>
      </c>
      <c r="AQ16">
        <v>0</v>
      </c>
      <c r="AR16">
        <v>396</v>
      </c>
      <c r="AS16">
        <v>109</v>
      </c>
      <c r="AT16">
        <v>3</v>
      </c>
      <c r="AU16">
        <v>1188</v>
      </c>
      <c r="AV16">
        <v>5940</v>
      </c>
      <c r="AW16">
        <v>29</v>
      </c>
      <c r="AX16">
        <v>148</v>
      </c>
      <c r="AY16">
        <v>0.5</v>
      </c>
      <c r="AZ16">
        <v>25000</v>
      </c>
      <c r="BA16">
        <v>0</v>
      </c>
      <c r="BB16">
        <v>0</v>
      </c>
      <c r="BC16">
        <v>0</v>
      </c>
      <c r="BD16">
        <v>0.89071268237934909</v>
      </c>
      <c r="BE16">
        <v>50000</v>
      </c>
      <c r="BF16">
        <v>462</v>
      </c>
      <c r="BG16">
        <v>127</v>
      </c>
      <c r="BH16">
        <v>3</v>
      </c>
      <c r="BI16">
        <v>1386</v>
      </c>
      <c r="BJ16">
        <v>6930</v>
      </c>
      <c r="BK16">
        <v>34</v>
      </c>
      <c r="BL16">
        <v>173</v>
      </c>
      <c r="BM16">
        <v>1</v>
      </c>
      <c r="BN16">
        <v>35000</v>
      </c>
      <c r="BO16">
        <v>0</v>
      </c>
      <c r="BP16">
        <v>1</v>
      </c>
      <c r="BQ16">
        <v>0</v>
      </c>
      <c r="BR16">
        <v>1.0879028379028379</v>
      </c>
      <c r="BS16">
        <v>35000</v>
      </c>
      <c r="BT16">
        <v>501</v>
      </c>
      <c r="BU16">
        <v>138</v>
      </c>
      <c r="BV16">
        <v>3</v>
      </c>
      <c r="BW16">
        <v>1503</v>
      </c>
      <c r="BX16">
        <v>7515</v>
      </c>
      <c r="BY16">
        <v>37</v>
      </c>
      <c r="BZ16">
        <v>187</v>
      </c>
      <c r="CA16">
        <v>2</v>
      </c>
      <c r="CB16">
        <v>45000</v>
      </c>
      <c r="CC16">
        <v>0</v>
      </c>
      <c r="CD16">
        <v>0</v>
      </c>
      <c r="CE16">
        <v>0</v>
      </c>
      <c r="CF16">
        <v>1.3243512974051896</v>
      </c>
      <c r="CG16">
        <v>22500</v>
      </c>
      <c r="CH16">
        <v>528</v>
      </c>
      <c r="CI16">
        <v>146</v>
      </c>
      <c r="CJ16">
        <v>3</v>
      </c>
      <c r="CK16">
        <v>1584</v>
      </c>
      <c r="CL16">
        <v>7920</v>
      </c>
      <c r="CM16">
        <v>39</v>
      </c>
      <c r="CN16">
        <v>198</v>
      </c>
      <c r="CO16">
        <v>2</v>
      </c>
      <c r="CP16">
        <v>55000</v>
      </c>
      <c r="CQ16">
        <v>0</v>
      </c>
      <c r="CR16">
        <v>0</v>
      </c>
      <c r="CS16">
        <v>1</v>
      </c>
      <c r="CT16">
        <v>1.525831228956229</v>
      </c>
      <c r="CU16">
        <v>27500</v>
      </c>
      <c r="CV16">
        <v>7.5</v>
      </c>
      <c r="CW16">
        <v>160000</v>
      </c>
      <c r="CX16">
        <v>0</v>
      </c>
      <c r="CY16">
        <v>1</v>
      </c>
      <c r="CZ16">
        <v>1</v>
      </c>
      <c r="DA16">
        <v>4.2087542087542085</v>
      </c>
      <c r="DB16">
        <v>21333.333333333332</v>
      </c>
      <c r="DD16" t="s">
        <v>820</v>
      </c>
      <c r="DE16">
        <v>17</v>
      </c>
    </row>
    <row r="17" spans="1:109">
      <c r="A17">
        <v>18</v>
      </c>
      <c r="B17" t="s">
        <v>763</v>
      </c>
      <c r="C17" t="s">
        <v>48</v>
      </c>
      <c r="E17" t="s">
        <v>43</v>
      </c>
      <c r="H17">
        <v>1</v>
      </c>
      <c r="I17" t="s">
        <v>268</v>
      </c>
      <c r="J17">
        <v>5</v>
      </c>
      <c r="K17">
        <v>2.5000000000000001E-2</v>
      </c>
      <c r="L17">
        <v>3.5820895522388061</v>
      </c>
      <c r="M17">
        <v>30</v>
      </c>
      <c r="N17" t="s">
        <v>47</v>
      </c>
      <c r="O17" t="s">
        <v>98</v>
      </c>
      <c r="P17">
        <v>0</v>
      </c>
      <c r="Q17">
        <v>0</v>
      </c>
      <c r="R17">
        <v>0</v>
      </c>
      <c r="S17">
        <v>0</v>
      </c>
      <c r="T17">
        <v>0</v>
      </c>
      <c r="U17">
        <v>0</v>
      </c>
      <c r="V17">
        <v>0</v>
      </c>
      <c r="W17">
        <v>0</v>
      </c>
      <c r="X17">
        <v>0</v>
      </c>
      <c r="Y17">
        <v>0</v>
      </c>
      <c r="Z17">
        <v>0</v>
      </c>
      <c r="AA17">
        <v>0</v>
      </c>
      <c r="AB17">
        <v>0</v>
      </c>
      <c r="AC17">
        <v>0</v>
      </c>
      <c r="AD17">
        <v>240</v>
      </c>
      <c r="AE17">
        <v>67</v>
      </c>
      <c r="AF17">
        <v>3</v>
      </c>
      <c r="AG17">
        <v>720</v>
      </c>
      <c r="AH17">
        <v>3600</v>
      </c>
      <c r="AI17">
        <v>18</v>
      </c>
      <c r="AJ17">
        <v>90</v>
      </c>
      <c r="AK17">
        <v>3</v>
      </c>
      <c r="AL17">
        <v>6000</v>
      </c>
      <c r="AM17">
        <v>0</v>
      </c>
      <c r="AN17">
        <v>0</v>
      </c>
      <c r="AO17">
        <v>0</v>
      </c>
      <c r="AP17">
        <v>0.34722222222222227</v>
      </c>
      <c r="AQ17">
        <v>2000</v>
      </c>
      <c r="AR17">
        <v>360</v>
      </c>
      <c r="AS17">
        <v>100</v>
      </c>
      <c r="AT17">
        <v>3</v>
      </c>
      <c r="AU17">
        <v>1080</v>
      </c>
      <c r="AV17">
        <v>5400</v>
      </c>
      <c r="AW17">
        <v>27</v>
      </c>
      <c r="AX17">
        <v>135</v>
      </c>
      <c r="AY17">
        <v>0.75</v>
      </c>
      <c r="AZ17">
        <v>5000</v>
      </c>
      <c r="BA17">
        <v>0</v>
      </c>
      <c r="BB17">
        <v>0</v>
      </c>
      <c r="BC17">
        <v>0</v>
      </c>
      <c r="BD17">
        <v>0.21373456790123457</v>
      </c>
      <c r="BE17">
        <v>6666</v>
      </c>
      <c r="BF17">
        <v>420</v>
      </c>
      <c r="BG17">
        <v>117</v>
      </c>
      <c r="BH17">
        <v>3</v>
      </c>
      <c r="BI17">
        <v>1260</v>
      </c>
      <c r="BJ17">
        <v>6300</v>
      </c>
      <c r="BK17">
        <v>31</v>
      </c>
      <c r="BL17">
        <v>157</v>
      </c>
      <c r="BM17">
        <v>2</v>
      </c>
      <c r="BN17">
        <v>10000</v>
      </c>
      <c r="BO17">
        <v>1</v>
      </c>
      <c r="BP17">
        <v>0</v>
      </c>
      <c r="BQ17">
        <v>0</v>
      </c>
      <c r="BR17">
        <v>0.40211640211640209</v>
      </c>
      <c r="BS17">
        <v>5000</v>
      </c>
      <c r="BT17">
        <v>456</v>
      </c>
      <c r="BU17">
        <v>127</v>
      </c>
      <c r="BV17">
        <v>3</v>
      </c>
      <c r="BW17">
        <v>1368</v>
      </c>
      <c r="BX17">
        <v>6840</v>
      </c>
      <c r="BY17">
        <v>34</v>
      </c>
      <c r="BZ17">
        <v>171</v>
      </c>
      <c r="CA17">
        <v>3</v>
      </c>
      <c r="CB17">
        <v>15000</v>
      </c>
      <c r="CC17">
        <v>0</v>
      </c>
      <c r="CD17">
        <v>0</v>
      </c>
      <c r="CE17">
        <v>0</v>
      </c>
      <c r="CF17">
        <v>0.57200292397660812</v>
      </c>
      <c r="CG17">
        <v>5000</v>
      </c>
      <c r="CH17">
        <v>480</v>
      </c>
      <c r="CI17">
        <v>134</v>
      </c>
      <c r="CJ17">
        <v>3</v>
      </c>
      <c r="CK17">
        <v>1440</v>
      </c>
      <c r="CL17">
        <v>7200</v>
      </c>
      <c r="CM17">
        <v>36</v>
      </c>
      <c r="CN17">
        <v>180</v>
      </c>
      <c r="CO17">
        <v>3</v>
      </c>
      <c r="CP17">
        <v>20000</v>
      </c>
      <c r="CQ17">
        <v>0</v>
      </c>
      <c r="CR17">
        <v>1</v>
      </c>
      <c r="CS17">
        <v>0</v>
      </c>
      <c r="CT17">
        <v>0.69745370370370363</v>
      </c>
      <c r="CU17">
        <v>6666</v>
      </c>
      <c r="CV17">
        <v>11.75</v>
      </c>
      <c r="CW17">
        <v>56000</v>
      </c>
      <c r="CX17">
        <v>1</v>
      </c>
      <c r="CY17">
        <v>1</v>
      </c>
      <c r="CZ17">
        <v>0</v>
      </c>
      <c r="DA17">
        <v>1.6203703703703702</v>
      </c>
      <c r="DB17">
        <v>4765.9574468085102</v>
      </c>
      <c r="DD17" t="s">
        <v>763</v>
      </c>
      <c r="DE17">
        <v>18</v>
      </c>
    </row>
    <row r="18" spans="1:109">
      <c r="A18">
        <v>19</v>
      </c>
      <c r="B18" t="s">
        <v>790</v>
      </c>
      <c r="C18" t="s">
        <v>52</v>
      </c>
      <c r="E18" t="s">
        <v>43</v>
      </c>
      <c r="H18">
        <v>3</v>
      </c>
      <c r="I18" t="s">
        <v>283</v>
      </c>
      <c r="J18">
        <v>2</v>
      </c>
      <c r="K18">
        <v>0.15</v>
      </c>
      <c r="L18">
        <v>0.87301587301587302</v>
      </c>
      <c r="M18">
        <v>30</v>
      </c>
      <c r="N18" t="s">
        <v>47</v>
      </c>
      <c r="O18" t="s">
        <v>98</v>
      </c>
      <c r="P18">
        <v>0</v>
      </c>
      <c r="Q18">
        <v>0</v>
      </c>
      <c r="R18">
        <v>0</v>
      </c>
      <c r="S18">
        <v>0</v>
      </c>
      <c r="T18">
        <v>0</v>
      </c>
      <c r="U18">
        <v>0</v>
      </c>
      <c r="V18">
        <v>0</v>
      </c>
      <c r="W18">
        <v>0</v>
      </c>
      <c r="X18">
        <v>0</v>
      </c>
      <c r="Y18">
        <v>0</v>
      </c>
      <c r="Z18">
        <v>0</v>
      </c>
      <c r="AA18">
        <v>0</v>
      </c>
      <c r="AB18">
        <v>0</v>
      </c>
      <c r="AC18">
        <v>0</v>
      </c>
      <c r="AD18">
        <v>110</v>
      </c>
      <c r="AE18">
        <v>126</v>
      </c>
      <c r="AF18">
        <v>3</v>
      </c>
      <c r="AG18">
        <v>330</v>
      </c>
      <c r="AH18">
        <v>660</v>
      </c>
      <c r="AI18">
        <v>49</v>
      </c>
      <c r="AJ18">
        <v>99</v>
      </c>
      <c r="AK18">
        <v>2.5</v>
      </c>
      <c r="AL18">
        <v>0</v>
      </c>
      <c r="AM18">
        <v>0</v>
      </c>
      <c r="AN18">
        <v>0</v>
      </c>
      <c r="AO18">
        <v>0</v>
      </c>
      <c r="AP18">
        <v>0</v>
      </c>
      <c r="AQ18">
        <v>0</v>
      </c>
      <c r="AR18">
        <v>165</v>
      </c>
      <c r="AS18">
        <v>189</v>
      </c>
      <c r="AT18">
        <v>3</v>
      </c>
      <c r="AU18">
        <v>495</v>
      </c>
      <c r="AV18">
        <v>990</v>
      </c>
      <c r="AW18">
        <v>74</v>
      </c>
      <c r="AX18">
        <v>148</v>
      </c>
      <c r="AY18">
        <v>0.75</v>
      </c>
      <c r="AZ18">
        <v>10000</v>
      </c>
      <c r="BA18">
        <v>0</v>
      </c>
      <c r="BB18">
        <v>0</v>
      </c>
      <c r="BC18">
        <v>0</v>
      </c>
      <c r="BD18">
        <v>0.86258417508417506</v>
      </c>
      <c r="BE18">
        <v>13333</v>
      </c>
      <c r="BF18">
        <v>192</v>
      </c>
      <c r="BG18">
        <v>220</v>
      </c>
      <c r="BH18">
        <v>3</v>
      </c>
      <c r="BI18">
        <v>576</v>
      </c>
      <c r="BJ18">
        <v>1152</v>
      </c>
      <c r="BK18">
        <v>86</v>
      </c>
      <c r="BL18">
        <v>172</v>
      </c>
      <c r="BM18">
        <v>2</v>
      </c>
      <c r="BN18">
        <v>20000</v>
      </c>
      <c r="BO18">
        <v>0</v>
      </c>
      <c r="BP18">
        <v>1</v>
      </c>
      <c r="BQ18">
        <v>0</v>
      </c>
      <c r="BR18">
        <v>1.5183738425925926</v>
      </c>
      <c r="BS18">
        <v>10000</v>
      </c>
      <c r="BT18">
        <v>209</v>
      </c>
      <c r="BU18">
        <v>239</v>
      </c>
      <c r="BV18">
        <v>3</v>
      </c>
      <c r="BW18">
        <v>627</v>
      </c>
      <c r="BX18">
        <v>1254</v>
      </c>
      <c r="BY18">
        <v>94</v>
      </c>
      <c r="BZ18">
        <v>188</v>
      </c>
      <c r="CA18">
        <v>2</v>
      </c>
      <c r="CB18">
        <v>30000</v>
      </c>
      <c r="CC18">
        <v>0</v>
      </c>
      <c r="CD18">
        <v>0</v>
      </c>
      <c r="CE18">
        <v>0</v>
      </c>
      <c r="CF18">
        <v>2.070175438596491</v>
      </c>
      <c r="CG18">
        <v>15000</v>
      </c>
      <c r="CH18">
        <v>220</v>
      </c>
      <c r="CI18">
        <v>252</v>
      </c>
      <c r="CJ18">
        <v>3</v>
      </c>
      <c r="CK18">
        <v>660</v>
      </c>
      <c r="CL18">
        <v>1320</v>
      </c>
      <c r="CM18">
        <v>99</v>
      </c>
      <c r="CN18">
        <v>198</v>
      </c>
      <c r="CO18">
        <v>3</v>
      </c>
      <c r="CP18">
        <v>40000</v>
      </c>
      <c r="CQ18">
        <v>0</v>
      </c>
      <c r="CR18">
        <v>0</v>
      </c>
      <c r="CS18">
        <v>1</v>
      </c>
      <c r="CT18">
        <v>2.644002525252525</v>
      </c>
      <c r="CU18">
        <v>13333</v>
      </c>
      <c r="CV18">
        <v>10.25</v>
      </c>
      <c r="CW18">
        <v>100000</v>
      </c>
      <c r="CX18">
        <v>0</v>
      </c>
      <c r="CY18">
        <v>1</v>
      </c>
      <c r="CZ18">
        <v>1</v>
      </c>
      <c r="DA18">
        <v>6.3131313131313123</v>
      </c>
      <c r="DB18">
        <v>9756.0975609756097</v>
      </c>
      <c r="DD18" t="s">
        <v>790</v>
      </c>
      <c r="DE18">
        <v>19</v>
      </c>
    </row>
    <row r="19" spans="1:109">
      <c r="A19">
        <v>20</v>
      </c>
      <c r="B19" t="s">
        <v>821</v>
      </c>
      <c r="C19" t="s">
        <v>52</v>
      </c>
      <c r="F19" t="s">
        <v>43</v>
      </c>
      <c r="H19">
        <v>1</v>
      </c>
      <c r="I19" t="s">
        <v>268</v>
      </c>
      <c r="J19">
        <v>2</v>
      </c>
      <c r="K19">
        <v>0.1</v>
      </c>
      <c r="L19">
        <v>0.86956521739130432</v>
      </c>
      <c r="M19">
        <v>30</v>
      </c>
      <c r="N19" t="s">
        <v>47</v>
      </c>
      <c r="O19" t="s">
        <v>98</v>
      </c>
      <c r="P19">
        <v>0</v>
      </c>
      <c r="Q19">
        <v>0</v>
      </c>
      <c r="R19">
        <v>0</v>
      </c>
      <c r="S19">
        <v>0</v>
      </c>
      <c r="T19">
        <v>0</v>
      </c>
      <c r="U19">
        <v>0</v>
      </c>
      <c r="V19">
        <v>0</v>
      </c>
      <c r="W19">
        <v>0</v>
      </c>
      <c r="X19">
        <v>0</v>
      </c>
      <c r="Y19">
        <v>0</v>
      </c>
      <c r="Z19">
        <v>0</v>
      </c>
      <c r="AA19">
        <v>0</v>
      </c>
      <c r="AB19">
        <v>0</v>
      </c>
      <c r="AC19">
        <v>0</v>
      </c>
      <c r="AD19">
        <v>100</v>
      </c>
      <c r="AE19">
        <v>115</v>
      </c>
      <c r="AF19">
        <v>3</v>
      </c>
      <c r="AG19">
        <v>300</v>
      </c>
      <c r="AH19">
        <v>600</v>
      </c>
      <c r="AI19">
        <v>30</v>
      </c>
      <c r="AJ19">
        <v>60</v>
      </c>
      <c r="AK19">
        <v>8.3333333333333339E-4</v>
      </c>
      <c r="AL19">
        <v>1000</v>
      </c>
      <c r="AM19">
        <v>0</v>
      </c>
      <c r="AN19">
        <v>0</v>
      </c>
      <c r="AO19">
        <v>0</v>
      </c>
      <c r="AP19">
        <v>0.1388888888888889</v>
      </c>
      <c r="AQ19">
        <v>1200000</v>
      </c>
      <c r="AR19">
        <v>150</v>
      </c>
      <c r="AS19">
        <v>172</v>
      </c>
      <c r="AT19">
        <v>3</v>
      </c>
      <c r="AU19">
        <v>450</v>
      </c>
      <c r="AV19">
        <v>900</v>
      </c>
      <c r="AW19">
        <v>45</v>
      </c>
      <c r="AX19">
        <v>90</v>
      </c>
      <c r="AY19">
        <v>8.3333333333333329E-2</v>
      </c>
      <c r="AZ19">
        <v>3000</v>
      </c>
      <c r="BA19">
        <v>0</v>
      </c>
      <c r="BB19">
        <v>0</v>
      </c>
      <c r="BC19">
        <v>0</v>
      </c>
      <c r="BD19">
        <v>0.28009259259259262</v>
      </c>
      <c r="BE19">
        <v>36000</v>
      </c>
      <c r="BF19">
        <v>175</v>
      </c>
      <c r="BG19">
        <v>201</v>
      </c>
      <c r="BH19">
        <v>3</v>
      </c>
      <c r="BI19">
        <v>525</v>
      </c>
      <c r="BJ19">
        <v>1050</v>
      </c>
      <c r="BK19">
        <v>52</v>
      </c>
      <c r="BL19">
        <v>105</v>
      </c>
      <c r="BM19">
        <v>0.5</v>
      </c>
      <c r="BN19">
        <v>6000</v>
      </c>
      <c r="BO19">
        <v>1</v>
      </c>
      <c r="BP19">
        <v>0</v>
      </c>
      <c r="BQ19">
        <v>0</v>
      </c>
      <c r="BR19">
        <v>0.49404761904761907</v>
      </c>
      <c r="BS19">
        <v>12000</v>
      </c>
      <c r="BT19">
        <v>190</v>
      </c>
      <c r="BU19">
        <v>218</v>
      </c>
      <c r="BV19">
        <v>3</v>
      </c>
      <c r="BW19">
        <v>570</v>
      </c>
      <c r="BX19">
        <v>1140</v>
      </c>
      <c r="BY19">
        <v>57</v>
      </c>
      <c r="BZ19">
        <v>114</v>
      </c>
      <c r="CA19">
        <v>1</v>
      </c>
      <c r="CB19">
        <v>9000</v>
      </c>
      <c r="CC19">
        <v>0</v>
      </c>
      <c r="CD19">
        <v>0</v>
      </c>
      <c r="CE19">
        <v>0</v>
      </c>
      <c r="CF19">
        <v>0.69627192982456132</v>
      </c>
      <c r="CG19">
        <v>9000</v>
      </c>
      <c r="CH19">
        <v>200</v>
      </c>
      <c r="CI19">
        <v>230</v>
      </c>
      <c r="CJ19">
        <v>3</v>
      </c>
      <c r="CK19">
        <v>600</v>
      </c>
      <c r="CL19">
        <v>1200</v>
      </c>
      <c r="CM19">
        <v>60</v>
      </c>
      <c r="CN19">
        <v>120</v>
      </c>
      <c r="CO19">
        <v>2</v>
      </c>
      <c r="CP19">
        <v>12000</v>
      </c>
      <c r="CQ19">
        <v>0</v>
      </c>
      <c r="CR19">
        <v>1</v>
      </c>
      <c r="CS19">
        <v>0</v>
      </c>
      <c r="CT19">
        <v>0.91249999999999998</v>
      </c>
      <c r="CU19">
        <v>6000</v>
      </c>
      <c r="CV19">
        <v>3.5841666666666665</v>
      </c>
      <c r="CW19">
        <v>31000</v>
      </c>
      <c r="CX19">
        <v>1</v>
      </c>
      <c r="CY19">
        <v>1</v>
      </c>
      <c r="CZ19">
        <v>0</v>
      </c>
      <c r="DA19">
        <v>2.1527777777777777</v>
      </c>
      <c r="DB19">
        <v>8649.1513601488023</v>
      </c>
      <c r="DD19" t="s">
        <v>821</v>
      </c>
      <c r="DE19">
        <v>20</v>
      </c>
    </row>
    <row r="20" spans="1:109">
      <c r="A20">
        <v>22</v>
      </c>
      <c r="B20" t="s">
        <v>78</v>
      </c>
      <c r="C20" t="s">
        <v>52</v>
      </c>
      <c r="E20" t="s">
        <v>43</v>
      </c>
      <c r="H20">
        <v>3</v>
      </c>
      <c r="I20" t="s">
        <v>283</v>
      </c>
      <c r="J20">
        <v>0.875</v>
      </c>
      <c r="K20">
        <v>0.15</v>
      </c>
      <c r="L20">
        <v>0.58974358974358976</v>
      </c>
      <c r="M20">
        <v>30</v>
      </c>
      <c r="N20" t="s">
        <v>47</v>
      </c>
      <c r="O20" t="s">
        <v>98</v>
      </c>
      <c r="P20">
        <v>0</v>
      </c>
      <c r="Q20">
        <v>0</v>
      </c>
      <c r="R20">
        <v>0</v>
      </c>
      <c r="S20">
        <v>0</v>
      </c>
      <c r="T20">
        <v>0</v>
      </c>
      <c r="U20">
        <v>0</v>
      </c>
      <c r="V20">
        <v>0</v>
      </c>
      <c r="W20">
        <v>0</v>
      </c>
      <c r="X20">
        <v>0</v>
      </c>
      <c r="Y20">
        <v>0</v>
      </c>
      <c r="Z20">
        <v>0</v>
      </c>
      <c r="AA20">
        <v>0</v>
      </c>
      <c r="AB20">
        <v>0</v>
      </c>
      <c r="AC20">
        <v>0</v>
      </c>
      <c r="AD20">
        <v>115</v>
      </c>
      <c r="AE20">
        <v>195</v>
      </c>
      <c r="AF20">
        <v>8</v>
      </c>
      <c r="AG20">
        <v>920</v>
      </c>
      <c r="AH20">
        <v>805</v>
      </c>
      <c r="AI20">
        <v>138</v>
      </c>
      <c r="AJ20">
        <v>120</v>
      </c>
      <c r="AK20">
        <v>3</v>
      </c>
      <c r="AL20">
        <v>0</v>
      </c>
      <c r="AM20">
        <v>0</v>
      </c>
      <c r="AN20">
        <v>0</v>
      </c>
      <c r="AO20">
        <v>0</v>
      </c>
      <c r="AP20">
        <v>0</v>
      </c>
      <c r="AQ20">
        <v>0</v>
      </c>
      <c r="AR20">
        <v>172</v>
      </c>
      <c r="AS20">
        <v>292</v>
      </c>
      <c r="AT20">
        <v>8</v>
      </c>
      <c r="AU20">
        <v>1376</v>
      </c>
      <c r="AV20">
        <v>1204</v>
      </c>
      <c r="AW20">
        <v>206</v>
      </c>
      <c r="AX20">
        <v>180</v>
      </c>
      <c r="AY20">
        <v>0.75</v>
      </c>
      <c r="AZ20">
        <v>15000</v>
      </c>
      <c r="BA20">
        <v>0</v>
      </c>
      <c r="BB20">
        <v>0</v>
      </c>
      <c r="BC20">
        <v>0</v>
      </c>
      <c r="BD20">
        <v>0.47510901162790703</v>
      </c>
      <c r="BE20">
        <v>20000</v>
      </c>
      <c r="BF20">
        <v>201</v>
      </c>
      <c r="BG20">
        <v>341</v>
      </c>
      <c r="BH20">
        <v>9</v>
      </c>
      <c r="BI20">
        <v>1809</v>
      </c>
      <c r="BJ20">
        <v>1582</v>
      </c>
      <c r="BK20">
        <v>271</v>
      </c>
      <c r="BL20">
        <v>237</v>
      </c>
      <c r="BM20">
        <v>2</v>
      </c>
      <c r="BN20">
        <v>25000</v>
      </c>
      <c r="BO20">
        <v>0</v>
      </c>
      <c r="BP20">
        <v>1</v>
      </c>
      <c r="BQ20">
        <v>0</v>
      </c>
      <c r="BR20">
        <v>0.6392113506541367</v>
      </c>
      <c r="BS20">
        <v>12500</v>
      </c>
      <c r="BT20">
        <v>218</v>
      </c>
      <c r="BU20">
        <v>370</v>
      </c>
      <c r="BV20">
        <v>9</v>
      </c>
      <c r="BW20">
        <v>1962</v>
      </c>
      <c r="BX20">
        <v>1716</v>
      </c>
      <c r="BY20">
        <v>294</v>
      </c>
      <c r="BZ20">
        <v>257</v>
      </c>
      <c r="CA20">
        <v>3</v>
      </c>
      <c r="CB20">
        <v>35000</v>
      </c>
      <c r="CC20">
        <v>0</v>
      </c>
      <c r="CD20">
        <v>0</v>
      </c>
      <c r="CE20">
        <v>0</v>
      </c>
      <c r="CF20">
        <v>0.85854145429833506</v>
      </c>
      <c r="CG20">
        <v>11666</v>
      </c>
      <c r="CH20">
        <v>230</v>
      </c>
      <c r="CI20">
        <v>390</v>
      </c>
      <c r="CJ20">
        <v>9</v>
      </c>
      <c r="CK20">
        <v>2070</v>
      </c>
      <c r="CL20">
        <v>1811</v>
      </c>
      <c r="CM20">
        <v>310</v>
      </c>
      <c r="CN20">
        <v>271</v>
      </c>
      <c r="CO20">
        <v>3</v>
      </c>
      <c r="CP20">
        <v>45000</v>
      </c>
      <c r="CQ20">
        <v>0</v>
      </c>
      <c r="CR20">
        <v>0</v>
      </c>
      <c r="CS20">
        <v>1</v>
      </c>
      <c r="CT20">
        <v>1.0242753623188405</v>
      </c>
      <c r="CU20">
        <v>15000</v>
      </c>
      <c r="CV20">
        <v>11.75</v>
      </c>
      <c r="CW20">
        <v>120000</v>
      </c>
      <c r="CX20">
        <v>0</v>
      </c>
      <c r="CY20">
        <v>1</v>
      </c>
      <c r="CZ20">
        <v>1</v>
      </c>
      <c r="DA20">
        <v>2.4154589371980677</v>
      </c>
      <c r="DB20">
        <v>10212.765957446809</v>
      </c>
      <c r="DD20" t="s">
        <v>78</v>
      </c>
      <c r="DE20">
        <v>22</v>
      </c>
    </row>
    <row r="21" spans="1:109">
      <c r="A21">
        <v>23</v>
      </c>
      <c r="B21" t="s">
        <v>808</v>
      </c>
      <c r="C21" t="s">
        <v>77</v>
      </c>
      <c r="E21" t="s">
        <v>43</v>
      </c>
      <c r="H21">
        <v>2</v>
      </c>
      <c r="I21" t="s">
        <v>268</v>
      </c>
      <c r="J21">
        <v>1.5</v>
      </c>
      <c r="K21">
        <v>0.22500000000000001</v>
      </c>
      <c r="L21">
        <v>0.50359712230215825</v>
      </c>
      <c r="M21">
        <v>30</v>
      </c>
      <c r="N21" t="s">
        <v>47</v>
      </c>
      <c r="O21" t="s">
        <v>98</v>
      </c>
      <c r="P21">
        <v>0</v>
      </c>
      <c r="Q21">
        <v>0</v>
      </c>
      <c r="R21">
        <v>0</v>
      </c>
      <c r="S21">
        <v>0</v>
      </c>
      <c r="T21">
        <v>0</v>
      </c>
      <c r="U21">
        <v>0</v>
      </c>
      <c r="V21">
        <v>0</v>
      </c>
      <c r="W21">
        <v>0</v>
      </c>
      <c r="X21">
        <v>0</v>
      </c>
      <c r="Y21">
        <v>0</v>
      </c>
      <c r="Z21">
        <v>0</v>
      </c>
      <c r="AA21">
        <v>0</v>
      </c>
      <c r="AB21">
        <v>0</v>
      </c>
      <c r="AC21">
        <v>0</v>
      </c>
      <c r="AD21">
        <v>70</v>
      </c>
      <c r="AE21">
        <v>139</v>
      </c>
      <c r="AF21">
        <v>3</v>
      </c>
      <c r="AG21">
        <v>210</v>
      </c>
      <c r="AH21">
        <v>315</v>
      </c>
      <c r="AI21">
        <v>47</v>
      </c>
      <c r="AJ21">
        <v>70</v>
      </c>
      <c r="AK21">
        <v>6</v>
      </c>
      <c r="AL21">
        <v>15000</v>
      </c>
      <c r="AM21">
        <v>0</v>
      </c>
      <c r="AN21">
        <v>0</v>
      </c>
      <c r="AO21">
        <v>0</v>
      </c>
      <c r="AP21">
        <v>2.9761904761904763</v>
      </c>
      <c r="AQ21">
        <v>2500</v>
      </c>
      <c r="AR21">
        <v>105</v>
      </c>
      <c r="AS21">
        <v>208</v>
      </c>
      <c r="AT21">
        <v>3</v>
      </c>
      <c r="AU21">
        <v>315</v>
      </c>
      <c r="AV21">
        <v>472</v>
      </c>
      <c r="AW21">
        <v>70</v>
      </c>
      <c r="AX21">
        <v>106</v>
      </c>
      <c r="AY21">
        <v>2</v>
      </c>
      <c r="AZ21">
        <v>15000</v>
      </c>
      <c r="BA21">
        <v>0</v>
      </c>
      <c r="BB21">
        <v>0</v>
      </c>
      <c r="BC21">
        <v>0</v>
      </c>
      <c r="BD21">
        <v>2.0396825396825395</v>
      </c>
      <c r="BE21">
        <v>7500</v>
      </c>
      <c r="BF21">
        <v>122</v>
      </c>
      <c r="BG21">
        <v>243</v>
      </c>
      <c r="BH21">
        <v>3</v>
      </c>
      <c r="BI21">
        <v>366</v>
      </c>
      <c r="BJ21">
        <v>549</v>
      </c>
      <c r="BK21">
        <v>82</v>
      </c>
      <c r="BL21">
        <v>123</v>
      </c>
      <c r="BM21">
        <v>3</v>
      </c>
      <c r="BN21">
        <v>22500</v>
      </c>
      <c r="BO21">
        <v>1</v>
      </c>
      <c r="BP21">
        <v>0</v>
      </c>
      <c r="BQ21">
        <v>0</v>
      </c>
      <c r="BR21">
        <v>2.6690573770491803</v>
      </c>
      <c r="BS21">
        <v>7500</v>
      </c>
      <c r="BT21">
        <v>133</v>
      </c>
      <c r="BU21">
        <v>264</v>
      </c>
      <c r="BV21">
        <v>3</v>
      </c>
      <c r="BW21">
        <v>399</v>
      </c>
      <c r="BX21">
        <v>598</v>
      </c>
      <c r="BY21">
        <v>89</v>
      </c>
      <c r="BZ21">
        <v>134</v>
      </c>
      <c r="CA21">
        <v>5</v>
      </c>
      <c r="CB21">
        <v>30000</v>
      </c>
      <c r="CC21">
        <v>0</v>
      </c>
      <c r="CD21">
        <v>0</v>
      </c>
      <c r="CE21">
        <v>0</v>
      </c>
      <c r="CF21">
        <v>3.323934837092732</v>
      </c>
      <c r="CG21">
        <v>6000</v>
      </c>
      <c r="CH21">
        <v>140</v>
      </c>
      <c r="CI21">
        <v>278</v>
      </c>
      <c r="CJ21">
        <v>3</v>
      </c>
      <c r="CK21">
        <v>420</v>
      </c>
      <c r="CL21">
        <v>630</v>
      </c>
      <c r="CM21">
        <v>94</v>
      </c>
      <c r="CN21">
        <v>141</v>
      </c>
      <c r="CO21">
        <v>6</v>
      </c>
      <c r="CP21">
        <v>37500</v>
      </c>
      <c r="CQ21">
        <v>0</v>
      </c>
      <c r="CR21">
        <v>1</v>
      </c>
      <c r="CS21">
        <v>0</v>
      </c>
      <c r="CT21">
        <v>3.9577380952380952</v>
      </c>
      <c r="CU21">
        <v>6250</v>
      </c>
      <c r="CV21">
        <v>22</v>
      </c>
      <c r="CW21">
        <v>120000</v>
      </c>
      <c r="CX21">
        <v>1</v>
      </c>
      <c r="CY21">
        <v>1</v>
      </c>
      <c r="CZ21">
        <v>0</v>
      </c>
      <c r="DA21">
        <v>11.904761904761905</v>
      </c>
      <c r="DB21">
        <v>5454.545454545455</v>
      </c>
      <c r="DD21" t="s">
        <v>808</v>
      </c>
      <c r="DE21">
        <v>23</v>
      </c>
    </row>
    <row r="22" spans="1:109">
      <c r="A22">
        <v>24</v>
      </c>
      <c r="B22" t="s">
        <v>822</v>
      </c>
      <c r="C22" t="s">
        <v>42</v>
      </c>
      <c r="E22" t="s">
        <v>43</v>
      </c>
      <c r="F22" t="s">
        <v>43</v>
      </c>
      <c r="H22">
        <v>2</v>
      </c>
      <c r="I22" t="s">
        <v>268</v>
      </c>
      <c r="J22">
        <v>3</v>
      </c>
      <c r="K22">
        <v>0.1</v>
      </c>
      <c r="L22">
        <v>0.90322580645161288</v>
      </c>
      <c r="M22">
        <v>30</v>
      </c>
      <c r="N22" t="s">
        <v>47</v>
      </c>
      <c r="O22" t="s">
        <v>98</v>
      </c>
      <c r="P22">
        <v>0</v>
      </c>
      <c r="Q22">
        <v>0</v>
      </c>
      <c r="R22">
        <v>0</v>
      </c>
      <c r="S22">
        <v>0</v>
      </c>
      <c r="T22">
        <v>0</v>
      </c>
      <c r="U22">
        <v>0</v>
      </c>
      <c r="V22">
        <v>0</v>
      </c>
      <c r="W22">
        <v>0</v>
      </c>
      <c r="X22">
        <v>0</v>
      </c>
      <c r="Y22">
        <v>0</v>
      </c>
      <c r="Z22">
        <v>0</v>
      </c>
      <c r="AA22">
        <v>0</v>
      </c>
      <c r="AB22">
        <v>0</v>
      </c>
      <c r="AC22">
        <v>0</v>
      </c>
      <c r="AD22">
        <v>140</v>
      </c>
      <c r="AE22">
        <v>155</v>
      </c>
      <c r="AF22">
        <v>3</v>
      </c>
      <c r="AG22">
        <v>420</v>
      </c>
      <c r="AH22">
        <v>1260</v>
      </c>
      <c r="AI22">
        <v>42</v>
      </c>
      <c r="AJ22">
        <v>126</v>
      </c>
      <c r="AK22">
        <v>8</v>
      </c>
      <c r="AL22">
        <v>25000</v>
      </c>
      <c r="AM22">
        <v>0</v>
      </c>
      <c r="AN22">
        <v>0</v>
      </c>
      <c r="AO22">
        <v>0</v>
      </c>
      <c r="AP22">
        <v>2.4801587301587302</v>
      </c>
      <c r="AQ22">
        <v>3125</v>
      </c>
      <c r="AR22">
        <v>210</v>
      </c>
      <c r="AS22">
        <v>232</v>
      </c>
      <c r="AT22">
        <v>3</v>
      </c>
      <c r="AU22">
        <v>630</v>
      </c>
      <c r="AV22">
        <v>1890</v>
      </c>
      <c r="AW22">
        <v>63</v>
      </c>
      <c r="AX22">
        <v>189</v>
      </c>
      <c r="AY22">
        <v>2</v>
      </c>
      <c r="AZ22">
        <v>25000</v>
      </c>
      <c r="BA22">
        <v>0</v>
      </c>
      <c r="BB22">
        <v>0</v>
      </c>
      <c r="BC22">
        <v>0</v>
      </c>
      <c r="BD22">
        <v>1.7089947089947091</v>
      </c>
      <c r="BE22">
        <v>12500</v>
      </c>
      <c r="BF22">
        <v>245</v>
      </c>
      <c r="BG22">
        <v>271</v>
      </c>
      <c r="BH22">
        <v>3</v>
      </c>
      <c r="BI22">
        <v>735</v>
      </c>
      <c r="BJ22">
        <v>2205</v>
      </c>
      <c r="BK22">
        <v>73</v>
      </c>
      <c r="BL22">
        <v>220</v>
      </c>
      <c r="BM22">
        <v>4</v>
      </c>
      <c r="BN22">
        <v>37500</v>
      </c>
      <c r="BO22">
        <v>1</v>
      </c>
      <c r="BP22">
        <v>0</v>
      </c>
      <c r="BQ22">
        <v>0</v>
      </c>
      <c r="BR22">
        <v>2.268707482993197</v>
      </c>
      <c r="BS22">
        <v>9375</v>
      </c>
      <c r="BT22">
        <v>266</v>
      </c>
      <c r="BU22">
        <v>294</v>
      </c>
      <c r="BV22">
        <v>3</v>
      </c>
      <c r="BW22">
        <v>798</v>
      </c>
      <c r="BX22">
        <v>2394</v>
      </c>
      <c r="BY22">
        <v>79</v>
      </c>
      <c r="BZ22">
        <v>239</v>
      </c>
      <c r="CA22">
        <v>6</v>
      </c>
      <c r="CB22">
        <v>50000</v>
      </c>
      <c r="CC22">
        <v>0</v>
      </c>
      <c r="CD22">
        <v>0</v>
      </c>
      <c r="CE22">
        <v>0</v>
      </c>
      <c r="CF22">
        <v>2.840956558061821</v>
      </c>
      <c r="CG22">
        <v>8333</v>
      </c>
      <c r="CH22">
        <v>280</v>
      </c>
      <c r="CI22">
        <v>310</v>
      </c>
      <c r="CJ22">
        <v>3</v>
      </c>
      <c r="CK22">
        <v>840</v>
      </c>
      <c r="CL22">
        <v>2520</v>
      </c>
      <c r="CM22">
        <v>84</v>
      </c>
      <c r="CN22">
        <v>252</v>
      </c>
      <c r="CO22">
        <v>8</v>
      </c>
      <c r="CP22">
        <v>62500</v>
      </c>
      <c r="CQ22">
        <v>0</v>
      </c>
      <c r="CR22">
        <v>1</v>
      </c>
      <c r="CS22">
        <v>0</v>
      </c>
      <c r="CT22">
        <v>3.4168650793650794</v>
      </c>
      <c r="CU22">
        <v>7812</v>
      </c>
      <c r="CV22">
        <v>28</v>
      </c>
      <c r="CW22">
        <v>200000</v>
      </c>
      <c r="CX22">
        <v>1</v>
      </c>
      <c r="CY22">
        <v>1</v>
      </c>
      <c r="CZ22">
        <v>0</v>
      </c>
      <c r="DA22">
        <v>9.9206349206349209</v>
      </c>
      <c r="DB22">
        <v>7142.8571428571431</v>
      </c>
      <c r="DD22" t="s">
        <v>822</v>
      </c>
      <c r="DE22">
        <v>24</v>
      </c>
    </row>
    <row r="23" spans="1:109">
      <c r="A23">
        <v>25</v>
      </c>
      <c r="B23" t="s">
        <v>823</v>
      </c>
      <c r="C23" t="s">
        <v>52</v>
      </c>
      <c r="E23" t="s">
        <v>43</v>
      </c>
      <c r="H23">
        <v>3</v>
      </c>
      <c r="I23" t="s">
        <v>283</v>
      </c>
      <c r="J23">
        <v>0.875</v>
      </c>
      <c r="K23">
        <v>0.15</v>
      </c>
      <c r="L23">
        <v>0.59708737864077666</v>
      </c>
      <c r="M23">
        <v>30</v>
      </c>
      <c r="N23" t="s">
        <v>47</v>
      </c>
      <c r="O23" t="s">
        <v>98</v>
      </c>
      <c r="P23">
        <v>0</v>
      </c>
      <c r="Q23">
        <v>0</v>
      </c>
      <c r="R23">
        <v>0</v>
      </c>
      <c r="S23">
        <v>0</v>
      </c>
      <c r="T23">
        <v>0</v>
      </c>
      <c r="U23">
        <v>0</v>
      </c>
      <c r="V23">
        <v>0</v>
      </c>
      <c r="W23">
        <v>0</v>
      </c>
      <c r="X23">
        <v>0</v>
      </c>
      <c r="Y23">
        <v>0</v>
      </c>
      <c r="Z23">
        <v>0</v>
      </c>
      <c r="AA23">
        <v>0</v>
      </c>
      <c r="AB23">
        <v>0</v>
      </c>
      <c r="AC23">
        <v>0</v>
      </c>
      <c r="AD23">
        <v>123</v>
      </c>
      <c r="AE23">
        <v>206</v>
      </c>
      <c r="AF23">
        <v>8</v>
      </c>
      <c r="AG23">
        <v>984</v>
      </c>
      <c r="AH23">
        <v>861</v>
      </c>
      <c r="AI23">
        <v>147</v>
      </c>
      <c r="AJ23">
        <v>129</v>
      </c>
      <c r="AK23">
        <v>3.5</v>
      </c>
      <c r="AL23">
        <v>0</v>
      </c>
      <c r="AM23">
        <v>0</v>
      </c>
      <c r="AN23">
        <v>0</v>
      </c>
      <c r="AO23">
        <v>0</v>
      </c>
      <c r="AP23">
        <v>0</v>
      </c>
      <c r="AQ23">
        <v>0</v>
      </c>
      <c r="AR23">
        <v>184</v>
      </c>
      <c r="AS23">
        <v>309</v>
      </c>
      <c r="AT23">
        <v>8</v>
      </c>
      <c r="AU23">
        <v>1472</v>
      </c>
      <c r="AV23">
        <v>1288</v>
      </c>
      <c r="AW23">
        <v>220</v>
      </c>
      <c r="AX23">
        <v>193</v>
      </c>
      <c r="AY23">
        <v>1</v>
      </c>
      <c r="AZ23">
        <v>20000</v>
      </c>
      <c r="BA23">
        <v>0</v>
      </c>
      <c r="BB23">
        <v>0</v>
      </c>
      <c r="BC23">
        <v>0</v>
      </c>
      <c r="BD23">
        <v>0.59397644927536231</v>
      </c>
      <c r="BE23">
        <v>20000</v>
      </c>
      <c r="BF23">
        <v>215</v>
      </c>
      <c r="BG23">
        <v>360</v>
      </c>
      <c r="BH23">
        <v>9</v>
      </c>
      <c r="BI23">
        <v>1935</v>
      </c>
      <c r="BJ23">
        <v>1693</v>
      </c>
      <c r="BK23">
        <v>290</v>
      </c>
      <c r="BL23">
        <v>253</v>
      </c>
      <c r="BM23">
        <v>2</v>
      </c>
      <c r="BN23">
        <v>30000</v>
      </c>
      <c r="BO23">
        <v>0</v>
      </c>
      <c r="BP23">
        <v>1</v>
      </c>
      <c r="BQ23">
        <v>0</v>
      </c>
      <c r="BR23">
        <v>0.70938845822566743</v>
      </c>
      <c r="BS23">
        <v>15000</v>
      </c>
      <c r="BT23">
        <v>233</v>
      </c>
      <c r="BU23">
        <v>391</v>
      </c>
      <c r="BV23">
        <v>9</v>
      </c>
      <c r="BW23">
        <v>2097</v>
      </c>
      <c r="BX23">
        <v>1834</v>
      </c>
      <c r="BY23">
        <v>314</v>
      </c>
      <c r="BZ23">
        <v>275</v>
      </c>
      <c r="CA23">
        <v>3</v>
      </c>
      <c r="CB23">
        <v>40000</v>
      </c>
      <c r="CC23">
        <v>0</v>
      </c>
      <c r="CD23">
        <v>0</v>
      </c>
      <c r="CE23">
        <v>0</v>
      </c>
      <c r="CF23">
        <v>0.91012955015100927</v>
      </c>
      <c r="CG23">
        <v>13333</v>
      </c>
      <c r="CH23">
        <v>246</v>
      </c>
      <c r="CI23">
        <v>412</v>
      </c>
      <c r="CJ23">
        <v>9</v>
      </c>
      <c r="CK23">
        <v>2214</v>
      </c>
      <c r="CL23">
        <v>1937</v>
      </c>
      <c r="CM23">
        <v>332</v>
      </c>
      <c r="CN23">
        <v>290</v>
      </c>
      <c r="CO23">
        <v>4</v>
      </c>
      <c r="CP23">
        <v>50000</v>
      </c>
      <c r="CQ23">
        <v>0</v>
      </c>
      <c r="CR23">
        <v>0</v>
      </c>
      <c r="CS23">
        <v>1</v>
      </c>
      <c r="CT23">
        <v>1.0988407106293285</v>
      </c>
      <c r="CU23">
        <v>12500</v>
      </c>
      <c r="CV23">
        <v>13.5</v>
      </c>
      <c r="CW23">
        <v>140000</v>
      </c>
      <c r="CX23">
        <v>0</v>
      </c>
      <c r="CY23">
        <v>1</v>
      </c>
      <c r="CZ23">
        <v>1</v>
      </c>
      <c r="DA23">
        <v>2.6347485697079196</v>
      </c>
      <c r="DB23">
        <v>10370.37037037037</v>
      </c>
      <c r="DD23" t="s">
        <v>823</v>
      </c>
      <c r="DE23">
        <v>25</v>
      </c>
    </row>
    <row r="24" spans="1:109">
      <c r="A24">
        <v>26</v>
      </c>
      <c r="B24" t="s">
        <v>764</v>
      </c>
      <c r="C24" t="s">
        <v>48</v>
      </c>
      <c r="E24" t="s">
        <v>43</v>
      </c>
      <c r="H24">
        <v>2</v>
      </c>
      <c r="I24" t="s">
        <v>268</v>
      </c>
      <c r="J24">
        <v>6</v>
      </c>
      <c r="K24">
        <v>2.5000000000000001E-2</v>
      </c>
      <c r="L24">
        <v>3.6363636363636362</v>
      </c>
      <c r="M24">
        <v>30</v>
      </c>
      <c r="N24" t="s">
        <v>47</v>
      </c>
      <c r="O24" t="s">
        <v>98</v>
      </c>
      <c r="P24">
        <v>0</v>
      </c>
      <c r="Q24">
        <v>0</v>
      </c>
      <c r="R24">
        <v>0</v>
      </c>
      <c r="S24">
        <v>0</v>
      </c>
      <c r="T24">
        <v>0</v>
      </c>
      <c r="U24">
        <v>0</v>
      </c>
      <c r="V24">
        <v>0</v>
      </c>
      <c r="W24">
        <v>0</v>
      </c>
      <c r="X24">
        <v>0</v>
      </c>
      <c r="Y24">
        <v>0</v>
      </c>
      <c r="Z24">
        <v>0</v>
      </c>
      <c r="AA24">
        <v>0</v>
      </c>
      <c r="AB24">
        <v>0</v>
      </c>
      <c r="AC24">
        <v>0</v>
      </c>
      <c r="AD24">
        <v>280</v>
      </c>
      <c r="AE24">
        <v>77</v>
      </c>
      <c r="AF24">
        <v>3</v>
      </c>
      <c r="AG24">
        <v>840</v>
      </c>
      <c r="AH24">
        <v>5040</v>
      </c>
      <c r="AI24">
        <v>21</v>
      </c>
      <c r="AJ24">
        <v>126</v>
      </c>
      <c r="AK24">
        <v>10</v>
      </c>
      <c r="AL24">
        <v>40000</v>
      </c>
      <c r="AM24">
        <v>0</v>
      </c>
      <c r="AN24">
        <v>0</v>
      </c>
      <c r="AO24">
        <v>0</v>
      </c>
      <c r="AP24">
        <v>1.9841269841269842</v>
      </c>
      <c r="AQ24">
        <v>4000</v>
      </c>
      <c r="AR24">
        <v>420</v>
      </c>
      <c r="AS24">
        <v>115</v>
      </c>
      <c r="AT24">
        <v>3</v>
      </c>
      <c r="AU24">
        <v>1260</v>
      </c>
      <c r="AV24">
        <v>7560</v>
      </c>
      <c r="AW24">
        <v>31</v>
      </c>
      <c r="AX24">
        <v>189</v>
      </c>
      <c r="AY24">
        <v>3</v>
      </c>
      <c r="AZ24">
        <v>40000</v>
      </c>
      <c r="BA24">
        <v>0</v>
      </c>
      <c r="BB24">
        <v>0</v>
      </c>
      <c r="BC24">
        <v>0</v>
      </c>
      <c r="BD24">
        <v>1.406084656084656</v>
      </c>
      <c r="BE24">
        <v>13333</v>
      </c>
      <c r="BF24">
        <v>490</v>
      </c>
      <c r="BG24">
        <v>134</v>
      </c>
      <c r="BH24">
        <v>3</v>
      </c>
      <c r="BI24">
        <v>1470</v>
      </c>
      <c r="BJ24">
        <v>8820</v>
      </c>
      <c r="BK24">
        <v>36</v>
      </c>
      <c r="BL24">
        <v>220</v>
      </c>
      <c r="BM24">
        <v>5</v>
      </c>
      <c r="BN24">
        <v>60000</v>
      </c>
      <c r="BO24">
        <v>1</v>
      </c>
      <c r="BP24">
        <v>0</v>
      </c>
      <c r="BQ24">
        <v>0</v>
      </c>
      <c r="BR24">
        <v>1.879251700680272</v>
      </c>
      <c r="BS24">
        <v>12000</v>
      </c>
      <c r="BT24">
        <v>532</v>
      </c>
      <c r="BU24">
        <v>146</v>
      </c>
      <c r="BV24">
        <v>3</v>
      </c>
      <c r="BW24">
        <v>1596</v>
      </c>
      <c r="BX24">
        <v>9576</v>
      </c>
      <c r="BY24">
        <v>39</v>
      </c>
      <c r="BZ24">
        <v>239</v>
      </c>
      <c r="CA24">
        <v>8</v>
      </c>
      <c r="CB24">
        <v>80000</v>
      </c>
      <c r="CC24">
        <v>0</v>
      </c>
      <c r="CD24">
        <v>0</v>
      </c>
      <c r="CE24">
        <v>0</v>
      </c>
      <c r="CF24">
        <v>2.3955722639933166</v>
      </c>
      <c r="CG24">
        <v>10000</v>
      </c>
      <c r="CH24">
        <v>560</v>
      </c>
      <c r="CI24">
        <v>154</v>
      </c>
      <c r="CJ24">
        <v>3</v>
      </c>
      <c r="CK24">
        <v>1680</v>
      </c>
      <c r="CL24">
        <v>10080</v>
      </c>
      <c r="CM24">
        <v>42</v>
      </c>
      <c r="CN24">
        <v>252</v>
      </c>
      <c r="CO24">
        <v>10</v>
      </c>
      <c r="CP24">
        <v>100000</v>
      </c>
      <c r="CQ24">
        <v>0</v>
      </c>
      <c r="CR24">
        <v>1</v>
      </c>
      <c r="CS24">
        <v>0</v>
      </c>
      <c r="CT24">
        <v>2.8759920634920633</v>
      </c>
      <c r="CU24">
        <v>10000</v>
      </c>
      <c r="CV24">
        <v>36</v>
      </c>
      <c r="CW24">
        <v>320000</v>
      </c>
      <c r="CX24">
        <v>1</v>
      </c>
      <c r="CY24">
        <v>1</v>
      </c>
      <c r="CZ24">
        <v>0</v>
      </c>
      <c r="DA24">
        <v>7.9365079365079367</v>
      </c>
      <c r="DB24">
        <v>8888.8888888888887</v>
      </c>
      <c r="DD24" t="s">
        <v>764</v>
      </c>
      <c r="DE24">
        <v>26</v>
      </c>
    </row>
    <row r="25" spans="1:109">
      <c r="A25">
        <v>27</v>
      </c>
      <c r="B25" t="s">
        <v>787</v>
      </c>
      <c r="C25" t="s">
        <v>52</v>
      </c>
      <c r="E25" t="s">
        <v>43</v>
      </c>
      <c r="F25" t="s">
        <v>43</v>
      </c>
      <c r="H25">
        <v>2</v>
      </c>
      <c r="I25" t="s">
        <v>268</v>
      </c>
      <c r="J25">
        <v>0.875</v>
      </c>
      <c r="K25">
        <v>0.13250000000000001</v>
      </c>
      <c r="L25">
        <v>0.5957446808510638</v>
      </c>
      <c r="M25">
        <v>30</v>
      </c>
      <c r="N25" t="s">
        <v>47</v>
      </c>
      <c r="O25" t="s">
        <v>98</v>
      </c>
      <c r="P25">
        <v>0</v>
      </c>
      <c r="Q25">
        <v>0</v>
      </c>
      <c r="R25">
        <v>0</v>
      </c>
      <c r="S25">
        <v>0</v>
      </c>
      <c r="T25">
        <v>0</v>
      </c>
      <c r="U25">
        <v>0</v>
      </c>
      <c r="V25">
        <v>0</v>
      </c>
      <c r="W25">
        <v>0</v>
      </c>
      <c r="X25">
        <v>0</v>
      </c>
      <c r="Y25">
        <v>0</v>
      </c>
      <c r="Z25">
        <v>0</v>
      </c>
      <c r="AA25">
        <v>0</v>
      </c>
      <c r="AB25">
        <v>0</v>
      </c>
      <c r="AC25">
        <v>0</v>
      </c>
      <c r="AD25">
        <v>112</v>
      </c>
      <c r="AE25">
        <v>188</v>
      </c>
      <c r="AF25">
        <v>8</v>
      </c>
      <c r="AG25">
        <v>896</v>
      </c>
      <c r="AH25">
        <v>784</v>
      </c>
      <c r="AI25">
        <v>118</v>
      </c>
      <c r="AJ25">
        <v>103</v>
      </c>
      <c r="AK25">
        <v>12</v>
      </c>
      <c r="AL25">
        <v>60000</v>
      </c>
      <c r="AM25">
        <v>0</v>
      </c>
      <c r="AN25">
        <v>0</v>
      </c>
      <c r="AO25">
        <v>0</v>
      </c>
      <c r="AP25">
        <v>2.7901785714285712</v>
      </c>
      <c r="AQ25">
        <v>5000</v>
      </c>
      <c r="AR25">
        <v>168</v>
      </c>
      <c r="AS25">
        <v>282</v>
      </c>
      <c r="AT25">
        <v>8</v>
      </c>
      <c r="AU25">
        <v>1344</v>
      </c>
      <c r="AV25">
        <v>1176</v>
      </c>
      <c r="AW25">
        <v>178</v>
      </c>
      <c r="AX25">
        <v>155</v>
      </c>
      <c r="AY25">
        <v>3</v>
      </c>
      <c r="AZ25">
        <v>60000</v>
      </c>
      <c r="BA25">
        <v>0</v>
      </c>
      <c r="BB25">
        <v>0</v>
      </c>
      <c r="BC25">
        <v>0</v>
      </c>
      <c r="BD25">
        <v>1.9434523809523812</v>
      </c>
      <c r="BE25">
        <v>20000</v>
      </c>
      <c r="BF25">
        <v>196</v>
      </c>
      <c r="BG25">
        <v>329</v>
      </c>
      <c r="BH25">
        <v>9</v>
      </c>
      <c r="BI25">
        <v>1764</v>
      </c>
      <c r="BJ25">
        <v>1543</v>
      </c>
      <c r="BK25">
        <v>233</v>
      </c>
      <c r="BL25">
        <v>204</v>
      </c>
      <c r="BM25">
        <v>6</v>
      </c>
      <c r="BN25">
        <v>90000</v>
      </c>
      <c r="BO25">
        <v>1</v>
      </c>
      <c r="BP25">
        <v>0</v>
      </c>
      <c r="BQ25">
        <v>0</v>
      </c>
      <c r="BR25">
        <v>2.3163265306122449</v>
      </c>
      <c r="BS25">
        <v>15000</v>
      </c>
      <c r="BT25">
        <v>212</v>
      </c>
      <c r="BU25">
        <v>357</v>
      </c>
      <c r="BV25">
        <v>9</v>
      </c>
      <c r="BW25">
        <v>1908</v>
      </c>
      <c r="BX25">
        <v>1669</v>
      </c>
      <c r="BY25">
        <v>252</v>
      </c>
      <c r="BZ25">
        <v>221</v>
      </c>
      <c r="CA25">
        <v>9</v>
      </c>
      <c r="CB25">
        <v>120000</v>
      </c>
      <c r="CC25">
        <v>0</v>
      </c>
      <c r="CD25">
        <v>0</v>
      </c>
      <c r="CE25">
        <v>0</v>
      </c>
      <c r="CF25">
        <v>2.9672431865828095</v>
      </c>
      <c r="CG25">
        <v>13333</v>
      </c>
      <c r="CH25">
        <v>224</v>
      </c>
      <c r="CI25">
        <v>376</v>
      </c>
      <c r="CJ25">
        <v>9</v>
      </c>
      <c r="CK25">
        <v>2016</v>
      </c>
      <c r="CL25">
        <v>1764</v>
      </c>
      <c r="CM25">
        <v>267</v>
      </c>
      <c r="CN25">
        <v>233</v>
      </c>
      <c r="CO25">
        <v>12</v>
      </c>
      <c r="CP25">
        <v>150000</v>
      </c>
      <c r="CQ25">
        <v>0</v>
      </c>
      <c r="CR25">
        <v>1</v>
      </c>
      <c r="CS25">
        <v>0</v>
      </c>
      <c r="CT25">
        <v>3.5734126984126982</v>
      </c>
      <c r="CU25">
        <v>12500</v>
      </c>
      <c r="CV25">
        <v>42</v>
      </c>
      <c r="CW25">
        <v>480000</v>
      </c>
      <c r="CX25">
        <v>1</v>
      </c>
      <c r="CY25">
        <v>1</v>
      </c>
      <c r="CZ25">
        <v>0</v>
      </c>
      <c r="DA25">
        <v>9.9206349206349209</v>
      </c>
      <c r="DB25">
        <v>11428.571428571429</v>
      </c>
      <c r="DD25" t="s">
        <v>787</v>
      </c>
      <c r="DE25">
        <v>27</v>
      </c>
    </row>
    <row r="26" spans="1:109">
      <c r="A26">
        <v>29</v>
      </c>
      <c r="B26" t="s">
        <v>814</v>
      </c>
      <c r="C26" t="s">
        <v>77</v>
      </c>
      <c r="E26" t="s">
        <v>43</v>
      </c>
      <c r="H26">
        <v>3</v>
      </c>
      <c r="I26" t="s">
        <v>283</v>
      </c>
      <c r="J26">
        <v>1.5</v>
      </c>
      <c r="K26">
        <v>0.2</v>
      </c>
      <c r="L26">
        <v>0.50657894736842102</v>
      </c>
      <c r="M26">
        <v>30</v>
      </c>
      <c r="N26" t="s">
        <v>47</v>
      </c>
      <c r="O26" t="s">
        <v>98</v>
      </c>
      <c r="P26">
        <v>0</v>
      </c>
      <c r="Q26">
        <v>0</v>
      </c>
      <c r="R26">
        <v>0</v>
      </c>
      <c r="S26">
        <v>0</v>
      </c>
      <c r="T26">
        <v>0</v>
      </c>
      <c r="U26">
        <v>0</v>
      </c>
      <c r="V26">
        <v>0</v>
      </c>
      <c r="W26">
        <v>0</v>
      </c>
      <c r="X26">
        <v>0</v>
      </c>
      <c r="Y26">
        <v>0</v>
      </c>
      <c r="Z26">
        <v>0</v>
      </c>
      <c r="AA26">
        <v>0</v>
      </c>
      <c r="AB26">
        <v>0</v>
      </c>
      <c r="AC26">
        <v>0</v>
      </c>
      <c r="AD26">
        <v>77</v>
      </c>
      <c r="AE26">
        <v>152</v>
      </c>
      <c r="AF26">
        <v>3</v>
      </c>
      <c r="AG26">
        <v>231</v>
      </c>
      <c r="AH26">
        <v>346</v>
      </c>
      <c r="AI26">
        <v>46</v>
      </c>
      <c r="AJ26">
        <v>69</v>
      </c>
      <c r="AK26">
        <v>4</v>
      </c>
      <c r="AL26">
        <v>0</v>
      </c>
      <c r="AM26">
        <v>0</v>
      </c>
      <c r="AN26">
        <v>0</v>
      </c>
      <c r="AO26">
        <v>0</v>
      </c>
      <c r="AP26">
        <v>0</v>
      </c>
      <c r="AQ26">
        <v>0</v>
      </c>
      <c r="AR26">
        <v>115</v>
      </c>
      <c r="AS26">
        <v>228</v>
      </c>
      <c r="AT26">
        <v>3</v>
      </c>
      <c r="AU26">
        <v>345</v>
      </c>
      <c r="AV26">
        <v>517</v>
      </c>
      <c r="AW26">
        <v>69</v>
      </c>
      <c r="AX26">
        <v>103</v>
      </c>
      <c r="AY26">
        <v>1</v>
      </c>
      <c r="AZ26">
        <v>30000</v>
      </c>
      <c r="BA26">
        <v>0</v>
      </c>
      <c r="BB26">
        <v>0</v>
      </c>
      <c r="BC26">
        <v>0</v>
      </c>
      <c r="BD26">
        <v>3.6510869565217394</v>
      </c>
      <c r="BE26">
        <v>30000</v>
      </c>
      <c r="BF26">
        <v>134</v>
      </c>
      <c r="BG26">
        <v>266</v>
      </c>
      <c r="BH26">
        <v>3</v>
      </c>
      <c r="BI26">
        <v>402</v>
      </c>
      <c r="BJ26">
        <v>603</v>
      </c>
      <c r="BK26">
        <v>80</v>
      </c>
      <c r="BL26">
        <v>120</v>
      </c>
      <c r="BM26">
        <v>2</v>
      </c>
      <c r="BN26">
        <v>40000</v>
      </c>
      <c r="BO26">
        <v>0</v>
      </c>
      <c r="BP26">
        <v>1</v>
      </c>
      <c r="BQ26">
        <v>0</v>
      </c>
      <c r="BR26">
        <v>4.2174543946932008</v>
      </c>
      <c r="BS26">
        <v>20000</v>
      </c>
      <c r="BT26">
        <v>146</v>
      </c>
      <c r="BU26">
        <v>288</v>
      </c>
      <c r="BV26">
        <v>3</v>
      </c>
      <c r="BW26">
        <v>438</v>
      </c>
      <c r="BX26">
        <v>657</v>
      </c>
      <c r="BY26">
        <v>87</v>
      </c>
      <c r="BZ26">
        <v>131</v>
      </c>
      <c r="CA26">
        <v>3</v>
      </c>
      <c r="CB26">
        <v>50000</v>
      </c>
      <c r="CC26">
        <v>0</v>
      </c>
      <c r="CD26">
        <v>0</v>
      </c>
      <c r="CE26">
        <v>0</v>
      </c>
      <c r="CF26">
        <v>4.8711948249619477</v>
      </c>
      <c r="CG26">
        <v>16666</v>
      </c>
      <c r="CH26">
        <v>154</v>
      </c>
      <c r="CI26">
        <v>304</v>
      </c>
      <c r="CJ26">
        <v>3</v>
      </c>
      <c r="CK26">
        <v>462</v>
      </c>
      <c r="CL26">
        <v>693</v>
      </c>
      <c r="CM26">
        <v>92</v>
      </c>
      <c r="CN26">
        <v>138</v>
      </c>
      <c r="CO26">
        <v>4</v>
      </c>
      <c r="CP26">
        <v>60000</v>
      </c>
      <c r="CQ26">
        <v>0</v>
      </c>
      <c r="CR26">
        <v>0</v>
      </c>
      <c r="CS26">
        <v>1</v>
      </c>
      <c r="CT26">
        <v>5.5692640692640687</v>
      </c>
      <c r="CU26">
        <v>15000</v>
      </c>
      <c r="CV26">
        <v>14</v>
      </c>
      <c r="CW26">
        <v>180000</v>
      </c>
      <c r="CX26">
        <v>0</v>
      </c>
      <c r="CY26">
        <v>1</v>
      </c>
      <c r="CZ26">
        <v>1</v>
      </c>
      <c r="DA26">
        <v>16.233766233766236</v>
      </c>
      <c r="DB26">
        <v>12857.142857142857</v>
      </c>
      <c r="DD26" t="s">
        <v>814</v>
      </c>
      <c r="DE26">
        <v>29</v>
      </c>
    </row>
    <row r="27" spans="1:109">
      <c r="A27">
        <v>30</v>
      </c>
      <c r="B27" t="s">
        <v>809</v>
      </c>
      <c r="C27" t="s">
        <v>77</v>
      </c>
      <c r="E27" t="s">
        <v>43</v>
      </c>
      <c r="H27">
        <v>2</v>
      </c>
      <c r="I27" t="s">
        <v>268</v>
      </c>
      <c r="J27">
        <v>1.75</v>
      </c>
      <c r="K27">
        <v>0.22500000000000001</v>
      </c>
      <c r="L27">
        <v>0.51948051948051943</v>
      </c>
      <c r="M27">
        <v>30</v>
      </c>
      <c r="N27" t="s">
        <v>47</v>
      </c>
      <c r="O27" t="s">
        <v>98</v>
      </c>
      <c r="P27">
        <v>0</v>
      </c>
      <c r="Q27">
        <v>0</v>
      </c>
      <c r="R27">
        <v>0</v>
      </c>
      <c r="S27">
        <v>0</v>
      </c>
      <c r="T27">
        <v>0</v>
      </c>
      <c r="U27">
        <v>0</v>
      </c>
      <c r="V27">
        <v>0</v>
      </c>
      <c r="W27">
        <v>0</v>
      </c>
      <c r="X27">
        <v>0</v>
      </c>
      <c r="Y27">
        <v>0</v>
      </c>
      <c r="Z27">
        <v>0</v>
      </c>
      <c r="AA27">
        <v>0</v>
      </c>
      <c r="AB27">
        <v>0</v>
      </c>
      <c r="AC27">
        <v>0</v>
      </c>
      <c r="AD27">
        <v>80</v>
      </c>
      <c r="AE27">
        <v>154</v>
      </c>
      <c r="AF27">
        <v>4</v>
      </c>
      <c r="AG27">
        <v>320</v>
      </c>
      <c r="AH27">
        <v>560</v>
      </c>
      <c r="AI27">
        <v>72</v>
      </c>
      <c r="AJ27">
        <v>126</v>
      </c>
      <c r="AK27">
        <v>16</v>
      </c>
      <c r="AL27">
        <v>80000</v>
      </c>
      <c r="AM27">
        <v>0</v>
      </c>
      <c r="AN27">
        <v>0</v>
      </c>
      <c r="AO27">
        <v>0</v>
      </c>
      <c r="AP27">
        <v>10.416666666666666</v>
      </c>
      <c r="AQ27">
        <v>5000</v>
      </c>
      <c r="AR27">
        <v>120</v>
      </c>
      <c r="AS27">
        <v>231</v>
      </c>
      <c r="AT27">
        <v>4</v>
      </c>
      <c r="AU27">
        <v>480</v>
      </c>
      <c r="AV27">
        <v>840</v>
      </c>
      <c r="AW27">
        <v>108</v>
      </c>
      <c r="AX27">
        <v>189</v>
      </c>
      <c r="AY27">
        <v>4</v>
      </c>
      <c r="AZ27">
        <v>80000</v>
      </c>
      <c r="BA27">
        <v>0</v>
      </c>
      <c r="BB27">
        <v>0</v>
      </c>
      <c r="BC27">
        <v>0</v>
      </c>
      <c r="BD27">
        <v>7.0555555555555562</v>
      </c>
      <c r="BE27">
        <v>20000</v>
      </c>
      <c r="BF27">
        <v>140</v>
      </c>
      <c r="BG27">
        <v>269</v>
      </c>
      <c r="BH27">
        <v>4</v>
      </c>
      <c r="BI27">
        <v>560</v>
      </c>
      <c r="BJ27">
        <v>980</v>
      </c>
      <c r="BK27">
        <v>126</v>
      </c>
      <c r="BL27">
        <v>220</v>
      </c>
      <c r="BM27">
        <v>8</v>
      </c>
      <c r="BN27">
        <v>120000</v>
      </c>
      <c r="BO27">
        <v>1</v>
      </c>
      <c r="BP27">
        <v>0</v>
      </c>
      <c r="BQ27">
        <v>0</v>
      </c>
      <c r="BR27">
        <v>9.2142857142857135</v>
      </c>
      <c r="BS27">
        <v>15000</v>
      </c>
      <c r="BT27">
        <v>152</v>
      </c>
      <c r="BU27">
        <v>292</v>
      </c>
      <c r="BV27">
        <v>4</v>
      </c>
      <c r="BW27">
        <v>608</v>
      </c>
      <c r="BX27">
        <v>1064</v>
      </c>
      <c r="BY27">
        <v>136</v>
      </c>
      <c r="BZ27">
        <v>239</v>
      </c>
      <c r="CA27">
        <v>12</v>
      </c>
      <c r="CB27">
        <v>160000</v>
      </c>
      <c r="CC27">
        <v>0</v>
      </c>
      <c r="CD27">
        <v>0</v>
      </c>
      <c r="CE27">
        <v>0</v>
      </c>
      <c r="CF27">
        <v>11.425438596491228</v>
      </c>
      <c r="CG27">
        <v>13333</v>
      </c>
      <c r="CH27">
        <v>160</v>
      </c>
      <c r="CI27">
        <v>308</v>
      </c>
      <c r="CJ27">
        <v>4</v>
      </c>
      <c r="CK27">
        <v>640</v>
      </c>
      <c r="CL27">
        <v>1120</v>
      </c>
      <c r="CM27">
        <v>144</v>
      </c>
      <c r="CN27">
        <v>252</v>
      </c>
      <c r="CO27">
        <v>16</v>
      </c>
      <c r="CP27">
        <v>200000</v>
      </c>
      <c r="CQ27">
        <v>0</v>
      </c>
      <c r="CR27">
        <v>1</v>
      </c>
      <c r="CS27">
        <v>0</v>
      </c>
      <c r="CT27">
        <v>13.654166666666667</v>
      </c>
      <c r="CU27">
        <v>12500</v>
      </c>
      <c r="CV27">
        <v>56</v>
      </c>
      <c r="CW27">
        <v>640000</v>
      </c>
      <c r="CX27">
        <v>1</v>
      </c>
      <c r="CY27">
        <v>1</v>
      </c>
      <c r="CZ27">
        <v>0</v>
      </c>
      <c r="DA27">
        <v>41.666666666666664</v>
      </c>
      <c r="DB27">
        <v>11428.571428571429</v>
      </c>
      <c r="DD27" t="s">
        <v>809</v>
      </c>
      <c r="DE27">
        <v>30</v>
      </c>
    </row>
    <row r="28" spans="1:109">
      <c r="A28">
        <v>31</v>
      </c>
      <c r="B28" t="s">
        <v>748</v>
      </c>
      <c r="C28" t="s">
        <v>54</v>
      </c>
      <c r="E28" t="s">
        <v>43</v>
      </c>
      <c r="H28">
        <v>5</v>
      </c>
      <c r="I28" t="s">
        <v>283</v>
      </c>
      <c r="J28">
        <v>3</v>
      </c>
      <c r="K28">
        <v>7.4999999999999997E-2</v>
      </c>
      <c r="L28">
        <v>2.5</v>
      </c>
      <c r="M28">
        <v>30</v>
      </c>
      <c r="N28" t="s">
        <v>47</v>
      </c>
      <c r="O28" t="s">
        <v>98</v>
      </c>
      <c r="P28">
        <v>0</v>
      </c>
      <c r="Q28">
        <v>0</v>
      </c>
      <c r="R28">
        <v>0</v>
      </c>
      <c r="S28">
        <v>0</v>
      </c>
      <c r="T28">
        <v>0</v>
      </c>
      <c r="U28">
        <v>0</v>
      </c>
      <c r="V28">
        <v>0</v>
      </c>
      <c r="W28">
        <v>0</v>
      </c>
      <c r="X28">
        <v>0</v>
      </c>
      <c r="Y28">
        <v>0</v>
      </c>
      <c r="Z28">
        <v>0</v>
      </c>
      <c r="AA28">
        <v>0</v>
      </c>
      <c r="AB28">
        <v>0</v>
      </c>
      <c r="AC28">
        <v>0</v>
      </c>
      <c r="AD28">
        <v>300</v>
      </c>
      <c r="AE28">
        <v>120</v>
      </c>
      <c r="AF28">
        <v>4</v>
      </c>
      <c r="AG28">
        <v>1200</v>
      </c>
      <c r="AH28">
        <v>3600</v>
      </c>
      <c r="AI28">
        <v>90</v>
      </c>
      <c r="AJ28">
        <v>270</v>
      </c>
      <c r="AK28">
        <v>10</v>
      </c>
      <c r="AL28">
        <v>0</v>
      </c>
      <c r="AM28">
        <v>0</v>
      </c>
      <c r="AN28">
        <v>0</v>
      </c>
      <c r="AO28">
        <v>0</v>
      </c>
      <c r="AP28">
        <v>0</v>
      </c>
      <c r="AQ28">
        <v>0</v>
      </c>
      <c r="AR28">
        <v>450</v>
      </c>
      <c r="AS28">
        <v>180</v>
      </c>
      <c r="AT28">
        <v>4</v>
      </c>
      <c r="AU28">
        <v>1800</v>
      </c>
      <c r="AV28">
        <v>5400</v>
      </c>
      <c r="AW28">
        <v>135</v>
      </c>
      <c r="AX28">
        <v>405</v>
      </c>
      <c r="AY28">
        <v>3</v>
      </c>
      <c r="AZ28">
        <v>120000</v>
      </c>
      <c r="BA28">
        <v>0</v>
      </c>
      <c r="BB28">
        <v>0</v>
      </c>
      <c r="BC28">
        <v>0</v>
      </c>
      <c r="BD28">
        <v>2.8611111111111112</v>
      </c>
      <c r="BE28">
        <v>40000</v>
      </c>
      <c r="BF28">
        <v>525</v>
      </c>
      <c r="BG28">
        <v>210</v>
      </c>
      <c r="BH28">
        <v>4</v>
      </c>
      <c r="BI28">
        <v>2100</v>
      </c>
      <c r="BJ28">
        <v>6300</v>
      </c>
      <c r="BK28">
        <v>157</v>
      </c>
      <c r="BL28">
        <v>472</v>
      </c>
      <c r="BM28">
        <v>5</v>
      </c>
      <c r="BN28">
        <v>180000</v>
      </c>
      <c r="BO28">
        <v>0</v>
      </c>
      <c r="BP28">
        <v>1</v>
      </c>
      <c r="BQ28">
        <v>0</v>
      </c>
      <c r="BR28">
        <v>3.75</v>
      </c>
      <c r="BS28">
        <v>36000</v>
      </c>
      <c r="BT28">
        <v>570</v>
      </c>
      <c r="BU28">
        <v>228</v>
      </c>
      <c r="BV28">
        <v>4</v>
      </c>
      <c r="BW28">
        <v>2280</v>
      </c>
      <c r="BX28">
        <v>6840</v>
      </c>
      <c r="BY28">
        <v>171</v>
      </c>
      <c r="BZ28">
        <v>513</v>
      </c>
      <c r="CA28">
        <v>8</v>
      </c>
      <c r="CB28">
        <v>240000</v>
      </c>
      <c r="CC28">
        <v>0</v>
      </c>
      <c r="CD28">
        <v>0</v>
      </c>
      <c r="CE28">
        <v>0</v>
      </c>
      <c r="CF28">
        <v>4.692982456140351</v>
      </c>
      <c r="CG28">
        <v>30000</v>
      </c>
      <c r="CH28">
        <v>600</v>
      </c>
      <c r="CI28">
        <v>240</v>
      </c>
      <c r="CJ28">
        <v>4</v>
      </c>
      <c r="CK28">
        <v>2400</v>
      </c>
      <c r="CL28">
        <v>7200</v>
      </c>
      <c r="CM28">
        <v>180</v>
      </c>
      <c r="CN28">
        <v>540</v>
      </c>
      <c r="CO28">
        <v>10</v>
      </c>
      <c r="CP28">
        <v>300000</v>
      </c>
      <c r="CQ28">
        <v>0</v>
      </c>
      <c r="CR28">
        <v>0</v>
      </c>
      <c r="CS28">
        <v>1</v>
      </c>
      <c r="CT28">
        <v>5.604166666666667</v>
      </c>
      <c r="CU28">
        <v>30000</v>
      </c>
      <c r="CV28">
        <v>36</v>
      </c>
      <c r="CW28">
        <v>840000</v>
      </c>
      <c r="CX28">
        <v>0</v>
      </c>
      <c r="CY28">
        <v>1</v>
      </c>
      <c r="CZ28">
        <v>1</v>
      </c>
      <c r="DA28">
        <v>14.583333333333334</v>
      </c>
      <c r="DB28">
        <v>23333.333333333332</v>
      </c>
      <c r="DD28" t="s">
        <v>748</v>
      </c>
      <c r="DE28">
        <v>31</v>
      </c>
    </row>
    <row r="29" spans="1:109">
      <c r="A29">
        <v>32</v>
      </c>
      <c r="B29" t="s">
        <v>810</v>
      </c>
      <c r="C29" t="s">
        <v>77</v>
      </c>
      <c r="E29" t="s">
        <v>43</v>
      </c>
      <c r="F29" t="s">
        <v>43</v>
      </c>
      <c r="H29">
        <v>2</v>
      </c>
      <c r="I29" t="s">
        <v>268</v>
      </c>
      <c r="J29">
        <v>2</v>
      </c>
      <c r="K29">
        <v>0.22500000000000001</v>
      </c>
      <c r="L29">
        <v>0.60509554140127386</v>
      </c>
      <c r="M29">
        <v>30</v>
      </c>
      <c r="N29" t="s">
        <v>47</v>
      </c>
      <c r="O29" t="s">
        <v>98</v>
      </c>
      <c r="P29">
        <v>0</v>
      </c>
      <c r="Q29">
        <v>0</v>
      </c>
      <c r="R29">
        <v>0</v>
      </c>
      <c r="S29">
        <v>0</v>
      </c>
      <c r="T29">
        <v>0</v>
      </c>
      <c r="U29">
        <v>0</v>
      </c>
      <c r="V29">
        <v>0</v>
      </c>
      <c r="W29">
        <v>0</v>
      </c>
      <c r="X29">
        <v>0</v>
      </c>
      <c r="Y29">
        <v>0</v>
      </c>
      <c r="Z29">
        <v>0</v>
      </c>
      <c r="AA29">
        <v>0</v>
      </c>
      <c r="AB29">
        <v>0</v>
      </c>
      <c r="AC29">
        <v>0</v>
      </c>
      <c r="AD29">
        <v>95</v>
      </c>
      <c r="AE29">
        <v>157</v>
      </c>
      <c r="AF29">
        <v>4</v>
      </c>
      <c r="AG29">
        <v>380</v>
      </c>
      <c r="AH29">
        <v>760</v>
      </c>
      <c r="AI29">
        <v>85</v>
      </c>
      <c r="AJ29">
        <v>171</v>
      </c>
      <c r="AK29">
        <v>20</v>
      </c>
      <c r="AL29">
        <v>120000</v>
      </c>
      <c r="AM29">
        <v>0</v>
      </c>
      <c r="AN29">
        <v>0</v>
      </c>
      <c r="AO29">
        <v>0</v>
      </c>
      <c r="AP29">
        <v>13.157894736842104</v>
      </c>
      <c r="AQ29">
        <v>6000</v>
      </c>
      <c r="AR29">
        <v>142</v>
      </c>
      <c r="AS29">
        <v>235</v>
      </c>
      <c r="AT29">
        <v>4</v>
      </c>
      <c r="AU29">
        <v>568</v>
      </c>
      <c r="AV29">
        <v>1136</v>
      </c>
      <c r="AW29">
        <v>127</v>
      </c>
      <c r="AX29">
        <v>255</v>
      </c>
      <c r="AY29">
        <v>5</v>
      </c>
      <c r="AZ29">
        <v>120000</v>
      </c>
      <c r="BA29">
        <v>0</v>
      </c>
      <c r="BB29">
        <v>0</v>
      </c>
      <c r="BC29">
        <v>0</v>
      </c>
      <c r="BD29">
        <v>8.9421948356807501</v>
      </c>
      <c r="BE29">
        <v>24000</v>
      </c>
      <c r="BF29">
        <v>166</v>
      </c>
      <c r="BG29">
        <v>274</v>
      </c>
      <c r="BH29">
        <v>4</v>
      </c>
      <c r="BI29">
        <v>664</v>
      </c>
      <c r="BJ29">
        <v>1328</v>
      </c>
      <c r="BK29">
        <v>149</v>
      </c>
      <c r="BL29">
        <v>298</v>
      </c>
      <c r="BM29">
        <v>10</v>
      </c>
      <c r="BN29">
        <v>180000</v>
      </c>
      <c r="BO29">
        <v>1</v>
      </c>
      <c r="BP29">
        <v>0</v>
      </c>
      <c r="BQ29">
        <v>0</v>
      </c>
      <c r="BR29">
        <v>11.651606425702811</v>
      </c>
      <c r="BS29">
        <v>18000</v>
      </c>
      <c r="BT29">
        <v>180</v>
      </c>
      <c r="BU29">
        <v>298</v>
      </c>
      <c r="BV29">
        <v>4</v>
      </c>
      <c r="BW29">
        <v>720</v>
      </c>
      <c r="BX29">
        <v>1440</v>
      </c>
      <c r="BY29">
        <v>162</v>
      </c>
      <c r="BZ29">
        <v>324</v>
      </c>
      <c r="CA29">
        <v>15</v>
      </c>
      <c r="CB29">
        <v>240000</v>
      </c>
      <c r="CC29">
        <v>0</v>
      </c>
      <c r="CD29">
        <v>0</v>
      </c>
      <c r="CE29">
        <v>0</v>
      </c>
      <c r="CF29">
        <v>14.465277777777779</v>
      </c>
      <c r="CG29">
        <v>16000</v>
      </c>
      <c r="CH29">
        <v>190</v>
      </c>
      <c r="CI29">
        <v>314</v>
      </c>
      <c r="CJ29">
        <v>4</v>
      </c>
      <c r="CK29">
        <v>760</v>
      </c>
      <c r="CL29">
        <v>1520</v>
      </c>
      <c r="CM29">
        <v>171</v>
      </c>
      <c r="CN29">
        <v>342</v>
      </c>
      <c r="CO29">
        <v>20</v>
      </c>
      <c r="CP29">
        <v>300000</v>
      </c>
      <c r="CQ29">
        <v>0</v>
      </c>
      <c r="CR29">
        <v>1</v>
      </c>
      <c r="CS29">
        <v>0</v>
      </c>
      <c r="CT29">
        <v>17.236842105263158</v>
      </c>
      <c r="CU29">
        <v>15000</v>
      </c>
      <c r="CV29">
        <v>70</v>
      </c>
      <c r="CW29">
        <v>960000</v>
      </c>
      <c r="CX29">
        <v>1</v>
      </c>
      <c r="CY29">
        <v>1</v>
      </c>
      <c r="CZ29">
        <v>0</v>
      </c>
      <c r="DA29">
        <v>52.631578947368418</v>
      </c>
      <c r="DB29">
        <v>13714.285714285714</v>
      </c>
      <c r="DD29" t="s">
        <v>810</v>
      </c>
      <c r="DE29">
        <v>32</v>
      </c>
    </row>
    <row r="30" spans="1:109">
      <c r="A30">
        <v>33</v>
      </c>
      <c r="B30" t="s">
        <v>824</v>
      </c>
      <c r="C30" t="s">
        <v>42</v>
      </c>
      <c r="E30" t="s">
        <v>43</v>
      </c>
      <c r="H30">
        <v>3</v>
      </c>
      <c r="I30" t="s">
        <v>268</v>
      </c>
      <c r="J30">
        <v>3.5</v>
      </c>
      <c r="K30">
        <v>0.1</v>
      </c>
      <c r="L30">
        <v>0.93567251461988299</v>
      </c>
      <c r="M30">
        <v>30</v>
      </c>
      <c r="N30" t="s">
        <v>47</v>
      </c>
      <c r="O30" t="s">
        <v>98</v>
      </c>
      <c r="P30">
        <v>0</v>
      </c>
      <c r="Q30">
        <v>0</v>
      </c>
      <c r="R30">
        <v>0</v>
      </c>
      <c r="S30">
        <v>0</v>
      </c>
      <c r="T30">
        <v>0</v>
      </c>
      <c r="U30">
        <v>0</v>
      </c>
      <c r="V30">
        <v>0</v>
      </c>
      <c r="W30">
        <v>0</v>
      </c>
      <c r="X30">
        <v>0</v>
      </c>
      <c r="Y30">
        <v>0</v>
      </c>
      <c r="Z30">
        <v>0</v>
      </c>
      <c r="AA30">
        <v>0</v>
      </c>
      <c r="AB30">
        <v>0</v>
      </c>
      <c r="AC30">
        <v>0</v>
      </c>
      <c r="AD30">
        <v>160</v>
      </c>
      <c r="AE30">
        <v>171</v>
      </c>
      <c r="AF30">
        <v>4</v>
      </c>
      <c r="AG30">
        <v>640</v>
      </c>
      <c r="AH30">
        <v>2240</v>
      </c>
      <c r="AI30">
        <v>64</v>
      </c>
      <c r="AJ30">
        <v>224</v>
      </c>
      <c r="AK30">
        <v>36</v>
      </c>
      <c r="AL30">
        <v>170000</v>
      </c>
      <c r="AM30">
        <v>0</v>
      </c>
      <c r="AN30">
        <v>0</v>
      </c>
      <c r="AO30">
        <v>0</v>
      </c>
      <c r="AP30">
        <v>11.067708333333334</v>
      </c>
      <c r="AQ30">
        <v>4722</v>
      </c>
      <c r="AR30">
        <v>240</v>
      </c>
      <c r="AS30">
        <v>256</v>
      </c>
      <c r="AT30">
        <v>4</v>
      </c>
      <c r="AU30">
        <v>960</v>
      </c>
      <c r="AV30">
        <v>3360</v>
      </c>
      <c r="AW30">
        <v>96</v>
      </c>
      <c r="AX30">
        <v>336</v>
      </c>
      <c r="AY30">
        <v>9</v>
      </c>
      <c r="AZ30">
        <v>170000</v>
      </c>
      <c r="BA30">
        <v>0</v>
      </c>
      <c r="BB30">
        <v>0</v>
      </c>
      <c r="BC30">
        <v>0</v>
      </c>
      <c r="BD30">
        <v>7.6284722222222223</v>
      </c>
      <c r="BE30">
        <v>18888</v>
      </c>
      <c r="BF30">
        <v>280</v>
      </c>
      <c r="BG30">
        <v>299</v>
      </c>
      <c r="BH30">
        <v>4</v>
      </c>
      <c r="BI30">
        <v>1120</v>
      </c>
      <c r="BJ30">
        <v>3920</v>
      </c>
      <c r="BK30">
        <v>112</v>
      </c>
      <c r="BL30">
        <v>392</v>
      </c>
      <c r="BM30">
        <v>18</v>
      </c>
      <c r="BN30">
        <v>255000</v>
      </c>
      <c r="BO30">
        <v>1</v>
      </c>
      <c r="BP30">
        <v>0</v>
      </c>
      <c r="BQ30">
        <v>0</v>
      </c>
      <c r="BR30">
        <v>10.129464285714286</v>
      </c>
      <c r="BS30">
        <v>14166</v>
      </c>
      <c r="BT30">
        <v>304</v>
      </c>
      <c r="BU30">
        <v>324</v>
      </c>
      <c r="BV30">
        <v>4</v>
      </c>
      <c r="BW30">
        <v>1216</v>
      </c>
      <c r="BX30">
        <v>4256</v>
      </c>
      <c r="BY30">
        <v>121</v>
      </c>
      <c r="BZ30">
        <v>425</v>
      </c>
      <c r="CA30">
        <v>27</v>
      </c>
      <c r="CB30">
        <v>340000</v>
      </c>
      <c r="CC30">
        <v>0</v>
      </c>
      <c r="CD30">
        <v>0</v>
      </c>
      <c r="CE30">
        <v>0</v>
      </c>
      <c r="CF30">
        <v>12.68640350877193</v>
      </c>
      <c r="CG30">
        <v>12592</v>
      </c>
      <c r="CH30">
        <v>320</v>
      </c>
      <c r="CI30">
        <v>342</v>
      </c>
      <c r="CJ30">
        <v>4</v>
      </c>
      <c r="CK30">
        <v>1280</v>
      </c>
      <c r="CL30">
        <v>4480</v>
      </c>
      <c r="CM30">
        <v>128</v>
      </c>
      <c r="CN30">
        <v>448</v>
      </c>
      <c r="CO30">
        <v>36</v>
      </c>
      <c r="CP30">
        <v>425000</v>
      </c>
      <c r="CQ30">
        <v>0</v>
      </c>
      <c r="CR30">
        <v>1</v>
      </c>
      <c r="CS30">
        <v>0</v>
      </c>
      <c r="CT30">
        <v>15.259635416666667</v>
      </c>
      <c r="CU30">
        <v>11805</v>
      </c>
      <c r="CV30">
        <v>126</v>
      </c>
      <c r="CW30">
        <v>1360000</v>
      </c>
      <c r="CX30">
        <v>1</v>
      </c>
      <c r="CY30">
        <v>1</v>
      </c>
      <c r="CZ30">
        <v>0</v>
      </c>
      <c r="DA30">
        <v>44.270833333333336</v>
      </c>
      <c r="DB30">
        <v>10793.650793650793</v>
      </c>
      <c r="DD30" t="s">
        <v>824</v>
      </c>
      <c r="DE30">
        <v>33</v>
      </c>
    </row>
    <row r="31" spans="1:109">
      <c r="A31">
        <v>35</v>
      </c>
      <c r="B31" t="s">
        <v>815</v>
      </c>
      <c r="C31" t="s">
        <v>77</v>
      </c>
      <c r="E31" t="s">
        <v>43</v>
      </c>
      <c r="H31">
        <v>4</v>
      </c>
      <c r="I31" t="s">
        <v>283</v>
      </c>
      <c r="J31">
        <v>2</v>
      </c>
      <c r="K31">
        <v>0.2</v>
      </c>
      <c r="L31">
        <v>0.60465116279069764</v>
      </c>
      <c r="M31">
        <v>30</v>
      </c>
      <c r="N31" t="s">
        <v>47</v>
      </c>
      <c r="O31" t="s">
        <v>98</v>
      </c>
      <c r="P31">
        <v>0</v>
      </c>
      <c r="Q31">
        <v>0</v>
      </c>
      <c r="R31">
        <v>0</v>
      </c>
      <c r="S31">
        <v>0</v>
      </c>
      <c r="T31">
        <v>0</v>
      </c>
      <c r="U31">
        <v>0</v>
      </c>
      <c r="V31">
        <v>0</v>
      </c>
      <c r="W31">
        <v>0</v>
      </c>
      <c r="X31">
        <v>0</v>
      </c>
      <c r="Y31">
        <v>0</v>
      </c>
      <c r="Z31">
        <v>0</v>
      </c>
      <c r="AA31">
        <v>0</v>
      </c>
      <c r="AB31">
        <v>0</v>
      </c>
      <c r="AC31">
        <v>0</v>
      </c>
      <c r="AD31">
        <v>104</v>
      </c>
      <c r="AE31">
        <v>172</v>
      </c>
      <c r="AF31">
        <v>4</v>
      </c>
      <c r="AG31">
        <v>416</v>
      </c>
      <c r="AH31">
        <v>832</v>
      </c>
      <c r="AI31">
        <v>83</v>
      </c>
      <c r="AJ31">
        <v>166</v>
      </c>
      <c r="AK31">
        <v>6</v>
      </c>
      <c r="AL31">
        <v>0</v>
      </c>
      <c r="AM31">
        <v>0</v>
      </c>
      <c r="AN31">
        <v>0</v>
      </c>
      <c r="AO31">
        <v>0</v>
      </c>
      <c r="AP31">
        <v>0</v>
      </c>
      <c r="AQ31">
        <v>0</v>
      </c>
      <c r="AR31">
        <v>156</v>
      </c>
      <c r="AS31">
        <v>258</v>
      </c>
      <c r="AT31">
        <v>4</v>
      </c>
      <c r="AU31">
        <v>624</v>
      </c>
      <c r="AV31">
        <v>1248</v>
      </c>
      <c r="AW31">
        <v>124</v>
      </c>
      <c r="AX31">
        <v>249</v>
      </c>
      <c r="AY31">
        <v>2</v>
      </c>
      <c r="AZ31">
        <v>120000</v>
      </c>
      <c r="BA31">
        <v>0</v>
      </c>
      <c r="BB31">
        <v>0</v>
      </c>
      <c r="BC31">
        <v>0</v>
      </c>
      <c r="BD31">
        <v>8.0683760683760681</v>
      </c>
      <c r="BE31">
        <v>60000</v>
      </c>
      <c r="BF31">
        <v>182</v>
      </c>
      <c r="BG31">
        <v>301</v>
      </c>
      <c r="BH31">
        <v>4</v>
      </c>
      <c r="BI31">
        <v>728</v>
      </c>
      <c r="BJ31">
        <v>1456</v>
      </c>
      <c r="BK31">
        <v>145</v>
      </c>
      <c r="BL31">
        <v>291</v>
      </c>
      <c r="BM31">
        <v>3</v>
      </c>
      <c r="BN31">
        <v>180000</v>
      </c>
      <c r="BO31">
        <v>0</v>
      </c>
      <c r="BP31">
        <v>1</v>
      </c>
      <c r="BQ31">
        <v>0</v>
      </c>
      <c r="BR31">
        <v>10.409340659340659</v>
      </c>
      <c r="BS31">
        <v>60000</v>
      </c>
      <c r="BT31">
        <v>197</v>
      </c>
      <c r="BU31">
        <v>326</v>
      </c>
      <c r="BV31">
        <v>4</v>
      </c>
      <c r="BW31">
        <v>788</v>
      </c>
      <c r="BX31">
        <v>1576</v>
      </c>
      <c r="BY31">
        <v>157</v>
      </c>
      <c r="BZ31">
        <v>315</v>
      </c>
      <c r="CA31">
        <v>5</v>
      </c>
      <c r="CB31">
        <v>240000</v>
      </c>
      <c r="CC31">
        <v>0</v>
      </c>
      <c r="CD31">
        <v>0</v>
      </c>
      <c r="CE31">
        <v>0</v>
      </c>
      <c r="CF31">
        <v>12.882825719120135</v>
      </c>
      <c r="CG31">
        <v>48000</v>
      </c>
      <c r="CH31">
        <v>208</v>
      </c>
      <c r="CI31">
        <v>344</v>
      </c>
      <c r="CJ31">
        <v>4</v>
      </c>
      <c r="CK31">
        <v>832</v>
      </c>
      <c r="CL31">
        <v>1664</v>
      </c>
      <c r="CM31">
        <v>166</v>
      </c>
      <c r="CN31">
        <v>332</v>
      </c>
      <c r="CO31">
        <v>6</v>
      </c>
      <c r="CP31">
        <v>300000</v>
      </c>
      <c r="CQ31">
        <v>0</v>
      </c>
      <c r="CR31">
        <v>0</v>
      </c>
      <c r="CS31">
        <v>1</v>
      </c>
      <c r="CT31">
        <v>15.260817307692307</v>
      </c>
      <c r="CU31">
        <v>50000</v>
      </c>
      <c r="CV31">
        <v>22</v>
      </c>
      <c r="CW31">
        <v>840000</v>
      </c>
      <c r="CX31">
        <v>0</v>
      </c>
      <c r="CY31">
        <v>1</v>
      </c>
      <c r="CZ31">
        <v>1</v>
      </c>
      <c r="DA31">
        <v>42.067307692307693</v>
      </c>
      <c r="DB31">
        <v>38181.818181818184</v>
      </c>
      <c r="DD31" t="s">
        <v>815</v>
      </c>
      <c r="DE31">
        <v>35</v>
      </c>
    </row>
    <row r="32" spans="1:109">
      <c r="A32">
        <v>36</v>
      </c>
      <c r="B32" t="s">
        <v>765</v>
      </c>
      <c r="C32" t="s">
        <v>48</v>
      </c>
      <c r="E32" t="s">
        <v>43</v>
      </c>
      <c r="H32">
        <v>3</v>
      </c>
      <c r="I32" t="s">
        <v>268</v>
      </c>
      <c r="J32">
        <v>7</v>
      </c>
      <c r="K32">
        <v>2.5000000000000001E-2</v>
      </c>
      <c r="L32">
        <v>3.7647058823529411</v>
      </c>
      <c r="M32">
        <v>30</v>
      </c>
      <c r="N32" t="s">
        <v>47</v>
      </c>
      <c r="O32" t="s">
        <v>98</v>
      </c>
      <c r="P32">
        <v>0</v>
      </c>
      <c r="Q32">
        <v>0</v>
      </c>
      <c r="R32">
        <v>0</v>
      </c>
      <c r="S32">
        <v>0</v>
      </c>
      <c r="T32">
        <v>0</v>
      </c>
      <c r="U32">
        <v>0</v>
      </c>
      <c r="V32">
        <v>0</v>
      </c>
      <c r="W32">
        <v>0</v>
      </c>
      <c r="X32">
        <v>0</v>
      </c>
      <c r="Y32">
        <v>0</v>
      </c>
      <c r="Z32">
        <v>0</v>
      </c>
      <c r="AA32">
        <v>0</v>
      </c>
      <c r="AB32">
        <v>0</v>
      </c>
      <c r="AC32">
        <v>0</v>
      </c>
      <c r="AD32">
        <v>320</v>
      </c>
      <c r="AE32">
        <v>85</v>
      </c>
      <c r="AF32">
        <v>4</v>
      </c>
      <c r="AG32">
        <v>1280</v>
      </c>
      <c r="AH32">
        <v>8960</v>
      </c>
      <c r="AI32">
        <v>32</v>
      </c>
      <c r="AJ32">
        <v>224</v>
      </c>
      <c r="AK32">
        <v>48</v>
      </c>
      <c r="AL32">
        <v>250000</v>
      </c>
      <c r="AM32">
        <v>0</v>
      </c>
      <c r="AN32">
        <v>0</v>
      </c>
      <c r="AO32">
        <v>0</v>
      </c>
      <c r="AP32">
        <v>8.1380208333333339</v>
      </c>
      <c r="AQ32">
        <v>5208</v>
      </c>
      <c r="AR32">
        <v>480</v>
      </c>
      <c r="AS32">
        <v>127</v>
      </c>
      <c r="AT32">
        <v>4</v>
      </c>
      <c r="AU32">
        <v>1920</v>
      </c>
      <c r="AV32">
        <v>13440</v>
      </c>
      <c r="AW32">
        <v>48</v>
      </c>
      <c r="AX32">
        <v>336</v>
      </c>
      <c r="AY32">
        <v>12</v>
      </c>
      <c r="AZ32">
        <v>250000</v>
      </c>
      <c r="BA32">
        <v>0</v>
      </c>
      <c r="BB32">
        <v>0</v>
      </c>
      <c r="BC32">
        <v>0</v>
      </c>
      <c r="BD32">
        <v>5.7586805555555562</v>
      </c>
      <c r="BE32">
        <v>20833</v>
      </c>
      <c r="BF32">
        <v>560</v>
      </c>
      <c r="BG32">
        <v>148</v>
      </c>
      <c r="BH32">
        <v>4</v>
      </c>
      <c r="BI32">
        <v>2240</v>
      </c>
      <c r="BJ32">
        <v>15680</v>
      </c>
      <c r="BK32">
        <v>56</v>
      </c>
      <c r="BL32">
        <v>392</v>
      </c>
      <c r="BM32">
        <v>24</v>
      </c>
      <c r="BN32">
        <v>375000</v>
      </c>
      <c r="BO32">
        <v>1</v>
      </c>
      <c r="BP32">
        <v>0</v>
      </c>
      <c r="BQ32">
        <v>0</v>
      </c>
      <c r="BR32">
        <v>7.8325892857142856</v>
      </c>
      <c r="BS32">
        <v>15625</v>
      </c>
      <c r="BT32">
        <v>608</v>
      </c>
      <c r="BU32">
        <v>161</v>
      </c>
      <c r="BV32">
        <v>4</v>
      </c>
      <c r="BW32">
        <v>2432</v>
      </c>
      <c r="BX32">
        <v>17024</v>
      </c>
      <c r="BY32">
        <v>60</v>
      </c>
      <c r="BZ32">
        <v>425</v>
      </c>
      <c r="CA32">
        <v>36</v>
      </c>
      <c r="CB32">
        <v>500000</v>
      </c>
      <c r="CC32">
        <v>0</v>
      </c>
      <c r="CD32">
        <v>0</v>
      </c>
      <c r="CE32">
        <v>0</v>
      </c>
      <c r="CF32">
        <v>9.9479166666666661</v>
      </c>
      <c r="CG32">
        <v>13888</v>
      </c>
      <c r="CH32">
        <v>640</v>
      </c>
      <c r="CI32">
        <v>170</v>
      </c>
      <c r="CJ32">
        <v>4</v>
      </c>
      <c r="CK32">
        <v>2560</v>
      </c>
      <c r="CL32">
        <v>17920</v>
      </c>
      <c r="CM32">
        <v>64</v>
      </c>
      <c r="CN32">
        <v>448</v>
      </c>
      <c r="CO32">
        <v>48</v>
      </c>
      <c r="CP32">
        <v>625000</v>
      </c>
      <c r="CQ32">
        <v>0</v>
      </c>
      <c r="CR32">
        <v>1</v>
      </c>
      <c r="CS32">
        <v>0</v>
      </c>
      <c r="CT32">
        <v>12.072526041666668</v>
      </c>
      <c r="CU32">
        <v>13020</v>
      </c>
      <c r="CV32">
        <v>168</v>
      </c>
      <c r="CW32">
        <v>2000000</v>
      </c>
      <c r="CX32">
        <v>1</v>
      </c>
      <c r="CY32">
        <v>1</v>
      </c>
      <c r="CZ32">
        <v>0</v>
      </c>
      <c r="DA32">
        <v>32.552083333333336</v>
      </c>
      <c r="DB32">
        <v>11904.761904761905</v>
      </c>
      <c r="DD32" t="s">
        <v>765</v>
      </c>
      <c r="DE32">
        <v>36</v>
      </c>
    </row>
    <row r="33" spans="1:109">
      <c r="A33">
        <v>38</v>
      </c>
      <c r="B33" t="s">
        <v>767</v>
      </c>
      <c r="C33" t="s">
        <v>48</v>
      </c>
      <c r="G33" t="s">
        <v>43</v>
      </c>
      <c r="H33">
        <v>4</v>
      </c>
      <c r="I33" t="s">
        <v>283</v>
      </c>
      <c r="J33">
        <v>7</v>
      </c>
      <c r="K33">
        <v>2.5000000000000001E-2</v>
      </c>
      <c r="L33">
        <v>3.78494623655914</v>
      </c>
      <c r="M33">
        <v>30</v>
      </c>
      <c r="N33" t="s">
        <v>47</v>
      </c>
      <c r="O33" t="s">
        <v>98</v>
      </c>
      <c r="P33">
        <v>0</v>
      </c>
      <c r="Q33">
        <v>0</v>
      </c>
      <c r="R33">
        <v>0</v>
      </c>
      <c r="S33">
        <v>0</v>
      </c>
      <c r="T33">
        <v>0</v>
      </c>
      <c r="U33">
        <v>0</v>
      </c>
      <c r="V33">
        <v>0</v>
      </c>
      <c r="W33">
        <v>0</v>
      </c>
      <c r="X33">
        <v>0</v>
      </c>
      <c r="Y33">
        <v>0</v>
      </c>
      <c r="Z33">
        <v>0</v>
      </c>
      <c r="AA33">
        <v>0</v>
      </c>
      <c r="AB33">
        <v>0</v>
      </c>
      <c r="AC33">
        <v>0</v>
      </c>
      <c r="AD33">
        <v>352</v>
      </c>
      <c r="AE33">
        <v>93</v>
      </c>
      <c r="AF33">
        <v>4</v>
      </c>
      <c r="AG33">
        <v>1408</v>
      </c>
      <c r="AH33">
        <v>9856</v>
      </c>
      <c r="AI33">
        <v>35</v>
      </c>
      <c r="AJ33">
        <v>246</v>
      </c>
      <c r="AK33">
        <v>5</v>
      </c>
      <c r="AL33">
        <v>0</v>
      </c>
      <c r="AM33">
        <v>0</v>
      </c>
      <c r="AN33">
        <v>0</v>
      </c>
      <c r="AO33">
        <v>0</v>
      </c>
      <c r="AP33">
        <v>0</v>
      </c>
      <c r="AQ33">
        <v>0</v>
      </c>
      <c r="AR33">
        <v>528</v>
      </c>
      <c r="AS33">
        <v>139</v>
      </c>
      <c r="AT33">
        <v>4</v>
      </c>
      <c r="AU33">
        <v>2112</v>
      </c>
      <c r="AV33">
        <v>14784</v>
      </c>
      <c r="AW33">
        <v>52</v>
      </c>
      <c r="AX33">
        <v>369</v>
      </c>
      <c r="AY33">
        <v>2</v>
      </c>
      <c r="AZ33">
        <v>350000</v>
      </c>
      <c r="BA33">
        <v>0</v>
      </c>
      <c r="BB33">
        <v>0</v>
      </c>
      <c r="BC33">
        <v>0</v>
      </c>
      <c r="BD33">
        <v>6.9605429292929299</v>
      </c>
      <c r="BE33">
        <v>175000</v>
      </c>
      <c r="BF33">
        <v>616</v>
      </c>
      <c r="BG33">
        <v>162</v>
      </c>
      <c r="BH33">
        <v>4</v>
      </c>
      <c r="BI33">
        <v>2464</v>
      </c>
      <c r="BJ33">
        <v>17248</v>
      </c>
      <c r="BK33">
        <v>61</v>
      </c>
      <c r="BL33">
        <v>431</v>
      </c>
      <c r="BM33">
        <v>3</v>
      </c>
      <c r="BN33">
        <v>525000</v>
      </c>
      <c r="BO33">
        <v>0</v>
      </c>
      <c r="BP33">
        <v>1</v>
      </c>
      <c r="BQ33">
        <v>0</v>
      </c>
      <c r="BR33">
        <v>8.9849837662337659</v>
      </c>
      <c r="BS33">
        <v>175000</v>
      </c>
      <c r="BT33">
        <v>668</v>
      </c>
      <c r="BU33">
        <v>176</v>
      </c>
      <c r="BV33">
        <v>4</v>
      </c>
      <c r="BW33">
        <v>2672</v>
      </c>
      <c r="BX33">
        <v>18704</v>
      </c>
      <c r="BY33">
        <v>66</v>
      </c>
      <c r="BZ33">
        <v>467</v>
      </c>
      <c r="CA33">
        <v>4</v>
      </c>
      <c r="CB33">
        <v>700000</v>
      </c>
      <c r="CC33">
        <v>0</v>
      </c>
      <c r="CD33">
        <v>0</v>
      </c>
      <c r="CE33">
        <v>0</v>
      </c>
      <c r="CF33">
        <v>11.069361277445109</v>
      </c>
      <c r="CG33">
        <v>175000</v>
      </c>
      <c r="CH33">
        <v>704</v>
      </c>
      <c r="CI33">
        <v>186</v>
      </c>
      <c r="CJ33">
        <v>4</v>
      </c>
      <c r="CK33">
        <v>2816</v>
      </c>
      <c r="CL33">
        <v>19712</v>
      </c>
      <c r="CM33">
        <v>70</v>
      </c>
      <c r="CN33">
        <v>492</v>
      </c>
      <c r="CO33">
        <v>5</v>
      </c>
      <c r="CP33">
        <v>875000</v>
      </c>
      <c r="CQ33">
        <v>0</v>
      </c>
      <c r="CR33">
        <v>0</v>
      </c>
      <c r="CS33">
        <v>1</v>
      </c>
      <c r="CT33">
        <v>13.14453125</v>
      </c>
      <c r="CU33">
        <v>175000</v>
      </c>
      <c r="CV33">
        <v>19</v>
      </c>
      <c r="CW33">
        <v>2450000</v>
      </c>
      <c r="CX33">
        <v>0</v>
      </c>
      <c r="CY33">
        <v>1</v>
      </c>
      <c r="CZ33">
        <v>1</v>
      </c>
      <c r="DA33">
        <v>36.251183712121211</v>
      </c>
      <c r="DB33">
        <v>128947.36842105263</v>
      </c>
      <c r="DD33" t="s">
        <v>767</v>
      </c>
      <c r="DE33">
        <v>38</v>
      </c>
    </row>
    <row r="34" spans="1:109">
      <c r="A34">
        <v>40</v>
      </c>
      <c r="B34" t="s">
        <v>825</v>
      </c>
      <c r="C34" t="s">
        <v>42</v>
      </c>
      <c r="E34" t="s">
        <v>43</v>
      </c>
      <c r="F34" t="s">
        <v>43</v>
      </c>
      <c r="H34">
        <v>4</v>
      </c>
      <c r="I34" t="s">
        <v>283</v>
      </c>
      <c r="J34">
        <v>3.5</v>
      </c>
      <c r="K34">
        <v>0.1</v>
      </c>
      <c r="L34">
        <v>0.93617021276595747</v>
      </c>
      <c r="M34">
        <v>30</v>
      </c>
      <c r="N34" t="s">
        <v>47</v>
      </c>
      <c r="O34" t="s">
        <v>98</v>
      </c>
      <c r="P34">
        <v>0</v>
      </c>
      <c r="Q34">
        <v>0</v>
      </c>
      <c r="R34">
        <v>0</v>
      </c>
      <c r="S34">
        <v>0</v>
      </c>
      <c r="T34">
        <v>0</v>
      </c>
      <c r="U34">
        <v>0</v>
      </c>
      <c r="V34">
        <v>0</v>
      </c>
      <c r="W34">
        <v>0</v>
      </c>
      <c r="X34">
        <v>0</v>
      </c>
      <c r="Y34">
        <v>0</v>
      </c>
      <c r="Z34">
        <v>0</v>
      </c>
      <c r="AA34">
        <v>0</v>
      </c>
      <c r="AB34">
        <v>0</v>
      </c>
      <c r="AC34">
        <v>0</v>
      </c>
      <c r="AD34">
        <v>176</v>
      </c>
      <c r="AE34">
        <v>188</v>
      </c>
      <c r="AF34">
        <v>4</v>
      </c>
      <c r="AG34">
        <v>704</v>
      </c>
      <c r="AH34">
        <v>2464</v>
      </c>
      <c r="AI34">
        <v>70</v>
      </c>
      <c r="AJ34">
        <v>246</v>
      </c>
      <c r="AK34">
        <v>10</v>
      </c>
      <c r="AL34">
        <v>0</v>
      </c>
      <c r="AM34">
        <v>0</v>
      </c>
      <c r="AN34">
        <v>0</v>
      </c>
      <c r="AO34">
        <v>0</v>
      </c>
      <c r="AP34">
        <v>0</v>
      </c>
      <c r="AQ34">
        <v>0</v>
      </c>
      <c r="AR34">
        <v>264</v>
      </c>
      <c r="AS34">
        <v>282</v>
      </c>
      <c r="AT34">
        <v>4</v>
      </c>
      <c r="AU34">
        <v>1056</v>
      </c>
      <c r="AV34">
        <v>3696</v>
      </c>
      <c r="AW34">
        <v>105</v>
      </c>
      <c r="AX34">
        <v>369</v>
      </c>
      <c r="AY34">
        <v>3</v>
      </c>
      <c r="AZ34">
        <v>500000</v>
      </c>
      <c r="BA34">
        <v>0</v>
      </c>
      <c r="BB34">
        <v>0</v>
      </c>
      <c r="BC34">
        <v>0</v>
      </c>
      <c r="BD34">
        <v>19.811868686868689</v>
      </c>
      <c r="BE34">
        <v>166666</v>
      </c>
      <c r="BF34">
        <v>308</v>
      </c>
      <c r="BG34">
        <v>329</v>
      </c>
      <c r="BH34">
        <v>4</v>
      </c>
      <c r="BI34">
        <v>1232</v>
      </c>
      <c r="BJ34">
        <v>4312</v>
      </c>
      <c r="BK34">
        <v>123</v>
      </c>
      <c r="BL34">
        <v>431</v>
      </c>
      <c r="BM34">
        <v>5</v>
      </c>
      <c r="BN34">
        <v>750000</v>
      </c>
      <c r="BO34">
        <v>0</v>
      </c>
      <c r="BP34">
        <v>1</v>
      </c>
      <c r="BQ34">
        <v>0</v>
      </c>
      <c r="BR34">
        <v>25.543831168831172</v>
      </c>
      <c r="BS34">
        <v>150000</v>
      </c>
      <c r="BT34">
        <v>334</v>
      </c>
      <c r="BU34">
        <v>357</v>
      </c>
      <c r="BV34">
        <v>4</v>
      </c>
      <c r="BW34">
        <v>1336</v>
      </c>
      <c r="BX34">
        <v>4676</v>
      </c>
      <c r="BY34">
        <v>133</v>
      </c>
      <c r="BZ34">
        <v>467</v>
      </c>
      <c r="CA34">
        <v>8</v>
      </c>
      <c r="CB34">
        <v>1000000</v>
      </c>
      <c r="CC34">
        <v>0</v>
      </c>
      <c r="CD34">
        <v>0</v>
      </c>
      <c r="CE34">
        <v>0</v>
      </c>
      <c r="CF34">
        <v>31.495009980039921</v>
      </c>
      <c r="CG34">
        <v>125000</v>
      </c>
      <c r="CH34">
        <v>352</v>
      </c>
      <c r="CI34">
        <v>376</v>
      </c>
      <c r="CJ34">
        <v>4</v>
      </c>
      <c r="CK34">
        <v>1408</v>
      </c>
      <c r="CL34">
        <v>4928</v>
      </c>
      <c r="CM34">
        <v>140</v>
      </c>
      <c r="CN34">
        <v>492</v>
      </c>
      <c r="CO34">
        <v>10</v>
      </c>
      <c r="CP34">
        <v>1250000</v>
      </c>
      <c r="CQ34">
        <v>0</v>
      </c>
      <c r="CR34">
        <v>0</v>
      </c>
      <c r="CS34">
        <v>1</v>
      </c>
      <c r="CT34">
        <v>37.386363636363633</v>
      </c>
      <c r="CU34">
        <v>125000</v>
      </c>
      <c r="CV34">
        <v>36</v>
      </c>
      <c r="CW34">
        <v>3500000</v>
      </c>
      <c r="CX34">
        <v>0</v>
      </c>
      <c r="CY34">
        <v>1</v>
      </c>
      <c r="CZ34">
        <v>1</v>
      </c>
      <c r="DA34">
        <v>103.57481060606061</v>
      </c>
      <c r="DB34">
        <v>97222.222222222219</v>
      </c>
      <c r="DD34" t="s">
        <v>825</v>
      </c>
      <c r="DE34">
        <v>40</v>
      </c>
    </row>
    <row r="35" spans="1:109">
      <c r="A35">
        <v>41</v>
      </c>
      <c r="B35" t="s">
        <v>811</v>
      </c>
      <c r="C35" t="s">
        <v>77</v>
      </c>
      <c r="E35" t="s">
        <v>43</v>
      </c>
      <c r="H35">
        <v>3</v>
      </c>
      <c r="I35" t="s">
        <v>268</v>
      </c>
      <c r="J35">
        <v>2.25</v>
      </c>
      <c r="K35">
        <v>0.22500000000000001</v>
      </c>
      <c r="L35">
        <v>0.6875</v>
      </c>
      <c r="M35">
        <v>30</v>
      </c>
      <c r="N35" t="s">
        <v>47</v>
      </c>
      <c r="O35" t="s">
        <v>98</v>
      </c>
      <c r="P35">
        <v>0</v>
      </c>
      <c r="Q35">
        <v>0</v>
      </c>
      <c r="R35">
        <v>0</v>
      </c>
      <c r="S35">
        <v>0</v>
      </c>
      <c r="T35">
        <v>0</v>
      </c>
      <c r="U35">
        <v>0</v>
      </c>
      <c r="V35">
        <v>0</v>
      </c>
      <c r="W35">
        <v>0</v>
      </c>
      <c r="X35">
        <v>0</v>
      </c>
      <c r="Y35">
        <v>0</v>
      </c>
      <c r="Z35">
        <v>0</v>
      </c>
      <c r="AA35">
        <v>0</v>
      </c>
      <c r="AB35">
        <v>0</v>
      </c>
      <c r="AC35">
        <v>0</v>
      </c>
      <c r="AD35">
        <v>110</v>
      </c>
      <c r="AE35">
        <v>160</v>
      </c>
      <c r="AF35">
        <v>4</v>
      </c>
      <c r="AG35">
        <v>440</v>
      </c>
      <c r="AH35">
        <v>990</v>
      </c>
      <c r="AI35">
        <v>99</v>
      </c>
      <c r="AJ35">
        <v>222</v>
      </c>
      <c r="AK35">
        <v>72</v>
      </c>
      <c r="AL35">
        <v>500000</v>
      </c>
      <c r="AM35">
        <v>0</v>
      </c>
      <c r="AN35">
        <v>0</v>
      </c>
      <c r="AO35">
        <v>0</v>
      </c>
      <c r="AP35">
        <v>47.348484848484844</v>
      </c>
      <c r="AQ35">
        <v>6944</v>
      </c>
      <c r="AR35">
        <v>165</v>
      </c>
      <c r="AS35">
        <v>240</v>
      </c>
      <c r="AT35">
        <v>4</v>
      </c>
      <c r="AU35">
        <v>660</v>
      </c>
      <c r="AV35">
        <v>1485</v>
      </c>
      <c r="AW35">
        <v>148</v>
      </c>
      <c r="AX35">
        <v>334</v>
      </c>
      <c r="AY35">
        <v>18</v>
      </c>
      <c r="AZ35">
        <v>500000</v>
      </c>
      <c r="BA35">
        <v>0</v>
      </c>
      <c r="BB35">
        <v>0</v>
      </c>
      <c r="BC35">
        <v>0</v>
      </c>
      <c r="BD35">
        <v>32.065656565656568</v>
      </c>
      <c r="BE35">
        <v>27777</v>
      </c>
      <c r="BF35">
        <v>192</v>
      </c>
      <c r="BG35">
        <v>280</v>
      </c>
      <c r="BH35">
        <v>4</v>
      </c>
      <c r="BI35">
        <v>768</v>
      </c>
      <c r="BJ35">
        <v>1728</v>
      </c>
      <c r="BK35">
        <v>172</v>
      </c>
      <c r="BL35">
        <v>388</v>
      </c>
      <c r="BM35">
        <v>36</v>
      </c>
      <c r="BN35">
        <v>750000</v>
      </c>
      <c r="BO35">
        <v>1</v>
      </c>
      <c r="BP35">
        <v>0</v>
      </c>
      <c r="BQ35">
        <v>0</v>
      </c>
      <c r="BR35">
        <v>41.979166666666664</v>
      </c>
      <c r="BS35">
        <v>20833</v>
      </c>
      <c r="BT35">
        <v>209</v>
      </c>
      <c r="BU35">
        <v>304</v>
      </c>
      <c r="BV35">
        <v>4</v>
      </c>
      <c r="BW35">
        <v>836</v>
      </c>
      <c r="BX35">
        <v>1881</v>
      </c>
      <c r="BY35">
        <v>188</v>
      </c>
      <c r="BZ35">
        <v>423</v>
      </c>
      <c r="CA35">
        <v>54</v>
      </c>
      <c r="CB35">
        <v>1000000</v>
      </c>
      <c r="CC35">
        <v>0</v>
      </c>
      <c r="CD35">
        <v>0</v>
      </c>
      <c r="CE35">
        <v>0</v>
      </c>
      <c r="CF35">
        <v>51.907496012759168</v>
      </c>
      <c r="CG35">
        <v>18518</v>
      </c>
      <c r="CH35">
        <v>220</v>
      </c>
      <c r="CI35">
        <v>320</v>
      </c>
      <c r="CJ35">
        <v>4</v>
      </c>
      <c r="CK35">
        <v>880</v>
      </c>
      <c r="CL35">
        <v>1980</v>
      </c>
      <c r="CM35">
        <v>198</v>
      </c>
      <c r="CN35">
        <v>445</v>
      </c>
      <c r="CO35">
        <v>72</v>
      </c>
      <c r="CP35">
        <v>1250000</v>
      </c>
      <c r="CQ35">
        <v>0</v>
      </c>
      <c r="CR35">
        <v>1</v>
      </c>
      <c r="CS35">
        <v>0</v>
      </c>
      <c r="CT35">
        <v>62.035606060606057</v>
      </c>
      <c r="CU35">
        <v>17361</v>
      </c>
      <c r="CV35">
        <v>252</v>
      </c>
      <c r="CW35">
        <v>4000000</v>
      </c>
      <c r="CX35">
        <v>1</v>
      </c>
      <c r="CY35">
        <v>1</v>
      </c>
      <c r="CZ35">
        <v>0</v>
      </c>
      <c r="DA35">
        <v>189.39393939393938</v>
      </c>
      <c r="DB35">
        <v>15873.015873015873</v>
      </c>
      <c r="DD35" t="s">
        <v>811</v>
      </c>
      <c r="DE35">
        <v>41</v>
      </c>
    </row>
    <row r="36" spans="1:109">
      <c r="A36">
        <v>42</v>
      </c>
      <c r="B36" t="s">
        <v>788</v>
      </c>
      <c r="C36" t="s">
        <v>52</v>
      </c>
      <c r="D36" t="s">
        <v>43</v>
      </c>
      <c r="E36" t="s">
        <v>43</v>
      </c>
      <c r="H36">
        <v>2</v>
      </c>
      <c r="I36" t="s">
        <v>268</v>
      </c>
      <c r="J36">
        <v>1</v>
      </c>
      <c r="K36">
        <v>0.13250000000000001</v>
      </c>
      <c r="L36">
        <v>0.69090909090909092</v>
      </c>
      <c r="M36">
        <v>30</v>
      </c>
      <c r="N36" t="s">
        <v>47</v>
      </c>
      <c r="O36" t="s">
        <v>98</v>
      </c>
      <c r="P36">
        <v>0</v>
      </c>
      <c r="Q36">
        <v>0</v>
      </c>
      <c r="R36">
        <v>0</v>
      </c>
      <c r="S36">
        <v>0</v>
      </c>
      <c r="T36">
        <v>0</v>
      </c>
      <c r="U36">
        <v>0</v>
      </c>
      <c r="V36">
        <v>0</v>
      </c>
      <c r="W36">
        <v>0</v>
      </c>
      <c r="X36">
        <v>0</v>
      </c>
      <c r="Y36">
        <v>0</v>
      </c>
      <c r="Z36">
        <v>0</v>
      </c>
      <c r="AA36">
        <v>0</v>
      </c>
      <c r="AB36">
        <v>0</v>
      </c>
      <c r="AC36">
        <v>0</v>
      </c>
      <c r="AD36">
        <v>266</v>
      </c>
      <c r="AE36">
        <v>385</v>
      </c>
      <c r="AF36">
        <v>17</v>
      </c>
      <c r="AG36">
        <v>4522</v>
      </c>
      <c r="AH36">
        <v>4522</v>
      </c>
      <c r="AI36">
        <v>599</v>
      </c>
      <c r="AJ36">
        <v>599</v>
      </c>
      <c r="AK36">
        <v>24</v>
      </c>
      <c r="AL36">
        <v>1000000</v>
      </c>
      <c r="AM36">
        <v>0</v>
      </c>
      <c r="AN36">
        <v>0</v>
      </c>
      <c r="AO36">
        <v>0</v>
      </c>
      <c r="AP36">
        <v>9.2142120005897095</v>
      </c>
      <c r="AQ36">
        <v>41666</v>
      </c>
      <c r="AR36">
        <v>399</v>
      </c>
      <c r="AS36">
        <v>577</v>
      </c>
      <c r="AT36">
        <v>18</v>
      </c>
      <c r="AU36">
        <v>7182</v>
      </c>
      <c r="AV36">
        <v>7182</v>
      </c>
      <c r="AW36">
        <v>951</v>
      </c>
      <c r="AX36">
        <v>951</v>
      </c>
      <c r="AY36">
        <v>6</v>
      </c>
      <c r="AZ36">
        <v>1000000</v>
      </c>
      <c r="BA36">
        <v>0</v>
      </c>
      <c r="BB36">
        <v>0</v>
      </c>
      <c r="BC36">
        <v>0</v>
      </c>
      <c r="BD36">
        <v>5.9589482966675957</v>
      </c>
      <c r="BE36">
        <v>166666</v>
      </c>
      <c r="BF36">
        <v>465</v>
      </c>
      <c r="BG36">
        <v>673</v>
      </c>
      <c r="BH36">
        <v>19</v>
      </c>
      <c r="BI36">
        <v>8835</v>
      </c>
      <c r="BJ36">
        <v>8835</v>
      </c>
      <c r="BK36">
        <v>1170</v>
      </c>
      <c r="BL36">
        <v>1170</v>
      </c>
      <c r="BM36">
        <v>12</v>
      </c>
      <c r="BN36">
        <v>1500000</v>
      </c>
      <c r="BO36">
        <v>1</v>
      </c>
      <c r="BP36">
        <v>0</v>
      </c>
      <c r="BQ36">
        <v>0</v>
      </c>
      <c r="BR36">
        <v>7.4805885681946798</v>
      </c>
      <c r="BS36">
        <v>125000</v>
      </c>
      <c r="BT36">
        <v>505</v>
      </c>
      <c r="BU36">
        <v>731</v>
      </c>
      <c r="BV36">
        <v>20</v>
      </c>
      <c r="BW36">
        <v>10100</v>
      </c>
      <c r="BX36">
        <v>10100</v>
      </c>
      <c r="BY36">
        <v>1338</v>
      </c>
      <c r="BZ36">
        <v>1338</v>
      </c>
      <c r="CA36">
        <v>18</v>
      </c>
      <c r="CB36">
        <v>2000000</v>
      </c>
      <c r="CC36">
        <v>0</v>
      </c>
      <c r="CD36">
        <v>0</v>
      </c>
      <c r="CE36">
        <v>0</v>
      </c>
      <c r="CF36">
        <v>8.9068894389438942</v>
      </c>
      <c r="CG36">
        <v>111111</v>
      </c>
      <c r="CH36">
        <v>532</v>
      </c>
      <c r="CI36">
        <v>770</v>
      </c>
      <c r="CJ36">
        <v>20</v>
      </c>
      <c r="CK36">
        <v>10640</v>
      </c>
      <c r="CL36">
        <v>10640</v>
      </c>
      <c r="CM36">
        <v>1409</v>
      </c>
      <c r="CN36">
        <v>1409</v>
      </c>
      <c r="CO36">
        <v>24</v>
      </c>
      <c r="CP36">
        <v>2500000</v>
      </c>
      <c r="CQ36">
        <v>0</v>
      </c>
      <c r="CR36">
        <v>1</v>
      </c>
      <c r="CS36">
        <v>0</v>
      </c>
      <c r="CT36">
        <v>10.739348370927319</v>
      </c>
      <c r="CU36">
        <v>104166</v>
      </c>
      <c r="CV36">
        <v>84</v>
      </c>
      <c r="CW36">
        <v>8000000</v>
      </c>
      <c r="CX36">
        <v>1</v>
      </c>
      <c r="CY36">
        <v>1</v>
      </c>
      <c r="CZ36">
        <v>0</v>
      </c>
      <c r="DA36">
        <v>31.328320802005013</v>
      </c>
      <c r="DB36">
        <v>95238.095238095237</v>
      </c>
      <c r="DD36" t="s">
        <v>788</v>
      </c>
      <c r="DE36">
        <v>42</v>
      </c>
    </row>
    <row r="37" spans="1:109">
      <c r="A37">
        <v>44</v>
      </c>
      <c r="B37" t="s">
        <v>816</v>
      </c>
      <c r="C37" t="s">
        <v>77</v>
      </c>
      <c r="E37" t="s">
        <v>43</v>
      </c>
      <c r="H37">
        <v>4</v>
      </c>
      <c r="I37" t="s">
        <v>283</v>
      </c>
      <c r="J37">
        <v>2.25</v>
      </c>
      <c r="K37">
        <v>0.2</v>
      </c>
      <c r="L37">
        <v>0.6875</v>
      </c>
      <c r="M37">
        <v>30</v>
      </c>
      <c r="N37" t="s">
        <v>47</v>
      </c>
      <c r="O37" t="s">
        <v>98</v>
      </c>
      <c r="P37">
        <v>0</v>
      </c>
      <c r="Q37">
        <v>0</v>
      </c>
      <c r="R37">
        <v>0</v>
      </c>
      <c r="S37">
        <v>0</v>
      </c>
      <c r="T37">
        <v>0</v>
      </c>
      <c r="U37">
        <v>0</v>
      </c>
      <c r="V37">
        <v>0</v>
      </c>
      <c r="W37">
        <v>0</v>
      </c>
      <c r="X37">
        <v>0</v>
      </c>
      <c r="Y37">
        <v>0</v>
      </c>
      <c r="Z37">
        <v>0</v>
      </c>
      <c r="AA37">
        <v>0</v>
      </c>
      <c r="AB37">
        <v>0</v>
      </c>
      <c r="AC37">
        <v>0</v>
      </c>
      <c r="AD37">
        <v>121</v>
      </c>
      <c r="AE37">
        <v>176</v>
      </c>
      <c r="AF37">
        <v>4</v>
      </c>
      <c r="AG37">
        <v>484</v>
      </c>
      <c r="AH37">
        <v>1089</v>
      </c>
      <c r="AI37">
        <v>96</v>
      </c>
      <c r="AJ37">
        <v>217</v>
      </c>
      <c r="AK37">
        <v>7</v>
      </c>
      <c r="AL37">
        <v>0</v>
      </c>
      <c r="AM37">
        <v>0</v>
      </c>
      <c r="AN37">
        <v>0</v>
      </c>
      <c r="AO37">
        <v>0</v>
      </c>
      <c r="AP37">
        <v>0</v>
      </c>
      <c r="AQ37">
        <v>0</v>
      </c>
      <c r="AR37">
        <v>181</v>
      </c>
      <c r="AS37">
        <v>264</v>
      </c>
      <c r="AT37">
        <v>4</v>
      </c>
      <c r="AU37">
        <v>724</v>
      </c>
      <c r="AV37">
        <v>1629</v>
      </c>
      <c r="AW37">
        <v>144</v>
      </c>
      <c r="AX37">
        <v>325</v>
      </c>
      <c r="AY37">
        <v>2</v>
      </c>
      <c r="AZ37">
        <v>500000</v>
      </c>
      <c r="BA37">
        <v>0</v>
      </c>
      <c r="BB37">
        <v>0</v>
      </c>
      <c r="BC37">
        <v>0</v>
      </c>
      <c r="BD37">
        <v>28.831031307550646</v>
      </c>
      <c r="BE37">
        <v>250000</v>
      </c>
      <c r="BF37">
        <v>211</v>
      </c>
      <c r="BG37">
        <v>308</v>
      </c>
      <c r="BH37">
        <v>4</v>
      </c>
      <c r="BI37">
        <v>844</v>
      </c>
      <c r="BJ37">
        <v>1899</v>
      </c>
      <c r="BK37">
        <v>168</v>
      </c>
      <c r="BL37">
        <v>379</v>
      </c>
      <c r="BM37">
        <v>4</v>
      </c>
      <c r="BN37">
        <v>750000</v>
      </c>
      <c r="BO37">
        <v>0</v>
      </c>
      <c r="BP37">
        <v>1</v>
      </c>
      <c r="BQ37">
        <v>0</v>
      </c>
      <c r="BR37">
        <v>37.169036334913109</v>
      </c>
      <c r="BS37">
        <v>187500</v>
      </c>
      <c r="BT37">
        <v>229</v>
      </c>
      <c r="BU37">
        <v>334</v>
      </c>
      <c r="BV37">
        <v>4</v>
      </c>
      <c r="BW37">
        <v>916</v>
      </c>
      <c r="BX37">
        <v>2061</v>
      </c>
      <c r="BY37">
        <v>183</v>
      </c>
      <c r="BZ37">
        <v>412</v>
      </c>
      <c r="CA37">
        <v>6</v>
      </c>
      <c r="CB37">
        <v>1000000</v>
      </c>
      <c r="CC37">
        <v>0</v>
      </c>
      <c r="CD37">
        <v>0</v>
      </c>
      <c r="CE37">
        <v>0</v>
      </c>
      <c r="CF37">
        <v>45.717976710334788</v>
      </c>
      <c r="CG37">
        <v>166666</v>
      </c>
      <c r="CH37">
        <v>242</v>
      </c>
      <c r="CI37">
        <v>352</v>
      </c>
      <c r="CJ37">
        <v>4</v>
      </c>
      <c r="CK37">
        <v>968</v>
      </c>
      <c r="CL37">
        <v>2178</v>
      </c>
      <c r="CM37">
        <v>193</v>
      </c>
      <c r="CN37">
        <v>435</v>
      </c>
      <c r="CO37">
        <v>7</v>
      </c>
      <c r="CP37">
        <v>1250000</v>
      </c>
      <c r="CQ37">
        <v>0</v>
      </c>
      <c r="CR37">
        <v>0</v>
      </c>
      <c r="CS37">
        <v>1</v>
      </c>
      <c r="CT37">
        <v>54.081095041322321</v>
      </c>
      <c r="CU37">
        <v>178571</v>
      </c>
      <c r="CV37">
        <v>26</v>
      </c>
      <c r="CW37">
        <v>3500000</v>
      </c>
      <c r="CX37">
        <v>0</v>
      </c>
      <c r="CY37">
        <v>1</v>
      </c>
      <c r="CZ37">
        <v>1</v>
      </c>
      <c r="DA37">
        <v>150.65426997245177</v>
      </c>
      <c r="DB37">
        <v>134615.38461538462</v>
      </c>
      <c r="DD37" t="s">
        <v>816</v>
      </c>
      <c r="DE37">
        <v>44</v>
      </c>
    </row>
    <row r="38" spans="1:109">
      <c r="A38">
        <v>45</v>
      </c>
      <c r="B38" t="s">
        <v>749</v>
      </c>
      <c r="C38" t="s">
        <v>54</v>
      </c>
      <c r="E38" t="s">
        <v>43</v>
      </c>
      <c r="F38" t="s">
        <v>43</v>
      </c>
      <c r="H38">
        <v>5</v>
      </c>
      <c r="I38" t="s">
        <v>283</v>
      </c>
      <c r="J38">
        <v>3</v>
      </c>
      <c r="K38">
        <v>7.4999999999999997E-2</v>
      </c>
      <c r="L38">
        <v>2.88</v>
      </c>
      <c r="M38">
        <v>30</v>
      </c>
      <c r="N38" t="s">
        <v>47</v>
      </c>
      <c r="O38" t="s">
        <v>98</v>
      </c>
      <c r="P38">
        <v>0</v>
      </c>
      <c r="Q38">
        <v>0</v>
      </c>
      <c r="R38">
        <v>0</v>
      </c>
      <c r="S38">
        <v>0</v>
      </c>
      <c r="T38">
        <v>0</v>
      </c>
      <c r="U38">
        <v>0</v>
      </c>
      <c r="V38">
        <v>0</v>
      </c>
      <c r="W38">
        <v>0</v>
      </c>
      <c r="X38">
        <v>0</v>
      </c>
      <c r="Y38">
        <v>0</v>
      </c>
      <c r="Z38">
        <v>0</v>
      </c>
      <c r="AA38">
        <v>0</v>
      </c>
      <c r="AB38">
        <v>0</v>
      </c>
      <c r="AC38">
        <v>0</v>
      </c>
      <c r="AD38">
        <v>360</v>
      </c>
      <c r="AE38">
        <v>125</v>
      </c>
      <c r="AF38">
        <v>5</v>
      </c>
      <c r="AG38">
        <v>1800</v>
      </c>
      <c r="AH38">
        <v>5400</v>
      </c>
      <c r="AI38">
        <v>135</v>
      </c>
      <c r="AJ38">
        <v>405</v>
      </c>
      <c r="AK38">
        <v>15</v>
      </c>
      <c r="AL38">
        <v>0</v>
      </c>
      <c r="AM38">
        <v>0</v>
      </c>
      <c r="AN38">
        <v>0</v>
      </c>
      <c r="AO38">
        <v>0</v>
      </c>
      <c r="AP38">
        <v>0</v>
      </c>
      <c r="AQ38">
        <v>0</v>
      </c>
      <c r="AR38">
        <v>540</v>
      </c>
      <c r="AS38">
        <v>187</v>
      </c>
      <c r="AT38">
        <v>5</v>
      </c>
      <c r="AU38">
        <v>2700</v>
      </c>
      <c r="AV38">
        <v>8100</v>
      </c>
      <c r="AW38">
        <v>202</v>
      </c>
      <c r="AX38">
        <v>607</v>
      </c>
      <c r="AY38">
        <v>4</v>
      </c>
      <c r="AZ38">
        <v>500000</v>
      </c>
      <c r="BA38">
        <v>0</v>
      </c>
      <c r="BB38">
        <v>0</v>
      </c>
      <c r="BC38">
        <v>0</v>
      </c>
      <c r="BD38">
        <v>7.8271604938271606</v>
      </c>
      <c r="BE38">
        <v>125000</v>
      </c>
      <c r="BF38">
        <v>630</v>
      </c>
      <c r="BG38">
        <v>218</v>
      </c>
      <c r="BH38">
        <v>5</v>
      </c>
      <c r="BI38">
        <v>3150</v>
      </c>
      <c r="BJ38">
        <v>9450</v>
      </c>
      <c r="BK38">
        <v>236</v>
      </c>
      <c r="BL38">
        <v>708</v>
      </c>
      <c r="BM38">
        <v>8</v>
      </c>
      <c r="BN38">
        <v>750000</v>
      </c>
      <c r="BO38">
        <v>0</v>
      </c>
      <c r="BP38">
        <v>1</v>
      </c>
      <c r="BQ38">
        <v>0</v>
      </c>
      <c r="BR38">
        <v>10.206349206349207</v>
      </c>
      <c r="BS38">
        <v>93750</v>
      </c>
      <c r="BT38">
        <v>684</v>
      </c>
      <c r="BU38">
        <v>237</v>
      </c>
      <c r="BV38">
        <v>5</v>
      </c>
      <c r="BW38">
        <v>3420</v>
      </c>
      <c r="BX38">
        <v>10260</v>
      </c>
      <c r="BY38">
        <v>256</v>
      </c>
      <c r="BZ38">
        <v>769</v>
      </c>
      <c r="CA38">
        <v>12</v>
      </c>
      <c r="CB38">
        <v>1000000</v>
      </c>
      <c r="CC38">
        <v>0</v>
      </c>
      <c r="CD38">
        <v>0</v>
      </c>
      <c r="CE38">
        <v>0</v>
      </c>
      <c r="CF38">
        <v>12.643762183235866</v>
      </c>
      <c r="CG38">
        <v>83333</v>
      </c>
      <c r="CH38">
        <v>720</v>
      </c>
      <c r="CI38">
        <v>250</v>
      </c>
      <c r="CJ38">
        <v>6</v>
      </c>
      <c r="CK38">
        <v>4320</v>
      </c>
      <c r="CL38">
        <v>12960</v>
      </c>
      <c r="CM38">
        <v>324</v>
      </c>
      <c r="CN38">
        <v>972</v>
      </c>
      <c r="CO38">
        <v>15</v>
      </c>
      <c r="CP38">
        <v>1250000</v>
      </c>
      <c r="CQ38">
        <v>0</v>
      </c>
      <c r="CR38">
        <v>0</v>
      </c>
      <c r="CS38">
        <v>1</v>
      </c>
      <c r="CT38">
        <v>12.551118827160494</v>
      </c>
      <c r="CU38">
        <v>83333</v>
      </c>
      <c r="CV38">
        <v>54</v>
      </c>
      <c r="CW38">
        <v>3500000</v>
      </c>
      <c r="CX38">
        <v>0</v>
      </c>
      <c r="CY38">
        <v>1</v>
      </c>
      <c r="CZ38">
        <v>1</v>
      </c>
      <c r="DA38">
        <v>33.757716049382715</v>
      </c>
      <c r="DB38">
        <v>64814.814814814818</v>
      </c>
      <c r="DD38" t="s">
        <v>749</v>
      </c>
      <c r="DE38">
        <v>45</v>
      </c>
    </row>
    <row r="39" spans="1:109">
      <c r="A39">
        <v>46</v>
      </c>
      <c r="B39" t="s">
        <v>826</v>
      </c>
      <c r="C39" t="s">
        <v>42</v>
      </c>
      <c r="E39" t="s">
        <v>43</v>
      </c>
      <c r="F39" t="s">
        <v>43</v>
      </c>
      <c r="H39">
        <v>3</v>
      </c>
      <c r="I39" t="s">
        <v>268</v>
      </c>
      <c r="J39">
        <v>4</v>
      </c>
      <c r="K39">
        <v>0.1</v>
      </c>
      <c r="L39">
        <v>1.0857142857142856</v>
      </c>
      <c r="M39">
        <v>30</v>
      </c>
      <c r="N39" t="s">
        <v>47</v>
      </c>
      <c r="O39" t="s">
        <v>98</v>
      </c>
      <c r="P39">
        <v>0</v>
      </c>
      <c r="Q39">
        <v>0</v>
      </c>
      <c r="R39">
        <v>0</v>
      </c>
      <c r="S39">
        <v>0</v>
      </c>
      <c r="T39">
        <v>0</v>
      </c>
      <c r="U39">
        <v>0</v>
      </c>
      <c r="V39">
        <v>0</v>
      </c>
      <c r="W39">
        <v>0</v>
      </c>
      <c r="X39">
        <v>0</v>
      </c>
      <c r="Y39">
        <v>0</v>
      </c>
      <c r="Z39">
        <v>0</v>
      </c>
      <c r="AA39">
        <v>0</v>
      </c>
      <c r="AB39">
        <v>0</v>
      </c>
      <c r="AC39">
        <v>0</v>
      </c>
      <c r="AD39">
        <v>190</v>
      </c>
      <c r="AE39">
        <v>175</v>
      </c>
      <c r="AF39">
        <v>4</v>
      </c>
      <c r="AG39">
        <v>760</v>
      </c>
      <c r="AH39">
        <v>3040</v>
      </c>
      <c r="AI39">
        <v>76</v>
      </c>
      <c r="AJ39">
        <v>304</v>
      </c>
      <c r="AK39">
        <v>96</v>
      </c>
      <c r="AL39">
        <v>800000</v>
      </c>
      <c r="AM39">
        <v>0</v>
      </c>
      <c r="AN39">
        <v>0</v>
      </c>
      <c r="AO39">
        <v>0</v>
      </c>
      <c r="AP39">
        <v>43.859649122807014</v>
      </c>
      <c r="AQ39">
        <v>8333</v>
      </c>
      <c r="AR39">
        <v>285</v>
      </c>
      <c r="AS39">
        <v>262</v>
      </c>
      <c r="AT39">
        <v>4</v>
      </c>
      <c r="AU39">
        <v>1140</v>
      </c>
      <c r="AV39">
        <v>4560</v>
      </c>
      <c r="AW39">
        <v>114</v>
      </c>
      <c r="AX39">
        <v>456</v>
      </c>
      <c r="AY39">
        <v>24</v>
      </c>
      <c r="AZ39">
        <v>800000</v>
      </c>
      <c r="BA39">
        <v>0</v>
      </c>
      <c r="BB39">
        <v>0</v>
      </c>
      <c r="BC39">
        <v>0</v>
      </c>
      <c r="BD39">
        <v>29.906432748538013</v>
      </c>
      <c r="BE39">
        <v>33333</v>
      </c>
      <c r="BF39">
        <v>332</v>
      </c>
      <c r="BG39">
        <v>306</v>
      </c>
      <c r="BH39">
        <v>4</v>
      </c>
      <c r="BI39">
        <v>1328</v>
      </c>
      <c r="BJ39">
        <v>5312</v>
      </c>
      <c r="BK39">
        <v>132</v>
      </c>
      <c r="BL39">
        <v>531</v>
      </c>
      <c r="BM39">
        <v>48</v>
      </c>
      <c r="BN39">
        <v>1200000</v>
      </c>
      <c r="BO39">
        <v>1</v>
      </c>
      <c r="BP39">
        <v>0</v>
      </c>
      <c r="BQ39">
        <v>0</v>
      </c>
      <c r="BR39">
        <v>39.367469879518076</v>
      </c>
      <c r="BS39">
        <v>25000</v>
      </c>
      <c r="BT39">
        <v>361</v>
      </c>
      <c r="BU39">
        <v>332</v>
      </c>
      <c r="BV39">
        <v>4</v>
      </c>
      <c r="BW39">
        <v>1444</v>
      </c>
      <c r="BX39">
        <v>5776</v>
      </c>
      <c r="BY39">
        <v>144</v>
      </c>
      <c r="BZ39">
        <v>577</v>
      </c>
      <c r="CA39">
        <v>72</v>
      </c>
      <c r="CB39">
        <v>1600000</v>
      </c>
      <c r="CC39">
        <v>0</v>
      </c>
      <c r="CD39">
        <v>0</v>
      </c>
      <c r="CE39">
        <v>0</v>
      </c>
      <c r="CF39">
        <v>48.927054478301017</v>
      </c>
      <c r="CG39">
        <v>22222</v>
      </c>
      <c r="CH39">
        <v>380</v>
      </c>
      <c r="CI39">
        <v>350</v>
      </c>
      <c r="CJ39">
        <v>4</v>
      </c>
      <c r="CK39">
        <v>1520</v>
      </c>
      <c r="CL39">
        <v>6080</v>
      </c>
      <c r="CM39">
        <v>152</v>
      </c>
      <c r="CN39">
        <v>608</v>
      </c>
      <c r="CO39">
        <v>96</v>
      </c>
      <c r="CP39">
        <v>2000000</v>
      </c>
      <c r="CQ39">
        <v>0</v>
      </c>
      <c r="CR39">
        <v>1</v>
      </c>
      <c r="CS39">
        <v>0</v>
      </c>
      <c r="CT39">
        <v>58.624561403508771</v>
      </c>
      <c r="CU39">
        <v>20833</v>
      </c>
      <c r="CV39">
        <v>336</v>
      </c>
      <c r="CW39">
        <v>6400000</v>
      </c>
      <c r="CX39">
        <v>1</v>
      </c>
      <c r="CY39">
        <v>1</v>
      </c>
      <c r="CZ39">
        <v>0</v>
      </c>
      <c r="DA39">
        <v>175.43859649122805</v>
      </c>
      <c r="DB39">
        <v>19047.619047619046</v>
      </c>
      <c r="DD39" t="s">
        <v>826</v>
      </c>
      <c r="DE39">
        <v>46</v>
      </c>
    </row>
    <row r="40" spans="1:109">
      <c r="A40">
        <v>47</v>
      </c>
      <c r="B40" t="s">
        <v>768</v>
      </c>
      <c r="C40" t="s">
        <v>48</v>
      </c>
      <c r="E40" t="s">
        <v>43</v>
      </c>
      <c r="H40">
        <v>4</v>
      </c>
      <c r="I40" t="s">
        <v>283</v>
      </c>
      <c r="J40">
        <v>8</v>
      </c>
      <c r="K40">
        <v>2.5000000000000001E-2</v>
      </c>
      <c r="L40">
        <v>4.4444444444444446</v>
      </c>
      <c r="M40">
        <v>30</v>
      </c>
      <c r="N40" t="s">
        <v>47</v>
      </c>
      <c r="O40" t="s">
        <v>98</v>
      </c>
      <c r="P40">
        <v>0</v>
      </c>
      <c r="Q40">
        <v>0</v>
      </c>
      <c r="R40">
        <v>0</v>
      </c>
      <c r="S40">
        <v>0</v>
      </c>
      <c r="T40">
        <v>0</v>
      </c>
      <c r="U40">
        <v>0</v>
      </c>
      <c r="V40">
        <v>0</v>
      </c>
      <c r="W40">
        <v>0</v>
      </c>
      <c r="X40">
        <v>0</v>
      </c>
      <c r="Y40">
        <v>0</v>
      </c>
      <c r="Z40">
        <v>0</v>
      </c>
      <c r="AA40">
        <v>0</v>
      </c>
      <c r="AB40">
        <v>0</v>
      </c>
      <c r="AC40">
        <v>0</v>
      </c>
      <c r="AD40">
        <v>400</v>
      </c>
      <c r="AE40">
        <v>90</v>
      </c>
      <c r="AF40">
        <v>4</v>
      </c>
      <c r="AG40">
        <v>1600</v>
      </c>
      <c r="AH40">
        <v>12800</v>
      </c>
      <c r="AI40">
        <v>40</v>
      </c>
      <c r="AJ40">
        <v>320</v>
      </c>
      <c r="AK40">
        <v>8</v>
      </c>
      <c r="AL40">
        <v>0</v>
      </c>
      <c r="AM40">
        <v>0</v>
      </c>
      <c r="AN40">
        <v>0</v>
      </c>
      <c r="AO40">
        <v>0</v>
      </c>
      <c r="AP40">
        <v>0</v>
      </c>
      <c r="AQ40">
        <v>0</v>
      </c>
      <c r="AR40">
        <v>600</v>
      </c>
      <c r="AS40">
        <v>135</v>
      </c>
      <c r="AT40">
        <v>4</v>
      </c>
      <c r="AU40">
        <v>2400</v>
      </c>
      <c r="AV40">
        <v>19200</v>
      </c>
      <c r="AW40">
        <v>60</v>
      </c>
      <c r="AX40">
        <v>480</v>
      </c>
      <c r="AY40">
        <v>2</v>
      </c>
      <c r="AZ40">
        <v>800000</v>
      </c>
      <c r="BA40">
        <v>0</v>
      </c>
      <c r="BB40">
        <v>0</v>
      </c>
      <c r="BC40">
        <v>0</v>
      </c>
      <c r="BD40">
        <v>13.944444444444445</v>
      </c>
      <c r="BE40">
        <v>400000</v>
      </c>
      <c r="BF40">
        <v>700</v>
      </c>
      <c r="BG40">
        <v>157</v>
      </c>
      <c r="BH40">
        <v>4</v>
      </c>
      <c r="BI40">
        <v>2800</v>
      </c>
      <c r="BJ40">
        <v>22400</v>
      </c>
      <c r="BK40">
        <v>70</v>
      </c>
      <c r="BL40">
        <v>560</v>
      </c>
      <c r="BM40">
        <v>4</v>
      </c>
      <c r="BN40">
        <v>1200000</v>
      </c>
      <c r="BO40">
        <v>0</v>
      </c>
      <c r="BP40">
        <v>1</v>
      </c>
      <c r="BQ40">
        <v>0</v>
      </c>
      <c r="BR40">
        <v>18</v>
      </c>
      <c r="BS40">
        <v>300000</v>
      </c>
      <c r="BT40">
        <v>760</v>
      </c>
      <c r="BU40">
        <v>171</v>
      </c>
      <c r="BV40">
        <v>4</v>
      </c>
      <c r="BW40">
        <v>3040</v>
      </c>
      <c r="BX40">
        <v>24320</v>
      </c>
      <c r="BY40">
        <v>76</v>
      </c>
      <c r="BZ40">
        <v>608</v>
      </c>
      <c r="CA40">
        <v>6</v>
      </c>
      <c r="CB40">
        <v>1600000</v>
      </c>
      <c r="CC40">
        <v>0</v>
      </c>
      <c r="CD40">
        <v>0</v>
      </c>
      <c r="CE40">
        <v>0</v>
      </c>
      <c r="CF40">
        <v>22.160087719298247</v>
      </c>
      <c r="CG40">
        <v>266666</v>
      </c>
      <c r="CH40">
        <v>800</v>
      </c>
      <c r="CI40">
        <v>180</v>
      </c>
      <c r="CJ40">
        <v>4</v>
      </c>
      <c r="CK40">
        <v>3200</v>
      </c>
      <c r="CL40">
        <v>25600</v>
      </c>
      <c r="CM40">
        <v>80</v>
      </c>
      <c r="CN40">
        <v>640</v>
      </c>
      <c r="CO40">
        <v>8</v>
      </c>
      <c r="CP40">
        <v>2000000</v>
      </c>
      <c r="CQ40">
        <v>0</v>
      </c>
      <c r="CR40">
        <v>0</v>
      </c>
      <c r="CS40">
        <v>1</v>
      </c>
      <c r="CT40">
        <v>26.358333333333334</v>
      </c>
      <c r="CU40">
        <v>250000</v>
      </c>
      <c r="CV40">
        <v>28</v>
      </c>
      <c r="CW40">
        <v>5600000</v>
      </c>
      <c r="CX40">
        <v>0</v>
      </c>
      <c r="CY40">
        <v>1</v>
      </c>
      <c r="CZ40">
        <v>1</v>
      </c>
      <c r="DA40">
        <v>72.916666666666671</v>
      </c>
      <c r="DB40">
        <v>200000</v>
      </c>
      <c r="DD40" t="s">
        <v>768</v>
      </c>
      <c r="DE40">
        <v>47</v>
      </c>
    </row>
    <row r="41" spans="1:109">
      <c r="A41">
        <v>47</v>
      </c>
      <c r="B41" t="s">
        <v>827</v>
      </c>
      <c r="C41" t="s">
        <v>48</v>
      </c>
      <c r="E41" t="s">
        <v>43</v>
      </c>
      <c r="H41">
        <v>4</v>
      </c>
      <c r="I41" t="s">
        <v>282</v>
      </c>
      <c r="J41">
        <v>6</v>
      </c>
      <c r="K41">
        <v>2.5000000000000001E-2</v>
      </c>
      <c r="L41">
        <v>3.75</v>
      </c>
      <c r="M41">
        <v>100</v>
      </c>
      <c r="N41">
        <v>42139</v>
      </c>
      <c r="O41" t="s">
        <v>98</v>
      </c>
      <c r="P41">
        <v>0</v>
      </c>
      <c r="Q41">
        <v>0</v>
      </c>
      <c r="R41">
        <v>0</v>
      </c>
      <c r="S41">
        <v>0</v>
      </c>
      <c r="T41">
        <v>0</v>
      </c>
      <c r="U41">
        <v>0</v>
      </c>
      <c r="V41">
        <v>0</v>
      </c>
      <c r="W41">
        <v>0</v>
      </c>
      <c r="X41">
        <v>0</v>
      </c>
      <c r="Y41">
        <v>0</v>
      </c>
      <c r="Z41">
        <v>0</v>
      </c>
      <c r="AA41">
        <v>0</v>
      </c>
      <c r="AB41">
        <v>0</v>
      </c>
      <c r="AC41">
        <v>0</v>
      </c>
      <c r="AD41">
        <v>300</v>
      </c>
      <c r="AE41">
        <v>80</v>
      </c>
      <c r="AF41">
        <v>4</v>
      </c>
      <c r="AG41">
        <v>1200</v>
      </c>
      <c r="AH41">
        <v>7200</v>
      </c>
      <c r="AI41">
        <v>30</v>
      </c>
      <c r="AJ41">
        <v>180</v>
      </c>
      <c r="AK41">
        <v>8</v>
      </c>
      <c r="AL41">
        <v>0</v>
      </c>
      <c r="AM41">
        <v>0</v>
      </c>
      <c r="AN41">
        <v>0</v>
      </c>
      <c r="AO41">
        <v>0</v>
      </c>
      <c r="AP41">
        <v>0</v>
      </c>
      <c r="AQ41">
        <v>0</v>
      </c>
      <c r="AR41">
        <v>450</v>
      </c>
      <c r="AS41">
        <v>120</v>
      </c>
      <c r="AT41">
        <v>4</v>
      </c>
      <c r="AU41">
        <v>1800</v>
      </c>
      <c r="AV41">
        <v>10800</v>
      </c>
      <c r="AW41">
        <v>45</v>
      </c>
      <c r="AX41">
        <v>270</v>
      </c>
      <c r="AY41">
        <v>3</v>
      </c>
      <c r="AZ41">
        <v>300000</v>
      </c>
      <c r="BA41">
        <v>0</v>
      </c>
      <c r="BB41">
        <v>0</v>
      </c>
      <c r="BC41">
        <v>0</v>
      </c>
      <c r="BD41">
        <v>7.0277777777777777</v>
      </c>
      <c r="BE41">
        <v>100000</v>
      </c>
      <c r="BF41">
        <v>525</v>
      </c>
      <c r="BG41">
        <v>140</v>
      </c>
      <c r="BH41">
        <v>4</v>
      </c>
      <c r="BI41">
        <v>2100</v>
      </c>
      <c r="BJ41">
        <v>12600</v>
      </c>
      <c r="BK41">
        <v>52</v>
      </c>
      <c r="BL41">
        <v>315</v>
      </c>
      <c r="BM41">
        <v>6</v>
      </c>
      <c r="BN41">
        <v>450000</v>
      </c>
      <c r="BO41">
        <v>0</v>
      </c>
      <c r="BP41">
        <v>1</v>
      </c>
      <c r="BQ41">
        <v>0</v>
      </c>
      <c r="BR41">
        <v>9.1428571428571423</v>
      </c>
      <c r="BS41">
        <v>75000</v>
      </c>
      <c r="BT41">
        <v>570</v>
      </c>
      <c r="BU41">
        <v>152</v>
      </c>
      <c r="BV41">
        <v>4</v>
      </c>
      <c r="BW41">
        <v>2280</v>
      </c>
      <c r="BX41">
        <v>13680</v>
      </c>
      <c r="BY41">
        <v>57</v>
      </c>
      <c r="BZ41">
        <v>342</v>
      </c>
      <c r="CA41">
        <v>9</v>
      </c>
      <c r="CB41">
        <v>600000</v>
      </c>
      <c r="CC41">
        <v>0</v>
      </c>
      <c r="CD41">
        <v>0</v>
      </c>
      <c r="CE41">
        <v>0</v>
      </c>
      <c r="CF41">
        <v>11.310307017543861</v>
      </c>
      <c r="CG41">
        <v>66666</v>
      </c>
      <c r="CH41">
        <v>600</v>
      </c>
      <c r="CI41">
        <v>160</v>
      </c>
      <c r="CJ41">
        <v>4</v>
      </c>
      <c r="CK41">
        <v>2400</v>
      </c>
      <c r="CL41">
        <v>14400</v>
      </c>
      <c r="CM41">
        <v>60</v>
      </c>
      <c r="CN41">
        <v>360</v>
      </c>
      <c r="CO41">
        <v>12</v>
      </c>
      <c r="CP41">
        <v>750000</v>
      </c>
      <c r="CQ41">
        <v>0</v>
      </c>
      <c r="CR41">
        <v>0</v>
      </c>
      <c r="CS41">
        <v>1</v>
      </c>
      <c r="CT41">
        <v>13.495833333333332</v>
      </c>
      <c r="CU41">
        <v>62500</v>
      </c>
      <c r="CV41">
        <v>38</v>
      </c>
      <c r="CW41">
        <v>2100000</v>
      </c>
      <c r="CX41">
        <v>0</v>
      </c>
      <c r="CY41">
        <v>1</v>
      </c>
      <c r="CZ41">
        <v>1</v>
      </c>
      <c r="DA41">
        <v>36.458333333333336</v>
      </c>
      <c r="DB41">
        <v>55263.15789473684</v>
      </c>
      <c r="DD41" t="s">
        <v>827</v>
      </c>
      <c r="DE41">
        <v>47</v>
      </c>
    </row>
    <row r="42" spans="1:109">
      <c r="A42">
        <v>48</v>
      </c>
      <c r="B42" t="s">
        <v>85</v>
      </c>
      <c r="C42" t="s">
        <v>48</v>
      </c>
      <c r="D42" t="s">
        <v>43</v>
      </c>
      <c r="E42" t="s">
        <v>43</v>
      </c>
      <c r="H42">
        <v>4</v>
      </c>
      <c r="I42" t="s">
        <v>268</v>
      </c>
      <c r="J42">
        <v>8</v>
      </c>
      <c r="K42">
        <v>2.5000000000000001E-2</v>
      </c>
      <c r="L42">
        <v>4.3428571428571425</v>
      </c>
      <c r="M42">
        <v>30</v>
      </c>
      <c r="N42" t="s">
        <v>47</v>
      </c>
      <c r="O42" t="s">
        <v>98</v>
      </c>
      <c r="P42">
        <v>0</v>
      </c>
      <c r="Q42">
        <v>0</v>
      </c>
      <c r="R42">
        <v>0</v>
      </c>
      <c r="S42">
        <v>0</v>
      </c>
      <c r="T42">
        <v>0</v>
      </c>
      <c r="U42">
        <v>0</v>
      </c>
      <c r="V42">
        <v>0</v>
      </c>
      <c r="W42">
        <v>0</v>
      </c>
      <c r="X42">
        <v>0</v>
      </c>
      <c r="Y42">
        <v>0</v>
      </c>
      <c r="Z42">
        <v>0</v>
      </c>
      <c r="AA42">
        <v>0</v>
      </c>
      <c r="AB42">
        <v>0</v>
      </c>
      <c r="AC42">
        <v>0</v>
      </c>
      <c r="AD42">
        <v>760</v>
      </c>
      <c r="AE42">
        <v>175</v>
      </c>
      <c r="AF42">
        <v>8</v>
      </c>
      <c r="AG42">
        <v>6080</v>
      </c>
      <c r="AH42">
        <v>48640</v>
      </c>
      <c r="AI42">
        <v>152</v>
      </c>
      <c r="AJ42">
        <v>1216</v>
      </c>
      <c r="AK42">
        <v>120</v>
      </c>
      <c r="AL42">
        <v>3000000</v>
      </c>
      <c r="AM42">
        <v>0</v>
      </c>
      <c r="AN42">
        <v>0</v>
      </c>
      <c r="AO42">
        <v>0</v>
      </c>
      <c r="AP42">
        <v>20.559210526315791</v>
      </c>
      <c r="AQ42">
        <v>25000</v>
      </c>
      <c r="AR42">
        <v>1140</v>
      </c>
      <c r="AS42">
        <v>262</v>
      </c>
      <c r="AT42">
        <v>8</v>
      </c>
      <c r="AU42">
        <v>9120</v>
      </c>
      <c r="AV42">
        <v>72960</v>
      </c>
      <c r="AW42">
        <v>228</v>
      </c>
      <c r="AX42">
        <v>1824</v>
      </c>
      <c r="AY42">
        <v>30</v>
      </c>
      <c r="AZ42">
        <v>3000000</v>
      </c>
      <c r="BA42">
        <v>0</v>
      </c>
      <c r="BB42">
        <v>0</v>
      </c>
      <c r="BC42">
        <v>0</v>
      </c>
      <c r="BD42">
        <v>14.539473684210527</v>
      </c>
      <c r="BE42">
        <v>100000</v>
      </c>
      <c r="BF42">
        <v>1330</v>
      </c>
      <c r="BG42">
        <v>306</v>
      </c>
      <c r="BH42">
        <v>9</v>
      </c>
      <c r="BI42">
        <v>11970</v>
      </c>
      <c r="BJ42">
        <v>95760</v>
      </c>
      <c r="BK42">
        <v>299</v>
      </c>
      <c r="BL42">
        <v>2394</v>
      </c>
      <c r="BM42">
        <v>60</v>
      </c>
      <c r="BN42">
        <v>4500000</v>
      </c>
      <c r="BO42">
        <v>1</v>
      </c>
      <c r="BP42">
        <v>0</v>
      </c>
      <c r="BQ42">
        <v>0</v>
      </c>
      <c r="BR42">
        <v>17.56892230576441</v>
      </c>
      <c r="BS42">
        <v>75000</v>
      </c>
      <c r="BT42">
        <v>1444</v>
      </c>
      <c r="BU42">
        <v>332</v>
      </c>
      <c r="BV42">
        <v>9</v>
      </c>
      <c r="BW42">
        <v>12996</v>
      </c>
      <c r="BX42">
        <v>103968</v>
      </c>
      <c r="BY42">
        <v>324</v>
      </c>
      <c r="BZ42">
        <v>2599</v>
      </c>
      <c r="CA42">
        <v>90</v>
      </c>
      <c r="CB42">
        <v>6000000</v>
      </c>
      <c r="CC42">
        <v>0</v>
      </c>
      <c r="CD42">
        <v>0</v>
      </c>
      <c r="CE42">
        <v>0</v>
      </c>
      <c r="CF42">
        <v>22.690635580178519</v>
      </c>
      <c r="CG42">
        <v>66666</v>
      </c>
      <c r="CH42">
        <v>1520</v>
      </c>
      <c r="CI42">
        <v>350</v>
      </c>
      <c r="CJ42">
        <v>9</v>
      </c>
      <c r="CK42">
        <v>13680</v>
      </c>
      <c r="CL42">
        <v>109440</v>
      </c>
      <c r="CM42">
        <v>342</v>
      </c>
      <c r="CN42">
        <v>2736</v>
      </c>
      <c r="CO42">
        <v>120</v>
      </c>
      <c r="CP42">
        <v>7500000</v>
      </c>
      <c r="CQ42">
        <v>0</v>
      </c>
      <c r="CR42">
        <v>1</v>
      </c>
      <c r="CS42">
        <v>0</v>
      </c>
      <c r="CT42">
        <v>27.593567251461987</v>
      </c>
      <c r="CU42">
        <v>62500</v>
      </c>
      <c r="CV42">
        <v>420</v>
      </c>
      <c r="CW42">
        <v>24000000</v>
      </c>
      <c r="CX42">
        <v>1</v>
      </c>
      <c r="CY42">
        <v>1</v>
      </c>
      <c r="CZ42">
        <v>0</v>
      </c>
      <c r="DA42">
        <v>73.099415204678365</v>
      </c>
      <c r="DB42">
        <v>57142.857142857145</v>
      </c>
      <c r="DD42" t="s">
        <v>85</v>
      </c>
      <c r="DE42">
        <v>48</v>
      </c>
    </row>
    <row r="43" spans="1:109">
      <c r="A43">
        <v>50</v>
      </c>
      <c r="B43" t="s">
        <v>750</v>
      </c>
      <c r="C43" t="s">
        <v>54</v>
      </c>
      <c r="E43" t="s">
        <v>43</v>
      </c>
      <c r="H43">
        <v>6</v>
      </c>
      <c r="I43" t="s">
        <v>283</v>
      </c>
      <c r="J43">
        <v>3</v>
      </c>
      <c r="K43">
        <v>7.4999999999999997E-2</v>
      </c>
      <c r="L43">
        <v>2.9230769230769229</v>
      </c>
      <c r="M43">
        <v>30</v>
      </c>
      <c r="N43" t="s">
        <v>47</v>
      </c>
      <c r="O43" t="s">
        <v>98</v>
      </c>
      <c r="P43">
        <v>0</v>
      </c>
      <c r="Q43">
        <v>0</v>
      </c>
      <c r="R43">
        <v>0</v>
      </c>
      <c r="S43">
        <v>0</v>
      </c>
      <c r="T43">
        <v>0</v>
      </c>
      <c r="U43">
        <v>0</v>
      </c>
      <c r="V43">
        <v>0</v>
      </c>
      <c r="W43">
        <v>0</v>
      </c>
      <c r="X43">
        <v>0</v>
      </c>
      <c r="Y43">
        <v>0</v>
      </c>
      <c r="Z43">
        <v>0</v>
      </c>
      <c r="AA43">
        <v>0</v>
      </c>
      <c r="AB43">
        <v>0</v>
      </c>
      <c r="AC43">
        <v>0</v>
      </c>
      <c r="AD43">
        <v>380</v>
      </c>
      <c r="AE43">
        <v>130</v>
      </c>
      <c r="AF43">
        <v>6</v>
      </c>
      <c r="AG43">
        <v>2280</v>
      </c>
      <c r="AH43">
        <v>6840</v>
      </c>
      <c r="AI43">
        <v>171</v>
      </c>
      <c r="AJ43">
        <v>513</v>
      </c>
      <c r="AK43">
        <v>24</v>
      </c>
      <c r="AL43">
        <v>0</v>
      </c>
      <c r="AM43">
        <v>0</v>
      </c>
      <c r="AN43">
        <v>0</v>
      </c>
      <c r="AO43">
        <v>0</v>
      </c>
      <c r="AP43">
        <v>0</v>
      </c>
      <c r="AQ43">
        <v>0</v>
      </c>
      <c r="AR43">
        <v>570</v>
      </c>
      <c r="AS43">
        <v>195</v>
      </c>
      <c r="AT43">
        <v>6</v>
      </c>
      <c r="AU43">
        <v>3420</v>
      </c>
      <c r="AV43">
        <v>10260</v>
      </c>
      <c r="AW43">
        <v>256</v>
      </c>
      <c r="AX43">
        <v>769</v>
      </c>
      <c r="AY43">
        <v>6</v>
      </c>
      <c r="AZ43">
        <v>3000000</v>
      </c>
      <c r="BA43">
        <v>0</v>
      </c>
      <c r="BB43">
        <v>0</v>
      </c>
      <c r="BC43">
        <v>0</v>
      </c>
      <c r="BD43">
        <v>36.716374269005847</v>
      </c>
      <c r="BE43">
        <v>500000</v>
      </c>
      <c r="BF43">
        <v>665</v>
      </c>
      <c r="BG43">
        <v>227</v>
      </c>
      <c r="BH43">
        <v>6</v>
      </c>
      <c r="BI43">
        <v>3990</v>
      </c>
      <c r="BJ43">
        <v>11970</v>
      </c>
      <c r="BK43">
        <v>299</v>
      </c>
      <c r="BL43">
        <v>897</v>
      </c>
      <c r="BM43">
        <v>12</v>
      </c>
      <c r="BN43">
        <v>4500000</v>
      </c>
      <c r="BO43">
        <v>0</v>
      </c>
      <c r="BP43">
        <v>1</v>
      </c>
      <c r="BQ43">
        <v>0</v>
      </c>
      <c r="BR43">
        <v>47.421052631578952</v>
      </c>
      <c r="BS43">
        <v>375000</v>
      </c>
      <c r="BT43">
        <v>722</v>
      </c>
      <c r="BU43">
        <v>247</v>
      </c>
      <c r="BV43">
        <v>7</v>
      </c>
      <c r="BW43">
        <v>5054</v>
      </c>
      <c r="BX43">
        <v>15162</v>
      </c>
      <c r="BY43">
        <v>379</v>
      </c>
      <c r="BZ43">
        <v>1137</v>
      </c>
      <c r="CA43">
        <v>18</v>
      </c>
      <c r="CB43">
        <v>6000000</v>
      </c>
      <c r="CC43">
        <v>0</v>
      </c>
      <c r="CD43">
        <v>0</v>
      </c>
      <c r="CE43">
        <v>0</v>
      </c>
      <c r="CF43">
        <v>50.057874950534227</v>
      </c>
      <c r="CG43">
        <v>333333</v>
      </c>
      <c r="CH43">
        <v>760</v>
      </c>
      <c r="CI43">
        <v>260</v>
      </c>
      <c r="CJ43">
        <v>7</v>
      </c>
      <c r="CK43">
        <v>5320</v>
      </c>
      <c r="CL43">
        <v>15960</v>
      </c>
      <c r="CM43">
        <v>399</v>
      </c>
      <c r="CN43">
        <v>1197</v>
      </c>
      <c r="CO43">
        <v>24</v>
      </c>
      <c r="CP43">
        <v>7500000</v>
      </c>
      <c r="CQ43">
        <v>0</v>
      </c>
      <c r="CR43">
        <v>0</v>
      </c>
      <c r="CS43">
        <v>1</v>
      </c>
      <c r="CT43">
        <v>59.690601503759403</v>
      </c>
      <c r="CU43">
        <v>312500</v>
      </c>
      <c r="CV43">
        <v>84</v>
      </c>
      <c r="CW43">
        <v>21000000</v>
      </c>
      <c r="CX43">
        <v>0</v>
      </c>
      <c r="CY43">
        <v>1</v>
      </c>
      <c r="CZ43">
        <v>1</v>
      </c>
      <c r="DA43">
        <v>164.47368421052633</v>
      </c>
      <c r="DB43">
        <v>250000</v>
      </c>
      <c r="DD43" t="s">
        <v>750</v>
      </c>
      <c r="DE43">
        <v>50</v>
      </c>
    </row>
    <row r="44" spans="1:109">
      <c r="A44">
        <v>51</v>
      </c>
      <c r="B44" t="s">
        <v>789</v>
      </c>
      <c r="C44" t="s">
        <v>52</v>
      </c>
      <c r="E44" t="s">
        <v>43</v>
      </c>
      <c r="H44">
        <v>3</v>
      </c>
      <c r="I44" t="s">
        <v>268</v>
      </c>
      <c r="J44">
        <v>1.25</v>
      </c>
      <c r="K44">
        <v>0.13250000000000001</v>
      </c>
      <c r="L44">
        <v>0.88383838383838387</v>
      </c>
      <c r="M44">
        <v>30</v>
      </c>
      <c r="N44" t="s">
        <v>47</v>
      </c>
      <c r="O44" t="s">
        <v>98</v>
      </c>
      <c r="P44">
        <v>0</v>
      </c>
      <c r="Q44">
        <v>0</v>
      </c>
      <c r="R44">
        <v>0</v>
      </c>
      <c r="S44">
        <v>0</v>
      </c>
      <c r="T44">
        <v>0</v>
      </c>
      <c r="U44">
        <v>0</v>
      </c>
      <c r="V44">
        <v>0</v>
      </c>
      <c r="W44">
        <v>0</v>
      </c>
      <c r="X44">
        <v>0</v>
      </c>
      <c r="Y44">
        <v>0</v>
      </c>
      <c r="Z44">
        <v>0</v>
      </c>
      <c r="AA44">
        <v>0</v>
      </c>
      <c r="AB44">
        <v>0</v>
      </c>
      <c r="AC44">
        <v>0</v>
      </c>
      <c r="AD44">
        <v>175</v>
      </c>
      <c r="AE44">
        <v>198</v>
      </c>
      <c r="AF44">
        <v>9</v>
      </c>
      <c r="AG44">
        <v>1575</v>
      </c>
      <c r="AH44">
        <v>1968</v>
      </c>
      <c r="AI44">
        <v>208</v>
      </c>
      <c r="AJ44">
        <v>260</v>
      </c>
      <c r="AK44">
        <v>144</v>
      </c>
      <c r="AL44">
        <v>1300000</v>
      </c>
      <c r="AM44">
        <v>0</v>
      </c>
      <c r="AN44">
        <v>0</v>
      </c>
      <c r="AO44">
        <v>0</v>
      </c>
      <c r="AP44">
        <v>34.391534391534393</v>
      </c>
      <c r="AQ44">
        <v>9027</v>
      </c>
      <c r="AR44">
        <v>262</v>
      </c>
      <c r="AS44">
        <v>297</v>
      </c>
      <c r="AT44">
        <v>9</v>
      </c>
      <c r="AU44">
        <v>2358</v>
      </c>
      <c r="AV44">
        <v>2947</v>
      </c>
      <c r="AW44">
        <v>312</v>
      </c>
      <c r="AX44">
        <v>390</v>
      </c>
      <c r="AY44">
        <v>36</v>
      </c>
      <c r="AZ44">
        <v>1300000</v>
      </c>
      <c r="BA44">
        <v>0</v>
      </c>
      <c r="BB44">
        <v>0</v>
      </c>
      <c r="BC44">
        <v>0</v>
      </c>
      <c r="BD44">
        <v>23.973353124116482</v>
      </c>
      <c r="BE44">
        <v>36111</v>
      </c>
      <c r="BF44">
        <v>306</v>
      </c>
      <c r="BG44">
        <v>346</v>
      </c>
      <c r="BH44">
        <v>10</v>
      </c>
      <c r="BI44">
        <v>3060</v>
      </c>
      <c r="BJ44">
        <v>3825</v>
      </c>
      <c r="BK44">
        <v>405</v>
      </c>
      <c r="BL44">
        <v>506</v>
      </c>
      <c r="BM44">
        <v>72</v>
      </c>
      <c r="BN44">
        <v>1950000</v>
      </c>
      <c r="BO44">
        <v>1</v>
      </c>
      <c r="BP44">
        <v>0</v>
      </c>
      <c r="BQ44">
        <v>0</v>
      </c>
      <c r="BR44">
        <v>28.8640522875817</v>
      </c>
      <c r="BS44">
        <v>27083</v>
      </c>
      <c r="BT44">
        <v>332</v>
      </c>
      <c r="BU44">
        <v>376</v>
      </c>
      <c r="BV44">
        <v>10</v>
      </c>
      <c r="BW44">
        <v>3320</v>
      </c>
      <c r="BX44">
        <v>4150</v>
      </c>
      <c r="BY44">
        <v>439</v>
      </c>
      <c r="BZ44">
        <v>549</v>
      </c>
      <c r="CA44">
        <v>108</v>
      </c>
      <c r="CB44">
        <v>2600000</v>
      </c>
      <c r="CC44">
        <v>0</v>
      </c>
      <c r="CD44">
        <v>0</v>
      </c>
      <c r="CE44">
        <v>0</v>
      </c>
      <c r="CF44">
        <v>36.778112449799195</v>
      </c>
      <c r="CG44">
        <v>24074</v>
      </c>
      <c r="CH44">
        <v>350</v>
      </c>
      <c r="CI44">
        <v>396</v>
      </c>
      <c r="CJ44">
        <v>10</v>
      </c>
      <c r="CK44">
        <v>3500</v>
      </c>
      <c r="CL44">
        <v>4375</v>
      </c>
      <c r="CM44">
        <v>463</v>
      </c>
      <c r="CN44">
        <v>579</v>
      </c>
      <c r="CO44">
        <v>144</v>
      </c>
      <c r="CP44">
        <v>3250000</v>
      </c>
      <c r="CQ44">
        <v>0</v>
      </c>
      <c r="CR44">
        <v>1</v>
      </c>
      <c r="CS44">
        <v>0</v>
      </c>
      <c r="CT44">
        <v>44.381904761904764</v>
      </c>
      <c r="CU44">
        <v>22569</v>
      </c>
      <c r="CV44">
        <v>504</v>
      </c>
      <c r="CW44">
        <v>10400000</v>
      </c>
      <c r="CX44">
        <v>1</v>
      </c>
      <c r="CY44">
        <v>1</v>
      </c>
      <c r="CZ44">
        <v>0</v>
      </c>
      <c r="DA44">
        <v>123.80952380952381</v>
      </c>
      <c r="DB44">
        <v>20634.920634920636</v>
      </c>
      <c r="DD44" t="s">
        <v>789</v>
      </c>
      <c r="DE44">
        <v>51</v>
      </c>
    </row>
    <row r="45" spans="1:109">
      <c r="A45">
        <v>52</v>
      </c>
      <c r="B45" t="s">
        <v>828</v>
      </c>
      <c r="C45" t="s">
        <v>42</v>
      </c>
      <c r="E45" t="s">
        <v>43</v>
      </c>
      <c r="H45">
        <v>5</v>
      </c>
      <c r="I45" t="s">
        <v>283</v>
      </c>
      <c r="J45">
        <v>4.5</v>
      </c>
      <c r="K45">
        <v>0.1</v>
      </c>
      <c r="L45">
        <v>1.2410256410256411</v>
      </c>
      <c r="M45">
        <v>30</v>
      </c>
      <c r="N45" t="s">
        <v>47</v>
      </c>
      <c r="O45" t="s">
        <v>98</v>
      </c>
      <c r="P45">
        <v>0</v>
      </c>
      <c r="Q45">
        <v>0</v>
      </c>
      <c r="R45">
        <v>0</v>
      </c>
      <c r="S45">
        <v>0</v>
      </c>
      <c r="T45">
        <v>0</v>
      </c>
      <c r="U45">
        <v>0</v>
      </c>
      <c r="V45">
        <v>0</v>
      </c>
      <c r="W45">
        <v>0</v>
      </c>
      <c r="X45">
        <v>0</v>
      </c>
      <c r="Y45">
        <v>0</v>
      </c>
      <c r="Z45">
        <v>0</v>
      </c>
      <c r="AA45">
        <v>0</v>
      </c>
      <c r="AB45">
        <v>0</v>
      </c>
      <c r="AC45">
        <v>0</v>
      </c>
      <c r="AD45">
        <v>242</v>
      </c>
      <c r="AE45">
        <v>195</v>
      </c>
      <c r="AF45">
        <v>4</v>
      </c>
      <c r="AG45">
        <v>968</v>
      </c>
      <c r="AH45">
        <v>4356</v>
      </c>
      <c r="AI45">
        <v>96</v>
      </c>
      <c r="AJ45">
        <v>435</v>
      </c>
      <c r="AK45">
        <v>12</v>
      </c>
      <c r="AL45">
        <v>0</v>
      </c>
      <c r="AM45">
        <v>0</v>
      </c>
      <c r="AN45">
        <v>0</v>
      </c>
      <c r="AO45">
        <v>0</v>
      </c>
      <c r="AP45">
        <v>0</v>
      </c>
      <c r="AQ45">
        <v>0</v>
      </c>
      <c r="AR45">
        <v>363</v>
      </c>
      <c r="AS45">
        <v>292</v>
      </c>
      <c r="AT45">
        <v>4</v>
      </c>
      <c r="AU45">
        <v>1452</v>
      </c>
      <c r="AV45">
        <v>6534</v>
      </c>
      <c r="AW45">
        <v>145</v>
      </c>
      <c r="AX45">
        <v>653</v>
      </c>
      <c r="AY45">
        <v>3</v>
      </c>
      <c r="AZ45">
        <v>1300000</v>
      </c>
      <c r="BA45">
        <v>0</v>
      </c>
      <c r="BB45">
        <v>0</v>
      </c>
      <c r="BC45">
        <v>0</v>
      </c>
      <c r="BD45">
        <v>37.388200183654725</v>
      </c>
      <c r="BE45">
        <v>433333</v>
      </c>
      <c r="BF45">
        <v>423</v>
      </c>
      <c r="BG45">
        <v>341</v>
      </c>
      <c r="BH45">
        <v>4</v>
      </c>
      <c r="BI45">
        <v>1692</v>
      </c>
      <c r="BJ45">
        <v>7614</v>
      </c>
      <c r="BK45">
        <v>169</v>
      </c>
      <c r="BL45">
        <v>761</v>
      </c>
      <c r="BM45">
        <v>6</v>
      </c>
      <c r="BN45">
        <v>1950000</v>
      </c>
      <c r="BO45">
        <v>0</v>
      </c>
      <c r="BP45">
        <v>1</v>
      </c>
      <c r="BQ45">
        <v>0</v>
      </c>
      <c r="BR45">
        <v>48.234633569739948</v>
      </c>
      <c r="BS45">
        <v>325000</v>
      </c>
      <c r="BT45">
        <v>459</v>
      </c>
      <c r="BU45">
        <v>370</v>
      </c>
      <c r="BV45">
        <v>4</v>
      </c>
      <c r="BW45">
        <v>1836</v>
      </c>
      <c r="BX45">
        <v>8262</v>
      </c>
      <c r="BY45">
        <v>183</v>
      </c>
      <c r="BZ45">
        <v>826</v>
      </c>
      <c r="CA45">
        <v>9</v>
      </c>
      <c r="CB45">
        <v>2600000</v>
      </c>
      <c r="CC45">
        <v>0</v>
      </c>
      <c r="CD45">
        <v>0</v>
      </c>
      <c r="CE45">
        <v>0</v>
      </c>
      <c r="CF45">
        <v>59.350671750181554</v>
      </c>
      <c r="CG45">
        <v>288888</v>
      </c>
      <c r="CH45">
        <v>484</v>
      </c>
      <c r="CI45">
        <v>390</v>
      </c>
      <c r="CJ45">
        <v>4</v>
      </c>
      <c r="CK45">
        <v>1936</v>
      </c>
      <c r="CL45">
        <v>8712</v>
      </c>
      <c r="CM45">
        <v>193</v>
      </c>
      <c r="CN45">
        <v>871</v>
      </c>
      <c r="CO45">
        <v>12</v>
      </c>
      <c r="CP45">
        <v>3250000</v>
      </c>
      <c r="CQ45">
        <v>0</v>
      </c>
      <c r="CR45">
        <v>0</v>
      </c>
      <c r="CS45">
        <v>1</v>
      </c>
      <c r="CT45">
        <v>70.420798898071624</v>
      </c>
      <c r="CU45">
        <v>270833</v>
      </c>
      <c r="CV45">
        <v>42</v>
      </c>
      <c r="CW45">
        <v>9100000</v>
      </c>
      <c r="CX45">
        <v>0</v>
      </c>
      <c r="CY45">
        <v>1</v>
      </c>
      <c r="CZ45">
        <v>1</v>
      </c>
      <c r="DA45">
        <v>195.85055096418731</v>
      </c>
      <c r="DB45">
        <v>216666.66666666666</v>
      </c>
      <c r="DD45" t="s">
        <v>828</v>
      </c>
      <c r="DE45">
        <v>52</v>
      </c>
    </row>
    <row r="46" spans="1:109">
      <c r="A46">
        <v>53</v>
      </c>
      <c r="B46" t="s">
        <v>829</v>
      </c>
      <c r="C46" t="s">
        <v>42</v>
      </c>
      <c r="E46" t="s">
        <v>43</v>
      </c>
      <c r="H46">
        <v>3</v>
      </c>
      <c r="I46" t="s">
        <v>268</v>
      </c>
      <c r="J46">
        <v>4.5</v>
      </c>
      <c r="K46">
        <v>0.1</v>
      </c>
      <c r="L46">
        <v>1.2359550561797752</v>
      </c>
      <c r="M46">
        <v>30</v>
      </c>
      <c r="N46" t="s">
        <v>47</v>
      </c>
      <c r="O46" t="s">
        <v>98</v>
      </c>
      <c r="P46">
        <v>0</v>
      </c>
      <c r="Q46">
        <v>0</v>
      </c>
      <c r="R46">
        <v>0</v>
      </c>
      <c r="S46">
        <v>0</v>
      </c>
      <c r="T46">
        <v>0</v>
      </c>
      <c r="U46">
        <v>0</v>
      </c>
      <c r="V46">
        <v>0</v>
      </c>
      <c r="W46">
        <v>0</v>
      </c>
      <c r="X46">
        <v>0</v>
      </c>
      <c r="Y46">
        <v>0</v>
      </c>
      <c r="Z46">
        <v>0</v>
      </c>
      <c r="AA46">
        <v>0</v>
      </c>
      <c r="AB46">
        <v>0</v>
      </c>
      <c r="AC46">
        <v>0</v>
      </c>
      <c r="AD46">
        <v>220</v>
      </c>
      <c r="AE46">
        <v>178</v>
      </c>
      <c r="AF46">
        <v>4</v>
      </c>
      <c r="AG46">
        <v>880</v>
      </c>
      <c r="AH46">
        <v>3960</v>
      </c>
      <c r="AI46">
        <v>88</v>
      </c>
      <c r="AJ46">
        <v>396</v>
      </c>
      <c r="AK46">
        <v>168</v>
      </c>
      <c r="AL46">
        <v>2000000</v>
      </c>
      <c r="AM46">
        <v>0</v>
      </c>
      <c r="AN46">
        <v>0</v>
      </c>
      <c r="AO46">
        <v>0</v>
      </c>
      <c r="AP46">
        <v>94.696969696969688</v>
      </c>
      <c r="AQ46">
        <v>11904</v>
      </c>
      <c r="AR46">
        <v>330</v>
      </c>
      <c r="AS46">
        <v>267</v>
      </c>
      <c r="AT46">
        <v>4</v>
      </c>
      <c r="AU46">
        <v>1320</v>
      </c>
      <c r="AV46">
        <v>5940</v>
      </c>
      <c r="AW46">
        <v>132</v>
      </c>
      <c r="AX46">
        <v>594</v>
      </c>
      <c r="AY46">
        <v>42</v>
      </c>
      <c r="AZ46">
        <v>2000000</v>
      </c>
      <c r="BA46">
        <v>0</v>
      </c>
      <c r="BB46">
        <v>0</v>
      </c>
      <c r="BC46">
        <v>0</v>
      </c>
      <c r="BD46">
        <v>64.297979797979806</v>
      </c>
      <c r="BE46">
        <v>47619</v>
      </c>
      <c r="BF46">
        <v>385</v>
      </c>
      <c r="BG46">
        <v>311</v>
      </c>
      <c r="BH46">
        <v>4</v>
      </c>
      <c r="BI46">
        <v>1540</v>
      </c>
      <c r="BJ46">
        <v>6930</v>
      </c>
      <c r="BK46">
        <v>154</v>
      </c>
      <c r="BL46">
        <v>693</v>
      </c>
      <c r="BM46">
        <v>84</v>
      </c>
      <c r="BN46">
        <v>3000000</v>
      </c>
      <c r="BO46">
        <v>1</v>
      </c>
      <c r="BP46">
        <v>0</v>
      </c>
      <c r="BQ46">
        <v>0</v>
      </c>
      <c r="BR46">
        <v>84.168831168831176</v>
      </c>
      <c r="BS46">
        <v>35714</v>
      </c>
      <c r="BT46">
        <v>418</v>
      </c>
      <c r="BU46">
        <v>338</v>
      </c>
      <c r="BV46">
        <v>4</v>
      </c>
      <c r="BW46">
        <v>1672</v>
      </c>
      <c r="BX46">
        <v>7524</v>
      </c>
      <c r="BY46">
        <v>167</v>
      </c>
      <c r="BZ46">
        <v>752</v>
      </c>
      <c r="CA46">
        <v>126</v>
      </c>
      <c r="CB46">
        <v>4000000</v>
      </c>
      <c r="CC46">
        <v>0</v>
      </c>
      <c r="CD46">
        <v>0</v>
      </c>
      <c r="CE46">
        <v>0</v>
      </c>
      <c r="CF46">
        <v>104.51654704944178</v>
      </c>
      <c r="CG46">
        <v>31746</v>
      </c>
      <c r="CH46">
        <v>440</v>
      </c>
      <c r="CI46">
        <v>356</v>
      </c>
      <c r="CJ46">
        <v>4</v>
      </c>
      <c r="CK46">
        <v>1760</v>
      </c>
      <c r="CL46">
        <v>7920</v>
      </c>
      <c r="CM46">
        <v>176</v>
      </c>
      <c r="CN46">
        <v>792</v>
      </c>
      <c r="CO46">
        <v>168</v>
      </c>
      <c r="CP46">
        <v>5000000</v>
      </c>
      <c r="CQ46">
        <v>0</v>
      </c>
      <c r="CR46">
        <v>1</v>
      </c>
      <c r="CS46">
        <v>0</v>
      </c>
      <c r="CT46">
        <v>125.02121212121212</v>
      </c>
      <c r="CU46">
        <v>29761</v>
      </c>
      <c r="CV46">
        <v>588</v>
      </c>
      <c r="CW46">
        <v>16000000</v>
      </c>
      <c r="CX46">
        <v>1</v>
      </c>
      <c r="CY46">
        <v>1</v>
      </c>
      <c r="CZ46">
        <v>0</v>
      </c>
      <c r="DA46">
        <v>378.78787878787875</v>
      </c>
      <c r="DB46">
        <v>27210.884353741498</v>
      </c>
      <c r="DD46" t="s">
        <v>829</v>
      </c>
      <c r="DE46">
        <v>53</v>
      </c>
    </row>
    <row r="47" spans="1:109">
      <c r="A47">
        <v>55</v>
      </c>
      <c r="B47" t="s">
        <v>830</v>
      </c>
      <c r="C47" t="s">
        <v>48</v>
      </c>
      <c r="D47" t="s">
        <v>43</v>
      </c>
      <c r="E47" t="s">
        <v>43</v>
      </c>
      <c r="H47">
        <v>6</v>
      </c>
      <c r="I47" t="s">
        <v>283</v>
      </c>
      <c r="J47">
        <v>8</v>
      </c>
      <c r="K47">
        <v>2.5000000000000001E-2</v>
      </c>
      <c r="L47">
        <v>4.354166666666667</v>
      </c>
      <c r="M47">
        <v>30</v>
      </c>
      <c r="N47" t="s">
        <v>47</v>
      </c>
      <c r="O47" t="s">
        <v>98</v>
      </c>
      <c r="P47">
        <v>0</v>
      </c>
      <c r="Q47">
        <v>0</v>
      </c>
      <c r="R47">
        <v>0</v>
      </c>
      <c r="S47">
        <v>0</v>
      </c>
      <c r="T47">
        <v>0</v>
      </c>
      <c r="U47">
        <v>0</v>
      </c>
      <c r="V47">
        <v>0</v>
      </c>
      <c r="W47">
        <v>0</v>
      </c>
      <c r="X47">
        <v>0</v>
      </c>
      <c r="Y47">
        <v>0</v>
      </c>
      <c r="Z47">
        <v>0</v>
      </c>
      <c r="AA47">
        <v>0</v>
      </c>
      <c r="AB47">
        <v>0</v>
      </c>
      <c r="AC47">
        <v>0</v>
      </c>
      <c r="AD47">
        <v>836</v>
      </c>
      <c r="AE47">
        <v>192</v>
      </c>
      <c r="AF47">
        <v>8</v>
      </c>
      <c r="AG47">
        <v>6688</v>
      </c>
      <c r="AH47">
        <v>53504</v>
      </c>
      <c r="AI47">
        <v>167</v>
      </c>
      <c r="AJ47">
        <v>1337</v>
      </c>
      <c r="AK47">
        <v>48</v>
      </c>
      <c r="AL47">
        <v>0</v>
      </c>
      <c r="AM47">
        <v>0</v>
      </c>
      <c r="AN47">
        <v>0</v>
      </c>
      <c r="AO47">
        <v>0</v>
      </c>
      <c r="AP47">
        <v>0</v>
      </c>
      <c r="AQ47">
        <v>0</v>
      </c>
      <c r="AR47">
        <v>1254</v>
      </c>
      <c r="AS47">
        <v>288</v>
      </c>
      <c r="AT47">
        <v>8</v>
      </c>
      <c r="AU47">
        <v>10032</v>
      </c>
      <c r="AV47">
        <v>80256</v>
      </c>
      <c r="AW47">
        <v>250</v>
      </c>
      <c r="AX47">
        <v>2006</v>
      </c>
      <c r="AY47">
        <v>12</v>
      </c>
      <c r="AZ47">
        <v>2000000</v>
      </c>
      <c r="BA47">
        <v>0</v>
      </c>
      <c r="BB47">
        <v>0</v>
      </c>
      <c r="BC47">
        <v>0</v>
      </c>
      <c r="BD47">
        <v>8.6400850611376931</v>
      </c>
      <c r="BE47">
        <v>166666</v>
      </c>
      <c r="BF47">
        <v>1463</v>
      </c>
      <c r="BG47">
        <v>336</v>
      </c>
      <c r="BH47">
        <v>9</v>
      </c>
      <c r="BI47">
        <v>13167</v>
      </c>
      <c r="BJ47">
        <v>105336</v>
      </c>
      <c r="BK47">
        <v>329</v>
      </c>
      <c r="BL47">
        <v>2633</v>
      </c>
      <c r="BM47">
        <v>24</v>
      </c>
      <c r="BN47">
        <v>3000000</v>
      </c>
      <c r="BO47">
        <v>0</v>
      </c>
      <c r="BP47">
        <v>1</v>
      </c>
      <c r="BQ47">
        <v>0</v>
      </c>
      <c r="BR47">
        <v>10.255335307966886</v>
      </c>
      <c r="BS47">
        <v>125000</v>
      </c>
      <c r="BT47">
        <v>1588</v>
      </c>
      <c r="BU47">
        <v>364</v>
      </c>
      <c r="BV47">
        <v>9</v>
      </c>
      <c r="BW47">
        <v>14292</v>
      </c>
      <c r="BX47">
        <v>114336</v>
      </c>
      <c r="BY47">
        <v>357</v>
      </c>
      <c r="BZ47">
        <v>2858</v>
      </c>
      <c r="CA47">
        <v>36</v>
      </c>
      <c r="CB47">
        <v>4000000</v>
      </c>
      <c r="CC47">
        <v>0</v>
      </c>
      <c r="CD47">
        <v>0</v>
      </c>
      <c r="CE47">
        <v>0</v>
      </c>
      <c r="CF47">
        <v>13.043462543147681</v>
      </c>
      <c r="CG47">
        <v>111111</v>
      </c>
      <c r="CH47">
        <v>1672</v>
      </c>
      <c r="CI47">
        <v>384</v>
      </c>
      <c r="CJ47">
        <v>9</v>
      </c>
      <c r="CK47">
        <v>15048</v>
      </c>
      <c r="CL47">
        <v>120384</v>
      </c>
      <c r="CM47">
        <v>376</v>
      </c>
      <c r="CN47">
        <v>3009</v>
      </c>
      <c r="CO47">
        <v>48</v>
      </c>
      <c r="CP47">
        <v>5000000</v>
      </c>
      <c r="CQ47">
        <v>0</v>
      </c>
      <c r="CR47">
        <v>0</v>
      </c>
      <c r="CS47">
        <v>1</v>
      </c>
      <c r="CT47">
        <v>15.744107744107744</v>
      </c>
      <c r="CU47">
        <v>104166</v>
      </c>
      <c r="CV47">
        <v>168</v>
      </c>
      <c r="CW47">
        <v>14000000</v>
      </c>
      <c r="CX47">
        <v>0</v>
      </c>
      <c r="CY47">
        <v>1</v>
      </c>
      <c r="CZ47">
        <v>1</v>
      </c>
      <c r="DA47">
        <v>38.764841396420344</v>
      </c>
      <c r="DB47">
        <v>83333.333333333328</v>
      </c>
      <c r="DD47" t="s">
        <v>830</v>
      </c>
      <c r="DE47">
        <v>55</v>
      </c>
    </row>
    <row r="48" spans="1:109">
      <c r="A48">
        <v>56</v>
      </c>
      <c r="B48" t="s">
        <v>812</v>
      </c>
      <c r="C48" t="s">
        <v>77</v>
      </c>
      <c r="E48" t="s">
        <v>43</v>
      </c>
      <c r="H48">
        <v>3</v>
      </c>
      <c r="I48" t="s">
        <v>268</v>
      </c>
      <c r="J48">
        <v>2.5</v>
      </c>
      <c r="K48">
        <v>0.22500000000000001</v>
      </c>
      <c r="L48">
        <v>0.77160493827160492</v>
      </c>
      <c r="M48">
        <v>30</v>
      </c>
      <c r="N48" t="s">
        <v>47</v>
      </c>
      <c r="O48" t="s">
        <v>98</v>
      </c>
      <c r="P48">
        <v>0</v>
      </c>
      <c r="Q48">
        <v>0</v>
      </c>
      <c r="R48">
        <v>0</v>
      </c>
      <c r="S48">
        <v>0</v>
      </c>
      <c r="T48">
        <v>0</v>
      </c>
      <c r="U48">
        <v>0</v>
      </c>
      <c r="V48">
        <v>0</v>
      </c>
      <c r="W48">
        <v>0</v>
      </c>
      <c r="X48">
        <v>0</v>
      </c>
      <c r="Y48">
        <v>0</v>
      </c>
      <c r="Z48">
        <v>0</v>
      </c>
      <c r="AA48">
        <v>0</v>
      </c>
      <c r="AB48">
        <v>0</v>
      </c>
      <c r="AC48">
        <v>0</v>
      </c>
      <c r="AD48">
        <v>125</v>
      </c>
      <c r="AE48">
        <v>162</v>
      </c>
      <c r="AF48">
        <v>4</v>
      </c>
      <c r="AG48">
        <v>500</v>
      </c>
      <c r="AH48">
        <v>1250</v>
      </c>
      <c r="AI48">
        <v>112</v>
      </c>
      <c r="AJ48">
        <v>281</v>
      </c>
      <c r="AK48">
        <v>192</v>
      </c>
      <c r="AL48">
        <v>3000000</v>
      </c>
      <c r="AM48">
        <v>0</v>
      </c>
      <c r="AN48">
        <v>0</v>
      </c>
      <c r="AO48">
        <v>0</v>
      </c>
      <c r="AP48">
        <v>250</v>
      </c>
      <c r="AQ48">
        <v>15625</v>
      </c>
      <c r="AR48">
        <v>187</v>
      </c>
      <c r="AS48">
        <v>243</v>
      </c>
      <c r="AT48">
        <v>4</v>
      </c>
      <c r="AU48">
        <v>748</v>
      </c>
      <c r="AV48">
        <v>1870</v>
      </c>
      <c r="AW48">
        <v>168</v>
      </c>
      <c r="AX48">
        <v>420</v>
      </c>
      <c r="AY48">
        <v>48</v>
      </c>
      <c r="AZ48">
        <v>3000000</v>
      </c>
      <c r="BA48">
        <v>0</v>
      </c>
      <c r="BB48">
        <v>0</v>
      </c>
      <c r="BC48">
        <v>0</v>
      </c>
      <c r="BD48">
        <v>168.44919786096258</v>
      </c>
      <c r="BE48">
        <v>62500</v>
      </c>
      <c r="BF48">
        <v>218</v>
      </c>
      <c r="BG48">
        <v>283</v>
      </c>
      <c r="BH48">
        <v>4</v>
      </c>
      <c r="BI48">
        <v>872</v>
      </c>
      <c r="BJ48">
        <v>2180</v>
      </c>
      <c r="BK48">
        <v>196</v>
      </c>
      <c r="BL48">
        <v>490</v>
      </c>
      <c r="BM48">
        <v>96</v>
      </c>
      <c r="BN48">
        <v>4500000</v>
      </c>
      <c r="BO48">
        <v>1</v>
      </c>
      <c r="BP48">
        <v>0</v>
      </c>
      <c r="BQ48">
        <v>0</v>
      </c>
      <c r="BR48">
        <v>218.45412844036696</v>
      </c>
      <c r="BS48">
        <v>46875</v>
      </c>
      <c r="BT48">
        <v>237</v>
      </c>
      <c r="BU48">
        <v>307</v>
      </c>
      <c r="BV48">
        <v>4</v>
      </c>
      <c r="BW48">
        <v>948</v>
      </c>
      <c r="BX48">
        <v>2370</v>
      </c>
      <c r="BY48">
        <v>213</v>
      </c>
      <c r="BZ48">
        <v>533</v>
      </c>
      <c r="CA48">
        <v>144</v>
      </c>
      <c r="CB48">
        <v>6000000</v>
      </c>
      <c r="CC48">
        <v>0</v>
      </c>
      <c r="CD48">
        <v>0</v>
      </c>
      <c r="CE48">
        <v>0</v>
      </c>
      <c r="CF48">
        <v>269.23206751054852</v>
      </c>
      <c r="CG48">
        <v>41666</v>
      </c>
      <c r="CH48">
        <v>250</v>
      </c>
      <c r="CI48">
        <v>324</v>
      </c>
      <c r="CJ48">
        <v>4</v>
      </c>
      <c r="CK48">
        <v>1000</v>
      </c>
      <c r="CL48">
        <v>2500</v>
      </c>
      <c r="CM48">
        <v>225</v>
      </c>
      <c r="CN48">
        <v>562</v>
      </c>
      <c r="CO48">
        <v>192</v>
      </c>
      <c r="CP48">
        <v>7500000</v>
      </c>
      <c r="CQ48">
        <v>0</v>
      </c>
      <c r="CR48">
        <v>1</v>
      </c>
      <c r="CS48">
        <v>0</v>
      </c>
      <c r="CT48">
        <v>320.084</v>
      </c>
      <c r="CU48">
        <v>39062</v>
      </c>
      <c r="CV48">
        <v>672</v>
      </c>
      <c r="CW48">
        <v>24000000</v>
      </c>
      <c r="CX48">
        <v>1</v>
      </c>
      <c r="CY48">
        <v>1</v>
      </c>
      <c r="CZ48">
        <v>0</v>
      </c>
      <c r="DA48">
        <v>1000</v>
      </c>
      <c r="DB48">
        <v>35714.285714285717</v>
      </c>
      <c r="DD48" t="s">
        <v>812</v>
      </c>
      <c r="DE48">
        <v>56</v>
      </c>
    </row>
    <row r="49" spans="1:109">
      <c r="A49">
        <v>57</v>
      </c>
      <c r="B49" t="s">
        <v>831</v>
      </c>
      <c r="C49" t="s">
        <v>54</v>
      </c>
      <c r="E49" t="s">
        <v>43</v>
      </c>
      <c r="H49">
        <v>6</v>
      </c>
      <c r="I49" t="s">
        <v>283</v>
      </c>
      <c r="J49">
        <v>3</v>
      </c>
      <c r="K49">
        <v>7.4999999999999997E-2</v>
      </c>
      <c r="L49">
        <v>2.9629629629629628</v>
      </c>
      <c r="M49">
        <v>30</v>
      </c>
      <c r="N49" t="s">
        <v>47</v>
      </c>
      <c r="O49" t="s">
        <v>98</v>
      </c>
      <c r="P49">
        <v>0</v>
      </c>
      <c r="Q49">
        <v>0</v>
      </c>
      <c r="R49">
        <v>0</v>
      </c>
      <c r="S49">
        <v>0</v>
      </c>
      <c r="T49">
        <v>0</v>
      </c>
      <c r="U49">
        <v>0</v>
      </c>
      <c r="V49">
        <v>0</v>
      </c>
      <c r="W49">
        <v>0</v>
      </c>
      <c r="X49">
        <v>0</v>
      </c>
      <c r="Y49">
        <v>0</v>
      </c>
      <c r="Z49">
        <v>0</v>
      </c>
      <c r="AA49">
        <v>0</v>
      </c>
      <c r="AB49">
        <v>0</v>
      </c>
      <c r="AC49">
        <v>0</v>
      </c>
      <c r="AD49">
        <v>400</v>
      </c>
      <c r="AE49">
        <v>135</v>
      </c>
      <c r="AF49">
        <v>6</v>
      </c>
      <c r="AG49">
        <v>2400</v>
      </c>
      <c r="AH49">
        <v>7200</v>
      </c>
      <c r="AI49">
        <v>180</v>
      </c>
      <c r="AJ49">
        <v>540</v>
      </c>
      <c r="AK49">
        <v>96</v>
      </c>
      <c r="AL49">
        <v>0</v>
      </c>
      <c r="AM49">
        <v>0</v>
      </c>
      <c r="AN49">
        <v>0</v>
      </c>
      <c r="AO49">
        <v>0</v>
      </c>
      <c r="AP49">
        <v>0</v>
      </c>
      <c r="AQ49">
        <v>0</v>
      </c>
      <c r="AR49">
        <v>600</v>
      </c>
      <c r="AS49">
        <v>202</v>
      </c>
      <c r="AT49">
        <v>6</v>
      </c>
      <c r="AU49">
        <v>3600</v>
      </c>
      <c r="AV49">
        <v>10800</v>
      </c>
      <c r="AW49">
        <v>270</v>
      </c>
      <c r="AX49">
        <v>810</v>
      </c>
      <c r="AY49">
        <v>24</v>
      </c>
      <c r="AZ49">
        <v>3000000</v>
      </c>
      <c r="BA49">
        <v>0</v>
      </c>
      <c r="BB49">
        <v>0</v>
      </c>
      <c r="BC49">
        <v>0</v>
      </c>
      <c r="BD49">
        <v>35.388888888888893</v>
      </c>
      <c r="BE49">
        <v>125000</v>
      </c>
      <c r="BF49">
        <v>700</v>
      </c>
      <c r="BG49">
        <v>236</v>
      </c>
      <c r="BH49">
        <v>6</v>
      </c>
      <c r="BI49">
        <v>4200</v>
      </c>
      <c r="BJ49">
        <v>12600</v>
      </c>
      <c r="BK49">
        <v>315</v>
      </c>
      <c r="BL49">
        <v>945</v>
      </c>
      <c r="BM49">
        <v>48</v>
      </c>
      <c r="BN49">
        <v>4500000</v>
      </c>
      <c r="BO49">
        <v>0</v>
      </c>
      <c r="BP49">
        <v>1</v>
      </c>
      <c r="BQ49">
        <v>0</v>
      </c>
      <c r="BR49">
        <v>46.357142857142861</v>
      </c>
      <c r="BS49">
        <v>93750</v>
      </c>
      <c r="BT49">
        <v>760</v>
      </c>
      <c r="BU49">
        <v>256</v>
      </c>
      <c r="BV49">
        <v>7</v>
      </c>
      <c r="BW49">
        <v>5320</v>
      </c>
      <c r="BX49">
        <v>15960</v>
      </c>
      <c r="BY49">
        <v>399</v>
      </c>
      <c r="BZ49">
        <v>1197</v>
      </c>
      <c r="CA49">
        <v>72</v>
      </c>
      <c r="CB49">
        <v>6000000</v>
      </c>
      <c r="CC49">
        <v>0</v>
      </c>
      <c r="CD49">
        <v>0</v>
      </c>
      <c r="CE49">
        <v>0</v>
      </c>
      <c r="CF49">
        <v>49.360902255639097</v>
      </c>
      <c r="CG49">
        <v>83333</v>
      </c>
      <c r="CH49">
        <v>800</v>
      </c>
      <c r="CI49">
        <v>270</v>
      </c>
      <c r="CJ49">
        <v>7</v>
      </c>
      <c r="CK49">
        <v>5600</v>
      </c>
      <c r="CL49">
        <v>16800</v>
      </c>
      <c r="CM49">
        <v>420</v>
      </c>
      <c r="CN49">
        <v>1260</v>
      </c>
      <c r="CO49">
        <v>96</v>
      </c>
      <c r="CP49">
        <v>7500000</v>
      </c>
      <c r="CQ49">
        <v>0</v>
      </c>
      <c r="CR49">
        <v>0</v>
      </c>
      <c r="CS49">
        <v>1</v>
      </c>
      <c r="CT49">
        <v>59.603571428571428</v>
      </c>
      <c r="CU49">
        <v>78125</v>
      </c>
      <c r="CV49">
        <v>336</v>
      </c>
      <c r="CW49">
        <v>21000000</v>
      </c>
      <c r="CX49">
        <v>0</v>
      </c>
      <c r="CY49">
        <v>1</v>
      </c>
      <c r="CZ49">
        <v>1</v>
      </c>
      <c r="DA49">
        <v>156.25</v>
      </c>
      <c r="DB49">
        <v>62500</v>
      </c>
      <c r="DD49" t="s">
        <v>831</v>
      </c>
      <c r="DE49">
        <v>57</v>
      </c>
    </row>
    <row r="50" spans="1:109">
      <c r="A50">
        <v>58</v>
      </c>
      <c r="B50" t="s">
        <v>832</v>
      </c>
      <c r="C50" t="s">
        <v>52</v>
      </c>
      <c r="E50" t="s">
        <v>43</v>
      </c>
      <c r="H50">
        <v>3</v>
      </c>
      <c r="I50" t="s">
        <v>268</v>
      </c>
      <c r="J50">
        <v>1.375</v>
      </c>
      <c r="K50">
        <v>0.13250000000000001</v>
      </c>
      <c r="L50">
        <v>1.05</v>
      </c>
      <c r="M50">
        <v>30</v>
      </c>
      <c r="N50" t="s">
        <v>47</v>
      </c>
      <c r="O50" t="s">
        <v>98</v>
      </c>
      <c r="P50">
        <v>0</v>
      </c>
      <c r="Q50">
        <v>0</v>
      </c>
      <c r="R50">
        <v>0</v>
      </c>
      <c r="S50">
        <v>0</v>
      </c>
      <c r="T50">
        <v>0</v>
      </c>
      <c r="U50">
        <v>0</v>
      </c>
      <c r="V50">
        <v>0</v>
      </c>
      <c r="W50">
        <v>0</v>
      </c>
      <c r="X50">
        <v>0</v>
      </c>
      <c r="Y50">
        <v>0</v>
      </c>
      <c r="Z50">
        <v>0</v>
      </c>
      <c r="AA50">
        <v>0</v>
      </c>
      <c r="AB50">
        <v>0</v>
      </c>
      <c r="AC50">
        <v>0</v>
      </c>
      <c r="AD50">
        <v>210</v>
      </c>
      <c r="AE50">
        <v>200</v>
      </c>
      <c r="AF50">
        <v>10</v>
      </c>
      <c r="AG50">
        <v>2100</v>
      </c>
      <c r="AH50">
        <v>2887</v>
      </c>
      <c r="AI50">
        <v>278</v>
      </c>
      <c r="AJ50">
        <v>382</v>
      </c>
      <c r="AK50">
        <v>216</v>
      </c>
      <c r="AL50">
        <v>4500000</v>
      </c>
      <c r="AM50">
        <v>0</v>
      </c>
      <c r="AN50">
        <v>0</v>
      </c>
      <c r="AO50">
        <v>0</v>
      </c>
      <c r="AP50">
        <v>89.285714285714278</v>
      </c>
      <c r="AQ50">
        <v>20833</v>
      </c>
      <c r="AR50">
        <v>315</v>
      </c>
      <c r="AS50">
        <v>300</v>
      </c>
      <c r="AT50">
        <v>11</v>
      </c>
      <c r="AU50">
        <v>3465</v>
      </c>
      <c r="AV50">
        <v>4764</v>
      </c>
      <c r="AW50">
        <v>459</v>
      </c>
      <c r="AX50">
        <v>631</v>
      </c>
      <c r="AY50">
        <v>54</v>
      </c>
      <c r="AZ50">
        <v>4500000</v>
      </c>
      <c r="BA50">
        <v>0</v>
      </c>
      <c r="BB50">
        <v>0</v>
      </c>
      <c r="BC50">
        <v>0</v>
      </c>
      <c r="BD50">
        <v>55.476190476190474</v>
      </c>
      <c r="BE50">
        <v>83333</v>
      </c>
      <c r="BF50">
        <v>367</v>
      </c>
      <c r="BG50">
        <v>350</v>
      </c>
      <c r="BH50">
        <v>11</v>
      </c>
      <c r="BI50">
        <v>4037</v>
      </c>
      <c r="BJ50">
        <v>5550</v>
      </c>
      <c r="BK50">
        <v>534</v>
      </c>
      <c r="BL50">
        <v>735</v>
      </c>
      <c r="BM50">
        <v>108</v>
      </c>
      <c r="BN50">
        <v>6750000</v>
      </c>
      <c r="BO50">
        <v>1</v>
      </c>
      <c r="BP50">
        <v>0</v>
      </c>
      <c r="BQ50">
        <v>0</v>
      </c>
      <c r="BR50">
        <v>73.530468169432751</v>
      </c>
      <c r="BS50">
        <v>62500</v>
      </c>
      <c r="BT50">
        <v>399</v>
      </c>
      <c r="BU50">
        <v>380</v>
      </c>
      <c r="BV50">
        <v>11</v>
      </c>
      <c r="BW50">
        <v>4389</v>
      </c>
      <c r="BX50">
        <v>6034</v>
      </c>
      <c r="BY50">
        <v>581</v>
      </c>
      <c r="BZ50">
        <v>799</v>
      </c>
      <c r="CA50">
        <v>162</v>
      </c>
      <c r="CB50">
        <v>9000000</v>
      </c>
      <c r="CC50">
        <v>0</v>
      </c>
      <c r="CD50">
        <v>0</v>
      </c>
      <c r="CE50">
        <v>0</v>
      </c>
      <c r="CF50">
        <v>91.64952153110049</v>
      </c>
      <c r="CG50">
        <v>55555</v>
      </c>
      <c r="CH50">
        <v>420</v>
      </c>
      <c r="CI50">
        <v>400</v>
      </c>
      <c r="CJ50">
        <v>12</v>
      </c>
      <c r="CK50">
        <v>5040</v>
      </c>
      <c r="CL50">
        <v>6930</v>
      </c>
      <c r="CM50">
        <v>667</v>
      </c>
      <c r="CN50">
        <v>918</v>
      </c>
      <c r="CO50">
        <v>216</v>
      </c>
      <c r="CP50">
        <v>11250000</v>
      </c>
      <c r="CQ50">
        <v>0</v>
      </c>
      <c r="CR50">
        <v>1</v>
      </c>
      <c r="CS50">
        <v>0</v>
      </c>
      <c r="CT50">
        <v>100.84345238095239</v>
      </c>
      <c r="CU50">
        <v>52083</v>
      </c>
      <c r="CV50">
        <v>756</v>
      </c>
      <c r="CW50">
        <v>36000000</v>
      </c>
      <c r="CX50">
        <v>1</v>
      </c>
      <c r="CY50">
        <v>1</v>
      </c>
      <c r="CZ50">
        <v>0</v>
      </c>
      <c r="DA50">
        <v>297.61904761904765</v>
      </c>
      <c r="DB50">
        <v>47619.047619047618</v>
      </c>
      <c r="DD50" t="s">
        <v>832</v>
      </c>
      <c r="DE50">
        <v>58</v>
      </c>
    </row>
    <row r="51" spans="1:109">
      <c r="A51">
        <v>59</v>
      </c>
      <c r="B51" t="s">
        <v>769</v>
      </c>
      <c r="C51" t="s">
        <v>48</v>
      </c>
      <c r="D51" t="s">
        <v>43</v>
      </c>
      <c r="E51" t="s">
        <v>43</v>
      </c>
      <c r="H51">
        <v>6</v>
      </c>
      <c r="I51" t="s">
        <v>283</v>
      </c>
      <c r="J51">
        <v>9</v>
      </c>
      <c r="K51">
        <v>2.5000000000000001E-2</v>
      </c>
      <c r="L51">
        <v>4.9641025641025642</v>
      </c>
      <c r="M51">
        <v>30</v>
      </c>
      <c r="N51" t="s">
        <v>47</v>
      </c>
      <c r="O51" t="s">
        <v>98</v>
      </c>
      <c r="P51">
        <v>0</v>
      </c>
      <c r="Q51">
        <v>0</v>
      </c>
      <c r="R51">
        <v>0</v>
      </c>
      <c r="S51">
        <v>0</v>
      </c>
      <c r="T51">
        <v>0</v>
      </c>
      <c r="U51">
        <v>0</v>
      </c>
      <c r="V51">
        <v>0</v>
      </c>
      <c r="W51">
        <v>0</v>
      </c>
      <c r="X51">
        <v>0</v>
      </c>
      <c r="Y51">
        <v>0</v>
      </c>
      <c r="Z51">
        <v>0</v>
      </c>
      <c r="AA51">
        <v>0</v>
      </c>
      <c r="AB51">
        <v>0</v>
      </c>
      <c r="AC51">
        <v>0</v>
      </c>
      <c r="AD51">
        <v>968</v>
      </c>
      <c r="AE51">
        <v>195</v>
      </c>
      <c r="AF51">
        <v>9</v>
      </c>
      <c r="AG51">
        <v>8712</v>
      </c>
      <c r="AH51">
        <v>78408</v>
      </c>
      <c r="AI51">
        <v>217</v>
      </c>
      <c r="AJ51">
        <v>1960</v>
      </c>
      <c r="AK51">
        <v>120</v>
      </c>
      <c r="AL51">
        <v>0</v>
      </c>
      <c r="AM51">
        <v>0</v>
      </c>
      <c r="AN51">
        <v>0</v>
      </c>
      <c r="AO51">
        <v>0</v>
      </c>
      <c r="AP51">
        <v>0</v>
      </c>
      <c r="AQ51">
        <v>0</v>
      </c>
      <c r="AR51">
        <v>1452</v>
      </c>
      <c r="AS51">
        <v>292</v>
      </c>
      <c r="AT51">
        <v>9</v>
      </c>
      <c r="AU51">
        <v>13068</v>
      </c>
      <c r="AV51">
        <v>117612</v>
      </c>
      <c r="AW51">
        <v>326</v>
      </c>
      <c r="AX51">
        <v>2940</v>
      </c>
      <c r="AY51">
        <v>30</v>
      </c>
      <c r="AZ51">
        <v>4500000</v>
      </c>
      <c r="BA51">
        <v>0</v>
      </c>
      <c r="BB51">
        <v>0</v>
      </c>
      <c r="BC51">
        <v>0</v>
      </c>
      <c r="BD51">
        <v>15.181359044995409</v>
      </c>
      <c r="BE51">
        <v>150000</v>
      </c>
      <c r="BF51">
        <v>1694</v>
      </c>
      <c r="BG51">
        <v>341</v>
      </c>
      <c r="BH51">
        <v>10</v>
      </c>
      <c r="BI51">
        <v>16940</v>
      </c>
      <c r="BJ51">
        <v>152460</v>
      </c>
      <c r="BK51">
        <v>423</v>
      </c>
      <c r="BL51">
        <v>3811</v>
      </c>
      <c r="BM51">
        <v>60</v>
      </c>
      <c r="BN51">
        <v>6750000</v>
      </c>
      <c r="BO51">
        <v>0</v>
      </c>
      <c r="BP51">
        <v>1</v>
      </c>
      <c r="BQ51">
        <v>0</v>
      </c>
      <c r="BR51">
        <v>18.531286894923259</v>
      </c>
      <c r="BS51">
        <v>112500</v>
      </c>
      <c r="BT51">
        <v>1839</v>
      </c>
      <c r="BU51">
        <v>370</v>
      </c>
      <c r="BV51">
        <v>10</v>
      </c>
      <c r="BW51">
        <v>18390</v>
      </c>
      <c r="BX51">
        <v>165510</v>
      </c>
      <c r="BY51">
        <v>459</v>
      </c>
      <c r="BZ51">
        <v>4137</v>
      </c>
      <c r="CA51">
        <v>90</v>
      </c>
      <c r="CB51">
        <v>9000000</v>
      </c>
      <c r="CC51">
        <v>0</v>
      </c>
      <c r="CD51">
        <v>0</v>
      </c>
      <c r="CE51">
        <v>0</v>
      </c>
      <c r="CF51">
        <v>23.84584013050571</v>
      </c>
      <c r="CG51">
        <v>100000</v>
      </c>
      <c r="CH51">
        <v>1936</v>
      </c>
      <c r="CI51">
        <v>390</v>
      </c>
      <c r="CJ51">
        <v>10</v>
      </c>
      <c r="CK51">
        <v>19360</v>
      </c>
      <c r="CL51">
        <v>174240</v>
      </c>
      <c r="CM51">
        <v>484</v>
      </c>
      <c r="CN51">
        <v>4356</v>
      </c>
      <c r="CO51">
        <v>120</v>
      </c>
      <c r="CP51">
        <v>11250000</v>
      </c>
      <c r="CQ51">
        <v>0</v>
      </c>
      <c r="CR51">
        <v>0</v>
      </c>
      <c r="CS51">
        <v>1</v>
      </c>
      <c r="CT51">
        <v>28.96177685950413</v>
      </c>
      <c r="CU51">
        <v>93750</v>
      </c>
      <c r="CV51">
        <v>420</v>
      </c>
      <c r="CW51">
        <v>31500000</v>
      </c>
      <c r="CX51">
        <v>0</v>
      </c>
      <c r="CY51">
        <v>1</v>
      </c>
      <c r="CZ51">
        <v>1</v>
      </c>
      <c r="DA51">
        <v>67.794421487603302</v>
      </c>
      <c r="DB51">
        <v>75000</v>
      </c>
      <c r="DD51" t="s">
        <v>769</v>
      </c>
      <c r="DE51">
        <v>59</v>
      </c>
    </row>
    <row r="52" spans="1:109">
      <c r="A52">
        <v>62</v>
      </c>
      <c r="B52" t="s">
        <v>833</v>
      </c>
      <c r="C52" t="s">
        <v>42</v>
      </c>
      <c r="D52" t="s">
        <v>43</v>
      </c>
      <c r="E52" t="s">
        <v>43</v>
      </c>
      <c r="H52">
        <v>3</v>
      </c>
      <c r="I52" t="s">
        <v>268</v>
      </c>
      <c r="J52">
        <v>5</v>
      </c>
      <c r="K52">
        <v>0.1</v>
      </c>
      <c r="L52">
        <v>1.3850415512465375</v>
      </c>
      <c r="M52">
        <v>30</v>
      </c>
      <c r="N52" t="s">
        <v>47</v>
      </c>
      <c r="O52" t="s">
        <v>98</v>
      </c>
      <c r="P52">
        <v>0</v>
      </c>
      <c r="Q52">
        <v>0</v>
      </c>
      <c r="R52">
        <v>0</v>
      </c>
      <c r="S52">
        <v>0</v>
      </c>
      <c r="T52">
        <v>0</v>
      </c>
      <c r="U52">
        <v>0</v>
      </c>
      <c r="V52">
        <v>0</v>
      </c>
      <c r="W52">
        <v>0</v>
      </c>
      <c r="X52">
        <v>0</v>
      </c>
      <c r="Y52">
        <v>0</v>
      </c>
      <c r="Z52">
        <v>0</v>
      </c>
      <c r="AA52">
        <v>0</v>
      </c>
      <c r="AB52">
        <v>0</v>
      </c>
      <c r="AC52">
        <v>0</v>
      </c>
      <c r="AD52">
        <v>500</v>
      </c>
      <c r="AE52">
        <v>361</v>
      </c>
      <c r="AF52">
        <v>9</v>
      </c>
      <c r="AG52">
        <v>4500</v>
      </c>
      <c r="AH52">
        <v>22500</v>
      </c>
      <c r="AI52">
        <v>450</v>
      </c>
      <c r="AJ52">
        <v>2250</v>
      </c>
      <c r="AK52">
        <v>240</v>
      </c>
      <c r="AL52">
        <v>10000000</v>
      </c>
      <c r="AM52">
        <v>0</v>
      </c>
      <c r="AN52">
        <v>0</v>
      </c>
      <c r="AO52">
        <v>0</v>
      </c>
      <c r="AP52">
        <v>92.592592592592595</v>
      </c>
      <c r="AQ52">
        <v>41666</v>
      </c>
      <c r="AR52">
        <v>750</v>
      </c>
      <c r="AS52">
        <v>541</v>
      </c>
      <c r="AT52">
        <v>9</v>
      </c>
      <c r="AU52">
        <v>6750</v>
      </c>
      <c r="AV52">
        <v>33750</v>
      </c>
      <c r="AW52">
        <v>675</v>
      </c>
      <c r="AX52">
        <v>3375</v>
      </c>
      <c r="AY52">
        <v>60</v>
      </c>
      <c r="AZ52">
        <v>10000000</v>
      </c>
      <c r="BA52">
        <v>0</v>
      </c>
      <c r="BB52">
        <v>0</v>
      </c>
      <c r="BC52">
        <v>0</v>
      </c>
      <c r="BD52">
        <v>63.395061728395063</v>
      </c>
      <c r="BE52">
        <v>166666</v>
      </c>
      <c r="BF52">
        <v>875</v>
      </c>
      <c r="BG52">
        <v>631</v>
      </c>
      <c r="BH52">
        <v>10</v>
      </c>
      <c r="BI52">
        <v>8750</v>
      </c>
      <c r="BJ52">
        <v>43750</v>
      </c>
      <c r="BK52">
        <v>875</v>
      </c>
      <c r="BL52">
        <v>4375</v>
      </c>
      <c r="BM52">
        <v>120</v>
      </c>
      <c r="BN52">
        <v>15000000</v>
      </c>
      <c r="BO52">
        <v>1</v>
      </c>
      <c r="BP52">
        <v>0</v>
      </c>
      <c r="BQ52">
        <v>0</v>
      </c>
      <c r="BR52">
        <v>75.285714285714292</v>
      </c>
      <c r="BS52">
        <v>125000</v>
      </c>
      <c r="BT52">
        <v>950</v>
      </c>
      <c r="BU52">
        <v>685</v>
      </c>
      <c r="BV52">
        <v>10</v>
      </c>
      <c r="BW52">
        <v>9500</v>
      </c>
      <c r="BX52">
        <v>47500</v>
      </c>
      <c r="BY52">
        <v>950</v>
      </c>
      <c r="BZ52">
        <v>4750</v>
      </c>
      <c r="CA52">
        <v>180</v>
      </c>
      <c r="CB52">
        <v>20000000</v>
      </c>
      <c r="CC52">
        <v>0</v>
      </c>
      <c r="CD52">
        <v>0</v>
      </c>
      <c r="CE52">
        <v>0</v>
      </c>
      <c r="CF52">
        <v>94.627192982456151</v>
      </c>
      <c r="CG52">
        <v>111111</v>
      </c>
      <c r="CH52">
        <v>1000</v>
      </c>
      <c r="CI52">
        <v>722</v>
      </c>
      <c r="CJ52">
        <v>10</v>
      </c>
      <c r="CK52">
        <v>10000</v>
      </c>
      <c r="CL52">
        <v>50000</v>
      </c>
      <c r="CM52">
        <v>1000</v>
      </c>
      <c r="CN52">
        <v>5000</v>
      </c>
      <c r="CO52">
        <v>240</v>
      </c>
      <c r="CP52">
        <v>25000000</v>
      </c>
      <c r="CQ52">
        <v>0</v>
      </c>
      <c r="CR52">
        <v>1</v>
      </c>
      <c r="CS52">
        <v>0</v>
      </c>
      <c r="CT52">
        <v>113.66666666666667</v>
      </c>
      <c r="CU52">
        <v>104166</v>
      </c>
      <c r="CV52">
        <v>840</v>
      </c>
      <c r="CW52">
        <v>80000000</v>
      </c>
      <c r="CX52">
        <v>1</v>
      </c>
      <c r="CY52">
        <v>1</v>
      </c>
      <c r="CZ52">
        <v>0</v>
      </c>
      <c r="DA52">
        <v>333.33333333333331</v>
      </c>
      <c r="DB52">
        <v>95238.095238095237</v>
      </c>
      <c r="DD52" t="s">
        <v>833</v>
      </c>
      <c r="DE52">
        <v>62</v>
      </c>
    </row>
    <row r="53" spans="1:109">
      <c r="A53">
        <v>63</v>
      </c>
      <c r="B53" t="s">
        <v>751</v>
      </c>
      <c r="C53" t="s">
        <v>54</v>
      </c>
      <c r="E53" t="s">
        <v>43</v>
      </c>
      <c r="H53">
        <v>6</v>
      </c>
      <c r="I53" t="s">
        <v>283</v>
      </c>
      <c r="J53">
        <v>3</v>
      </c>
      <c r="K53">
        <v>7.4999999999999997E-2</v>
      </c>
      <c r="L53">
        <v>2.9027777777777777</v>
      </c>
      <c r="M53">
        <v>30</v>
      </c>
      <c r="N53" t="s">
        <v>47</v>
      </c>
      <c r="O53" t="s">
        <v>98</v>
      </c>
      <c r="P53">
        <v>0</v>
      </c>
      <c r="Q53">
        <v>0</v>
      </c>
      <c r="R53">
        <v>0</v>
      </c>
      <c r="S53">
        <v>0</v>
      </c>
      <c r="T53">
        <v>0</v>
      </c>
      <c r="U53">
        <v>0</v>
      </c>
      <c r="V53">
        <v>0</v>
      </c>
      <c r="W53">
        <v>0</v>
      </c>
      <c r="X53">
        <v>0</v>
      </c>
      <c r="Y53">
        <v>0</v>
      </c>
      <c r="Z53">
        <v>0</v>
      </c>
      <c r="AA53">
        <v>0</v>
      </c>
      <c r="AB53">
        <v>0</v>
      </c>
      <c r="AC53">
        <v>0</v>
      </c>
      <c r="AD53">
        <v>418</v>
      </c>
      <c r="AE53">
        <v>144</v>
      </c>
      <c r="AF53">
        <v>6</v>
      </c>
      <c r="AG53">
        <v>2508</v>
      </c>
      <c r="AH53">
        <v>7524</v>
      </c>
      <c r="AI53">
        <v>188</v>
      </c>
      <c r="AJ53">
        <v>564</v>
      </c>
      <c r="AK53">
        <v>144</v>
      </c>
      <c r="AL53">
        <v>0</v>
      </c>
      <c r="AM53">
        <v>0</v>
      </c>
      <c r="AN53">
        <v>0</v>
      </c>
      <c r="AO53">
        <v>0</v>
      </c>
      <c r="AP53">
        <v>0</v>
      </c>
      <c r="AQ53">
        <v>0</v>
      </c>
      <c r="AR53">
        <v>627</v>
      </c>
      <c r="AS53">
        <v>216</v>
      </c>
      <c r="AT53">
        <v>6</v>
      </c>
      <c r="AU53">
        <v>3762</v>
      </c>
      <c r="AV53">
        <v>11286</v>
      </c>
      <c r="AW53">
        <v>282</v>
      </c>
      <c r="AX53">
        <v>846</v>
      </c>
      <c r="AY53">
        <v>36</v>
      </c>
      <c r="AZ53">
        <v>10000000</v>
      </c>
      <c r="BA53">
        <v>0</v>
      </c>
      <c r="BB53">
        <v>0</v>
      </c>
      <c r="BC53">
        <v>0</v>
      </c>
      <c r="BD53">
        <v>111.75668970405813</v>
      </c>
      <c r="BE53">
        <v>277777</v>
      </c>
      <c r="BF53">
        <v>731</v>
      </c>
      <c r="BG53">
        <v>252</v>
      </c>
      <c r="BH53">
        <v>6</v>
      </c>
      <c r="BI53">
        <v>4386</v>
      </c>
      <c r="BJ53">
        <v>13158</v>
      </c>
      <c r="BK53">
        <v>328</v>
      </c>
      <c r="BL53">
        <v>986</v>
      </c>
      <c r="BM53">
        <v>72</v>
      </c>
      <c r="BN53">
        <v>15000000</v>
      </c>
      <c r="BO53">
        <v>0</v>
      </c>
      <c r="BP53">
        <v>1</v>
      </c>
      <c r="BQ53">
        <v>0</v>
      </c>
      <c r="BR53">
        <v>145.0720474236206</v>
      </c>
      <c r="BS53">
        <v>208333</v>
      </c>
      <c r="BT53">
        <v>794</v>
      </c>
      <c r="BU53">
        <v>273</v>
      </c>
      <c r="BV53">
        <v>7</v>
      </c>
      <c r="BW53">
        <v>5558</v>
      </c>
      <c r="BX53">
        <v>16674</v>
      </c>
      <c r="BY53">
        <v>416</v>
      </c>
      <c r="BZ53">
        <v>1250</v>
      </c>
      <c r="CA53">
        <v>108</v>
      </c>
      <c r="CB53">
        <v>20000000</v>
      </c>
      <c r="CC53">
        <v>0</v>
      </c>
      <c r="CD53">
        <v>0</v>
      </c>
      <c r="CE53">
        <v>0</v>
      </c>
      <c r="CF53">
        <v>153.48512654432051</v>
      </c>
      <c r="CG53">
        <v>185185</v>
      </c>
      <c r="CH53">
        <v>836</v>
      </c>
      <c r="CI53">
        <v>288</v>
      </c>
      <c r="CJ53">
        <v>7</v>
      </c>
      <c r="CK53">
        <v>5852</v>
      </c>
      <c r="CL53">
        <v>17556</v>
      </c>
      <c r="CM53">
        <v>438</v>
      </c>
      <c r="CN53">
        <v>1316</v>
      </c>
      <c r="CO53">
        <v>144</v>
      </c>
      <c r="CP53">
        <v>25000000</v>
      </c>
      <c r="CQ53">
        <v>0</v>
      </c>
      <c r="CR53">
        <v>0</v>
      </c>
      <c r="CS53">
        <v>1</v>
      </c>
      <c r="CT53">
        <v>183.70038733196625</v>
      </c>
      <c r="CU53">
        <v>173611</v>
      </c>
      <c r="CV53">
        <v>504</v>
      </c>
      <c r="CW53">
        <v>70000000</v>
      </c>
      <c r="CX53">
        <v>0</v>
      </c>
      <c r="CY53">
        <v>1</v>
      </c>
      <c r="CZ53">
        <v>1</v>
      </c>
      <c r="DA53">
        <v>498.40510366826157</v>
      </c>
      <c r="DB53">
        <v>138888.88888888888</v>
      </c>
      <c r="DD53" t="s">
        <v>751</v>
      </c>
      <c r="DE53">
        <v>63</v>
      </c>
    </row>
    <row r="54" spans="1:109">
      <c r="A54">
        <v>64</v>
      </c>
      <c r="B54" t="s">
        <v>766</v>
      </c>
      <c r="C54" t="s">
        <v>48</v>
      </c>
      <c r="D54" t="s">
        <v>43</v>
      </c>
      <c r="E54" t="s">
        <v>43</v>
      </c>
      <c r="H54">
        <v>4</v>
      </c>
      <c r="I54" t="s">
        <v>268</v>
      </c>
      <c r="J54">
        <v>9</v>
      </c>
      <c r="K54">
        <v>2.5000000000000001E-2</v>
      </c>
      <c r="L54">
        <v>4.9438202247191008</v>
      </c>
      <c r="M54">
        <v>30</v>
      </c>
      <c r="N54" t="s">
        <v>47</v>
      </c>
      <c r="O54" t="s">
        <v>98</v>
      </c>
      <c r="P54">
        <v>0</v>
      </c>
      <c r="Q54">
        <v>0</v>
      </c>
      <c r="R54">
        <v>0</v>
      </c>
      <c r="S54">
        <v>0</v>
      </c>
      <c r="T54">
        <v>0</v>
      </c>
      <c r="U54">
        <v>0</v>
      </c>
      <c r="V54">
        <v>0</v>
      </c>
      <c r="W54">
        <v>0</v>
      </c>
      <c r="X54">
        <v>0</v>
      </c>
      <c r="Y54">
        <v>0</v>
      </c>
      <c r="Z54">
        <v>0</v>
      </c>
      <c r="AA54">
        <v>0</v>
      </c>
      <c r="AB54">
        <v>0</v>
      </c>
      <c r="AC54">
        <v>0</v>
      </c>
      <c r="AD54">
        <v>880</v>
      </c>
      <c r="AE54">
        <v>178</v>
      </c>
      <c r="AF54">
        <v>9</v>
      </c>
      <c r="AG54">
        <v>7920</v>
      </c>
      <c r="AH54">
        <v>71280</v>
      </c>
      <c r="AI54">
        <v>198</v>
      </c>
      <c r="AJ54">
        <v>1782</v>
      </c>
      <c r="AK54">
        <v>288</v>
      </c>
      <c r="AL54">
        <v>15000000</v>
      </c>
      <c r="AM54">
        <v>0</v>
      </c>
      <c r="AN54">
        <v>0</v>
      </c>
      <c r="AO54">
        <v>0</v>
      </c>
      <c r="AP54">
        <v>78.914141414141412</v>
      </c>
      <c r="AQ54">
        <v>52083</v>
      </c>
      <c r="AR54">
        <v>1320</v>
      </c>
      <c r="AS54">
        <v>267</v>
      </c>
      <c r="AT54">
        <v>9</v>
      </c>
      <c r="AU54">
        <v>11880</v>
      </c>
      <c r="AV54">
        <v>106920</v>
      </c>
      <c r="AW54">
        <v>297</v>
      </c>
      <c r="AX54">
        <v>2673</v>
      </c>
      <c r="AY54">
        <v>72</v>
      </c>
      <c r="AZ54">
        <v>15000000</v>
      </c>
      <c r="BA54">
        <v>0</v>
      </c>
      <c r="BB54">
        <v>0</v>
      </c>
      <c r="BC54">
        <v>0</v>
      </c>
      <c r="BD54">
        <v>54.609427609427605</v>
      </c>
      <c r="BE54">
        <v>208333</v>
      </c>
      <c r="BF54">
        <v>1540</v>
      </c>
      <c r="BG54">
        <v>311</v>
      </c>
      <c r="BH54">
        <v>10</v>
      </c>
      <c r="BI54">
        <v>15400</v>
      </c>
      <c r="BJ54">
        <v>138600</v>
      </c>
      <c r="BK54">
        <v>385</v>
      </c>
      <c r="BL54">
        <v>3465</v>
      </c>
      <c r="BM54">
        <v>144</v>
      </c>
      <c r="BN54">
        <v>22500000</v>
      </c>
      <c r="BO54">
        <v>1</v>
      </c>
      <c r="BP54">
        <v>0</v>
      </c>
      <c r="BQ54">
        <v>0</v>
      </c>
      <c r="BR54">
        <v>65.505194805194805</v>
      </c>
      <c r="BS54">
        <v>156250</v>
      </c>
      <c r="BT54">
        <v>1672</v>
      </c>
      <c r="BU54">
        <v>338</v>
      </c>
      <c r="BV54">
        <v>10</v>
      </c>
      <c r="BW54">
        <v>16720</v>
      </c>
      <c r="BX54">
        <v>150480</v>
      </c>
      <c r="BY54">
        <v>418</v>
      </c>
      <c r="BZ54">
        <v>3762</v>
      </c>
      <c r="CA54">
        <v>216</v>
      </c>
      <c r="CB54">
        <v>30000000</v>
      </c>
      <c r="CC54">
        <v>0</v>
      </c>
      <c r="CD54">
        <v>0</v>
      </c>
      <c r="CE54">
        <v>0</v>
      </c>
      <c r="CF54">
        <v>83.050239234449762</v>
      </c>
      <c r="CG54">
        <v>138888</v>
      </c>
      <c r="CH54">
        <v>1760</v>
      </c>
      <c r="CI54">
        <v>356</v>
      </c>
      <c r="CJ54">
        <v>10</v>
      </c>
      <c r="CK54">
        <v>17600</v>
      </c>
      <c r="CL54">
        <v>158400</v>
      </c>
      <c r="CM54">
        <v>440</v>
      </c>
      <c r="CN54">
        <v>3960</v>
      </c>
      <c r="CO54">
        <v>288</v>
      </c>
      <c r="CP54">
        <v>37500000</v>
      </c>
      <c r="CQ54">
        <v>0</v>
      </c>
      <c r="CR54">
        <v>1</v>
      </c>
      <c r="CS54">
        <v>0</v>
      </c>
      <c r="CT54">
        <v>100.1784090909091</v>
      </c>
      <c r="CU54">
        <v>130208</v>
      </c>
      <c r="CV54">
        <v>1008</v>
      </c>
      <c r="CW54">
        <v>120000000</v>
      </c>
      <c r="CX54">
        <v>1</v>
      </c>
      <c r="CY54">
        <v>1</v>
      </c>
      <c r="CZ54">
        <v>0</v>
      </c>
      <c r="DA54">
        <v>284.09090909090907</v>
      </c>
      <c r="DB54">
        <v>119047.61904761905</v>
      </c>
      <c r="DD54" t="s">
        <v>766</v>
      </c>
      <c r="DE54">
        <v>64</v>
      </c>
    </row>
    <row r="55" spans="1:109">
      <c r="A55">
        <v>66</v>
      </c>
      <c r="B55" t="s">
        <v>747</v>
      </c>
      <c r="C55" t="s">
        <v>54</v>
      </c>
      <c r="E55" t="s">
        <v>43</v>
      </c>
      <c r="H55">
        <v>4</v>
      </c>
      <c r="I55" t="s">
        <v>268</v>
      </c>
      <c r="J55">
        <v>3</v>
      </c>
      <c r="K55">
        <v>7.4999999999999997E-2</v>
      </c>
      <c r="L55">
        <v>2.9007633587786259</v>
      </c>
      <c r="M55">
        <v>30</v>
      </c>
      <c r="N55" t="s">
        <v>47</v>
      </c>
      <c r="O55" t="s">
        <v>98</v>
      </c>
      <c r="P55">
        <v>0</v>
      </c>
      <c r="Q55">
        <v>0</v>
      </c>
      <c r="R55">
        <v>0</v>
      </c>
      <c r="S55">
        <v>0</v>
      </c>
      <c r="T55">
        <v>0</v>
      </c>
      <c r="U55">
        <v>0</v>
      </c>
      <c r="V55">
        <v>0</v>
      </c>
      <c r="W55">
        <v>0</v>
      </c>
      <c r="X55">
        <v>0</v>
      </c>
      <c r="Y55">
        <v>0</v>
      </c>
      <c r="Z55">
        <v>0</v>
      </c>
      <c r="AA55">
        <v>0</v>
      </c>
      <c r="AB55">
        <v>0</v>
      </c>
      <c r="AC55">
        <v>0</v>
      </c>
      <c r="AD55">
        <v>380</v>
      </c>
      <c r="AE55">
        <v>131</v>
      </c>
      <c r="AF55">
        <v>6</v>
      </c>
      <c r="AG55">
        <v>2280</v>
      </c>
      <c r="AH55">
        <v>6840</v>
      </c>
      <c r="AI55">
        <v>171</v>
      </c>
      <c r="AJ55">
        <v>513</v>
      </c>
      <c r="AK55">
        <v>336</v>
      </c>
      <c r="AL55">
        <v>20000000</v>
      </c>
      <c r="AM55">
        <v>0</v>
      </c>
      <c r="AN55">
        <v>0</v>
      </c>
      <c r="AO55">
        <v>0</v>
      </c>
      <c r="AP55">
        <v>365.4970760233918</v>
      </c>
      <c r="AQ55">
        <v>59523</v>
      </c>
      <c r="AR55">
        <v>570</v>
      </c>
      <c r="AS55">
        <v>196</v>
      </c>
      <c r="AT55">
        <v>6</v>
      </c>
      <c r="AU55">
        <v>3420</v>
      </c>
      <c r="AV55">
        <v>10260</v>
      </c>
      <c r="AW55">
        <v>256</v>
      </c>
      <c r="AX55">
        <v>769</v>
      </c>
      <c r="AY55">
        <v>84</v>
      </c>
      <c r="AZ55">
        <v>20000000</v>
      </c>
      <c r="BA55">
        <v>0</v>
      </c>
      <c r="BB55">
        <v>0</v>
      </c>
      <c r="BC55">
        <v>0</v>
      </c>
      <c r="BD55">
        <v>245.99805068226121</v>
      </c>
      <c r="BE55">
        <v>238095</v>
      </c>
      <c r="BF55">
        <v>665</v>
      </c>
      <c r="BG55">
        <v>229</v>
      </c>
      <c r="BH55">
        <v>6</v>
      </c>
      <c r="BI55">
        <v>3990</v>
      </c>
      <c r="BJ55">
        <v>11970</v>
      </c>
      <c r="BK55">
        <v>299</v>
      </c>
      <c r="BL55">
        <v>897</v>
      </c>
      <c r="BM55">
        <v>168</v>
      </c>
      <c r="BN55">
        <v>30000000</v>
      </c>
      <c r="BO55">
        <v>1</v>
      </c>
      <c r="BP55">
        <v>0</v>
      </c>
      <c r="BQ55">
        <v>0</v>
      </c>
      <c r="BR55">
        <v>319.28320802005015</v>
      </c>
      <c r="BS55">
        <v>178571</v>
      </c>
      <c r="BT55">
        <v>722</v>
      </c>
      <c r="BU55">
        <v>248</v>
      </c>
      <c r="BV55">
        <v>7</v>
      </c>
      <c r="BW55">
        <v>5054</v>
      </c>
      <c r="BX55">
        <v>15162</v>
      </c>
      <c r="BY55">
        <v>379</v>
      </c>
      <c r="BZ55">
        <v>1137</v>
      </c>
      <c r="CA55">
        <v>252</v>
      </c>
      <c r="CB55">
        <v>40000000</v>
      </c>
      <c r="CC55">
        <v>0</v>
      </c>
      <c r="CD55">
        <v>0</v>
      </c>
      <c r="CE55">
        <v>0</v>
      </c>
      <c r="CF55">
        <v>338.06127160005275</v>
      </c>
      <c r="CG55">
        <v>158730</v>
      </c>
      <c r="CH55">
        <v>760</v>
      </c>
      <c r="CI55">
        <v>262</v>
      </c>
      <c r="CJ55">
        <v>7</v>
      </c>
      <c r="CK55">
        <v>5320</v>
      </c>
      <c r="CL55">
        <v>15960</v>
      </c>
      <c r="CM55">
        <v>399</v>
      </c>
      <c r="CN55">
        <v>1197</v>
      </c>
      <c r="CO55">
        <v>336</v>
      </c>
      <c r="CP55">
        <v>50000000</v>
      </c>
      <c r="CQ55">
        <v>0</v>
      </c>
      <c r="CR55">
        <v>1</v>
      </c>
      <c r="CS55">
        <v>0</v>
      </c>
      <c r="CT55">
        <v>404.90401002506269</v>
      </c>
      <c r="CU55">
        <v>148809</v>
      </c>
      <c r="CV55">
        <v>1176</v>
      </c>
      <c r="CW55">
        <v>160000000</v>
      </c>
      <c r="CX55">
        <v>1</v>
      </c>
      <c r="CY55">
        <v>1</v>
      </c>
      <c r="CZ55">
        <v>0</v>
      </c>
      <c r="DA55">
        <v>1253.1328320802006</v>
      </c>
      <c r="DB55">
        <v>136054.42176870749</v>
      </c>
      <c r="DD55" t="s">
        <v>747</v>
      </c>
      <c r="DE55">
        <v>66</v>
      </c>
    </row>
    <row r="56" spans="1:109">
      <c r="A56">
        <v>67</v>
      </c>
      <c r="B56" t="s">
        <v>834</v>
      </c>
      <c r="C56" t="s">
        <v>42</v>
      </c>
      <c r="D56" t="s">
        <v>43</v>
      </c>
      <c r="E56" t="s">
        <v>43</v>
      </c>
      <c r="H56">
        <v>6</v>
      </c>
      <c r="I56" t="s">
        <v>283</v>
      </c>
      <c r="J56">
        <v>5</v>
      </c>
      <c r="K56">
        <v>0.1</v>
      </c>
      <c r="L56">
        <v>1.385390428211587</v>
      </c>
      <c r="M56">
        <v>30</v>
      </c>
      <c r="N56" t="s">
        <v>47</v>
      </c>
      <c r="O56" t="s">
        <v>98</v>
      </c>
      <c r="P56">
        <v>0</v>
      </c>
      <c r="Q56">
        <v>0</v>
      </c>
      <c r="R56">
        <v>0</v>
      </c>
      <c r="S56">
        <v>0</v>
      </c>
      <c r="T56">
        <v>0</v>
      </c>
      <c r="U56">
        <v>0</v>
      </c>
      <c r="V56">
        <v>0</v>
      </c>
      <c r="W56">
        <v>0</v>
      </c>
      <c r="X56">
        <v>0</v>
      </c>
      <c r="Y56">
        <v>0</v>
      </c>
      <c r="Z56">
        <v>0</v>
      </c>
      <c r="AA56">
        <v>0</v>
      </c>
      <c r="AB56">
        <v>0</v>
      </c>
      <c r="AC56">
        <v>0</v>
      </c>
      <c r="AD56">
        <v>550</v>
      </c>
      <c r="AE56">
        <v>397</v>
      </c>
      <c r="AF56">
        <v>9</v>
      </c>
      <c r="AG56">
        <v>4950</v>
      </c>
      <c r="AH56">
        <v>24750</v>
      </c>
      <c r="AI56">
        <v>495</v>
      </c>
      <c r="AJ56">
        <v>2475</v>
      </c>
      <c r="AK56">
        <v>168</v>
      </c>
      <c r="AL56">
        <v>0</v>
      </c>
      <c r="AM56">
        <v>0</v>
      </c>
      <c r="AN56">
        <v>0</v>
      </c>
      <c r="AO56">
        <v>0</v>
      </c>
      <c r="AP56">
        <v>0</v>
      </c>
      <c r="AQ56">
        <v>0</v>
      </c>
      <c r="AR56">
        <v>825</v>
      </c>
      <c r="AS56">
        <v>595</v>
      </c>
      <c r="AT56">
        <v>9</v>
      </c>
      <c r="AU56">
        <v>7425</v>
      </c>
      <c r="AV56">
        <v>37125</v>
      </c>
      <c r="AW56">
        <v>742</v>
      </c>
      <c r="AX56">
        <v>3712</v>
      </c>
      <c r="AY56">
        <v>42</v>
      </c>
      <c r="AZ56">
        <v>20000000</v>
      </c>
      <c r="BA56">
        <v>0</v>
      </c>
      <c r="BB56">
        <v>0</v>
      </c>
      <c r="BC56">
        <v>0</v>
      </c>
      <c r="BD56">
        <v>113.40011223344557</v>
      </c>
      <c r="BE56">
        <v>476190</v>
      </c>
      <c r="BF56">
        <v>962</v>
      </c>
      <c r="BG56">
        <v>694</v>
      </c>
      <c r="BH56">
        <v>10</v>
      </c>
      <c r="BI56">
        <v>9620</v>
      </c>
      <c r="BJ56">
        <v>48100</v>
      </c>
      <c r="BK56">
        <v>962</v>
      </c>
      <c r="BL56">
        <v>4810</v>
      </c>
      <c r="BM56">
        <v>84</v>
      </c>
      <c r="BN56">
        <v>30000000</v>
      </c>
      <c r="BO56">
        <v>0</v>
      </c>
      <c r="BP56">
        <v>1</v>
      </c>
      <c r="BQ56">
        <v>0</v>
      </c>
      <c r="BR56">
        <v>132.63903326403326</v>
      </c>
      <c r="BS56">
        <v>357142</v>
      </c>
      <c r="BT56">
        <v>1045</v>
      </c>
      <c r="BU56">
        <v>754</v>
      </c>
      <c r="BV56">
        <v>10</v>
      </c>
      <c r="BW56">
        <v>10450</v>
      </c>
      <c r="BX56">
        <v>52250</v>
      </c>
      <c r="BY56">
        <v>1045</v>
      </c>
      <c r="BZ56">
        <v>5225</v>
      </c>
      <c r="CA56">
        <v>126</v>
      </c>
      <c r="CB56">
        <v>40000000</v>
      </c>
      <c r="CC56">
        <v>0</v>
      </c>
      <c r="CD56">
        <v>0</v>
      </c>
      <c r="CE56">
        <v>0</v>
      </c>
      <c r="CF56">
        <v>164.32264752791068</v>
      </c>
      <c r="CG56">
        <v>317460</v>
      </c>
      <c r="CH56">
        <v>1100</v>
      </c>
      <c r="CI56">
        <v>794</v>
      </c>
      <c r="CJ56">
        <v>10</v>
      </c>
      <c r="CK56">
        <v>11000</v>
      </c>
      <c r="CL56">
        <v>55000</v>
      </c>
      <c r="CM56">
        <v>1100</v>
      </c>
      <c r="CN56">
        <v>5500</v>
      </c>
      <c r="CO56">
        <v>168</v>
      </c>
      <c r="CP56">
        <v>50000000</v>
      </c>
      <c r="CQ56">
        <v>0</v>
      </c>
      <c r="CR56">
        <v>0</v>
      </c>
      <c r="CS56">
        <v>1</v>
      </c>
      <c r="CT56">
        <v>196.04393939393938</v>
      </c>
      <c r="CU56">
        <v>297619</v>
      </c>
      <c r="CV56">
        <v>588</v>
      </c>
      <c r="CW56">
        <v>140000000</v>
      </c>
      <c r="CX56">
        <v>0</v>
      </c>
      <c r="CY56">
        <v>1</v>
      </c>
      <c r="CZ56">
        <v>1</v>
      </c>
      <c r="DA56">
        <v>530.30303030303037</v>
      </c>
      <c r="DB56">
        <v>238095.23809523811</v>
      </c>
      <c r="DD56" t="s">
        <v>834</v>
      </c>
      <c r="DE56">
        <v>67</v>
      </c>
    </row>
    <row r="57" spans="1:109">
      <c r="A57">
        <v>69</v>
      </c>
      <c r="B57" t="s">
        <v>835</v>
      </c>
      <c r="C57" t="s">
        <v>52</v>
      </c>
      <c r="E57" t="s">
        <v>43</v>
      </c>
      <c r="H57">
        <v>3</v>
      </c>
      <c r="I57" t="s">
        <v>268</v>
      </c>
      <c r="J57">
        <v>1.125</v>
      </c>
      <c r="K57">
        <v>0.13250000000000001</v>
      </c>
      <c r="L57">
        <v>0.7857142857142857</v>
      </c>
      <c r="M57">
        <v>30</v>
      </c>
      <c r="N57" t="s">
        <v>47</v>
      </c>
      <c r="O57" t="s">
        <v>98</v>
      </c>
      <c r="P57">
        <v>0</v>
      </c>
      <c r="Q57">
        <v>0</v>
      </c>
      <c r="R57">
        <v>0</v>
      </c>
      <c r="S57">
        <v>0</v>
      </c>
      <c r="T57">
        <v>0</v>
      </c>
      <c r="U57">
        <v>0</v>
      </c>
      <c r="V57">
        <v>0</v>
      </c>
      <c r="W57">
        <v>0</v>
      </c>
      <c r="X57">
        <v>0</v>
      </c>
      <c r="Y57">
        <v>0</v>
      </c>
      <c r="Z57">
        <v>0</v>
      </c>
      <c r="AA57">
        <v>0</v>
      </c>
      <c r="AB57">
        <v>0</v>
      </c>
      <c r="AC57">
        <v>0</v>
      </c>
      <c r="AD57">
        <v>154</v>
      </c>
      <c r="AE57">
        <v>196</v>
      </c>
      <c r="AF57">
        <v>9</v>
      </c>
      <c r="AG57">
        <v>1386</v>
      </c>
      <c r="AH57">
        <v>1559</v>
      </c>
      <c r="AI57">
        <v>183</v>
      </c>
      <c r="AJ57">
        <v>206</v>
      </c>
      <c r="AK57">
        <v>60</v>
      </c>
      <c r="AL57">
        <v>350000</v>
      </c>
      <c r="AM57">
        <v>0</v>
      </c>
      <c r="AN57">
        <v>0</v>
      </c>
      <c r="AO57">
        <v>0</v>
      </c>
      <c r="AP57">
        <v>10.521885521885521</v>
      </c>
      <c r="AQ57">
        <v>5833</v>
      </c>
      <c r="AR57">
        <v>231</v>
      </c>
      <c r="AS57">
        <v>294</v>
      </c>
      <c r="AT57">
        <v>9</v>
      </c>
      <c r="AU57">
        <v>2079</v>
      </c>
      <c r="AV57">
        <v>2338</v>
      </c>
      <c r="AW57">
        <v>275</v>
      </c>
      <c r="AX57">
        <v>309</v>
      </c>
      <c r="AY57">
        <v>15</v>
      </c>
      <c r="AZ57">
        <v>350000</v>
      </c>
      <c r="BA57">
        <v>0</v>
      </c>
      <c r="BB57">
        <v>0</v>
      </c>
      <c r="BC57">
        <v>0</v>
      </c>
      <c r="BD57">
        <v>7.431257014590348</v>
      </c>
      <c r="BE57">
        <v>23333</v>
      </c>
      <c r="BF57">
        <v>269</v>
      </c>
      <c r="BG57">
        <v>343</v>
      </c>
      <c r="BH57">
        <v>10</v>
      </c>
      <c r="BI57">
        <v>2690</v>
      </c>
      <c r="BJ57">
        <v>3026</v>
      </c>
      <c r="BK57">
        <v>356</v>
      </c>
      <c r="BL57">
        <v>400</v>
      </c>
      <c r="BM57">
        <v>30</v>
      </c>
      <c r="BN57">
        <v>525000</v>
      </c>
      <c r="BO57">
        <v>1</v>
      </c>
      <c r="BP57">
        <v>0</v>
      </c>
      <c r="BQ57">
        <v>0</v>
      </c>
      <c r="BR57">
        <v>9.0980483271375459</v>
      </c>
      <c r="BS57">
        <v>17500</v>
      </c>
      <c r="BT57">
        <v>292</v>
      </c>
      <c r="BU57">
        <v>372</v>
      </c>
      <c r="BV57">
        <v>10</v>
      </c>
      <c r="BW57">
        <v>2920</v>
      </c>
      <c r="BX57">
        <v>3285</v>
      </c>
      <c r="BY57">
        <v>386</v>
      </c>
      <c r="BZ57">
        <v>435</v>
      </c>
      <c r="CA57">
        <v>45</v>
      </c>
      <c r="CB57">
        <v>700000</v>
      </c>
      <c r="CC57">
        <v>0</v>
      </c>
      <c r="CD57">
        <v>0</v>
      </c>
      <c r="CE57">
        <v>0</v>
      </c>
      <c r="CF57">
        <v>11.71589611872146</v>
      </c>
      <c r="CG57">
        <v>15555</v>
      </c>
      <c r="CH57">
        <v>308</v>
      </c>
      <c r="CI57">
        <v>392</v>
      </c>
      <c r="CJ57">
        <v>10</v>
      </c>
      <c r="CK57">
        <v>3080</v>
      </c>
      <c r="CL57">
        <v>3465</v>
      </c>
      <c r="CM57">
        <v>408</v>
      </c>
      <c r="CN57">
        <v>459</v>
      </c>
      <c r="CO57">
        <v>60</v>
      </c>
      <c r="CP57">
        <v>875000</v>
      </c>
      <c r="CQ57">
        <v>0</v>
      </c>
      <c r="CR57">
        <v>1</v>
      </c>
      <c r="CS57">
        <v>0</v>
      </c>
      <c r="CT57">
        <v>14.207251082251082</v>
      </c>
      <c r="CU57">
        <v>14583</v>
      </c>
      <c r="CV57">
        <v>210</v>
      </c>
      <c r="CW57">
        <v>2800000</v>
      </c>
      <c r="CX57">
        <v>1</v>
      </c>
      <c r="CY57">
        <v>1</v>
      </c>
      <c r="CZ57">
        <v>0</v>
      </c>
      <c r="DA57">
        <v>37.878787878787882</v>
      </c>
      <c r="DB57">
        <v>13333.333333333334</v>
      </c>
      <c r="DD57" t="s">
        <v>835</v>
      </c>
      <c r="DE57">
        <v>69</v>
      </c>
    </row>
    <row r="58" spans="1:109">
      <c r="A58">
        <v>75</v>
      </c>
      <c r="B58" t="s">
        <v>97</v>
      </c>
      <c r="C58" t="s">
        <v>54</v>
      </c>
      <c r="E58" t="s">
        <v>43</v>
      </c>
      <c r="H58">
        <v>6</v>
      </c>
      <c r="I58" t="s">
        <v>282</v>
      </c>
      <c r="J58">
        <v>3</v>
      </c>
      <c r="K58">
        <v>7.4999999999999997E-2</v>
      </c>
      <c r="L58">
        <v>3.2</v>
      </c>
      <c r="M58">
        <v>100</v>
      </c>
      <c r="N58">
        <v>42156</v>
      </c>
      <c r="O58" t="s">
        <v>98</v>
      </c>
      <c r="P58">
        <v>0</v>
      </c>
      <c r="Q58">
        <v>0</v>
      </c>
      <c r="R58">
        <v>0</v>
      </c>
      <c r="S58">
        <v>0</v>
      </c>
      <c r="T58">
        <v>0</v>
      </c>
      <c r="U58">
        <v>0</v>
      </c>
      <c r="V58">
        <v>0</v>
      </c>
      <c r="W58">
        <v>0</v>
      </c>
      <c r="X58">
        <v>0</v>
      </c>
      <c r="Y58">
        <v>0</v>
      </c>
      <c r="Z58">
        <v>0</v>
      </c>
      <c r="AA58">
        <v>0</v>
      </c>
      <c r="AB58">
        <v>0</v>
      </c>
      <c r="AC58">
        <v>0</v>
      </c>
      <c r="AD58">
        <v>400</v>
      </c>
      <c r="AE58">
        <v>125</v>
      </c>
      <c r="AF58">
        <v>5</v>
      </c>
      <c r="AG58">
        <v>2000</v>
      </c>
      <c r="AH58">
        <v>6000</v>
      </c>
      <c r="AI58">
        <v>150</v>
      </c>
      <c r="AJ58">
        <v>450</v>
      </c>
      <c r="AK58">
        <v>15</v>
      </c>
      <c r="AL58">
        <v>0</v>
      </c>
      <c r="AM58">
        <v>0</v>
      </c>
      <c r="AN58">
        <v>0</v>
      </c>
      <c r="AO58">
        <v>0</v>
      </c>
      <c r="AP58">
        <v>0</v>
      </c>
      <c r="AQ58">
        <v>0</v>
      </c>
      <c r="AR58">
        <v>600</v>
      </c>
      <c r="AS58">
        <v>187</v>
      </c>
      <c r="AT58">
        <v>5</v>
      </c>
      <c r="AU58">
        <v>3000</v>
      </c>
      <c r="AV58">
        <v>9000</v>
      </c>
      <c r="AW58">
        <v>225</v>
      </c>
      <c r="AX58">
        <v>675</v>
      </c>
      <c r="AY58">
        <v>4</v>
      </c>
      <c r="AZ58">
        <v>500000</v>
      </c>
      <c r="BA58">
        <v>0</v>
      </c>
      <c r="BB58">
        <v>0</v>
      </c>
      <c r="BC58">
        <v>0</v>
      </c>
      <c r="BD58">
        <v>7.0555555555555562</v>
      </c>
      <c r="BE58">
        <v>125000</v>
      </c>
      <c r="BF58">
        <v>700</v>
      </c>
      <c r="BG58">
        <v>218</v>
      </c>
      <c r="BH58">
        <v>5</v>
      </c>
      <c r="BI58">
        <v>3500</v>
      </c>
      <c r="BJ58">
        <v>10500</v>
      </c>
      <c r="BK58">
        <v>262</v>
      </c>
      <c r="BL58">
        <v>787</v>
      </c>
      <c r="BM58">
        <v>8</v>
      </c>
      <c r="BN58">
        <v>750000</v>
      </c>
      <c r="BO58">
        <v>0</v>
      </c>
      <c r="BP58">
        <v>1</v>
      </c>
      <c r="BQ58">
        <v>0</v>
      </c>
      <c r="BR58">
        <v>9.2142857142857135</v>
      </c>
      <c r="BS58">
        <v>93750</v>
      </c>
      <c r="BT58">
        <v>760</v>
      </c>
      <c r="BU58">
        <v>237</v>
      </c>
      <c r="BV58">
        <v>5</v>
      </c>
      <c r="BW58">
        <v>3800</v>
      </c>
      <c r="BX58">
        <v>11400</v>
      </c>
      <c r="BY58">
        <v>285</v>
      </c>
      <c r="BZ58">
        <v>855</v>
      </c>
      <c r="CA58">
        <v>12</v>
      </c>
      <c r="CB58">
        <v>1000000</v>
      </c>
      <c r="CC58">
        <v>0</v>
      </c>
      <c r="CD58">
        <v>0</v>
      </c>
      <c r="CE58">
        <v>0</v>
      </c>
      <c r="CF58">
        <v>11.425438596491228</v>
      </c>
      <c r="CG58">
        <v>83333</v>
      </c>
      <c r="CH58">
        <v>800</v>
      </c>
      <c r="CI58">
        <v>250</v>
      </c>
      <c r="CJ58">
        <v>6</v>
      </c>
      <c r="CK58">
        <v>4800</v>
      </c>
      <c r="CL58">
        <v>14400</v>
      </c>
      <c r="CM58">
        <v>360</v>
      </c>
      <c r="CN58">
        <v>1080</v>
      </c>
      <c r="CO58">
        <v>15</v>
      </c>
      <c r="CP58">
        <v>1250000</v>
      </c>
      <c r="CQ58">
        <v>0</v>
      </c>
      <c r="CR58">
        <v>0</v>
      </c>
      <c r="CS58">
        <v>1</v>
      </c>
      <c r="CT58">
        <v>11.345486111111112</v>
      </c>
      <c r="CU58">
        <v>83333</v>
      </c>
      <c r="CV58">
        <v>54</v>
      </c>
      <c r="CW58">
        <v>3500000</v>
      </c>
      <c r="CX58">
        <v>0</v>
      </c>
      <c r="CY58">
        <v>1</v>
      </c>
      <c r="CZ58">
        <v>1</v>
      </c>
      <c r="DA58">
        <v>30.381944444444443</v>
      </c>
      <c r="DB58">
        <v>64814.814814814818</v>
      </c>
      <c r="DD58" t="s">
        <v>97</v>
      </c>
      <c r="DE58">
        <v>75</v>
      </c>
    </row>
    <row r="59" spans="1:109">
      <c r="A59">
        <v>76</v>
      </c>
      <c r="B59" t="s">
        <v>836</v>
      </c>
      <c r="C59" t="s">
        <v>77</v>
      </c>
      <c r="E59" t="s">
        <v>43</v>
      </c>
      <c r="H59">
        <v>5</v>
      </c>
      <c r="I59" t="s">
        <v>282</v>
      </c>
      <c r="J59">
        <v>3</v>
      </c>
      <c r="K59">
        <v>0.2</v>
      </c>
      <c r="L59">
        <v>0.74712643678160917</v>
      </c>
      <c r="M59">
        <v>100</v>
      </c>
      <c r="N59">
        <v>42186</v>
      </c>
      <c r="O59" t="s">
        <v>98</v>
      </c>
      <c r="P59">
        <v>0</v>
      </c>
      <c r="Q59">
        <v>0</v>
      </c>
      <c r="R59">
        <v>0</v>
      </c>
      <c r="S59">
        <v>0</v>
      </c>
      <c r="T59">
        <v>0</v>
      </c>
      <c r="U59">
        <v>0</v>
      </c>
      <c r="V59">
        <v>0</v>
      </c>
      <c r="W59">
        <v>0</v>
      </c>
      <c r="X59">
        <v>0</v>
      </c>
      <c r="Y59">
        <v>0</v>
      </c>
      <c r="Z59">
        <v>0</v>
      </c>
      <c r="AA59">
        <v>0</v>
      </c>
      <c r="AB59">
        <v>0</v>
      </c>
      <c r="AC59">
        <v>0</v>
      </c>
      <c r="AD59">
        <v>130</v>
      </c>
      <c r="AE59">
        <v>174</v>
      </c>
      <c r="AF59">
        <v>4</v>
      </c>
      <c r="AG59">
        <v>520</v>
      </c>
      <c r="AH59">
        <v>1560</v>
      </c>
      <c r="AI59">
        <v>104</v>
      </c>
      <c r="AJ59">
        <v>312</v>
      </c>
      <c r="AK59">
        <v>12</v>
      </c>
      <c r="AL59">
        <v>0</v>
      </c>
      <c r="AM59">
        <v>0</v>
      </c>
      <c r="AN59">
        <v>0</v>
      </c>
      <c r="AO59">
        <v>0</v>
      </c>
      <c r="AP59">
        <v>0</v>
      </c>
      <c r="AQ59">
        <v>0</v>
      </c>
      <c r="AR59">
        <v>195</v>
      </c>
      <c r="AS59">
        <v>261</v>
      </c>
      <c r="AT59">
        <v>4</v>
      </c>
      <c r="AU59">
        <v>780</v>
      </c>
      <c r="AV59">
        <v>2340</v>
      </c>
      <c r="AW59">
        <v>156</v>
      </c>
      <c r="AX59">
        <v>468</v>
      </c>
      <c r="AY59">
        <v>5</v>
      </c>
      <c r="AZ59">
        <v>240000</v>
      </c>
      <c r="BA59">
        <v>0</v>
      </c>
      <c r="BB59">
        <v>0</v>
      </c>
      <c r="BC59">
        <v>0</v>
      </c>
      <c r="BD59">
        <v>12.95940170940171</v>
      </c>
      <c r="BE59">
        <v>48000</v>
      </c>
      <c r="BF59">
        <v>227</v>
      </c>
      <c r="BG59">
        <v>304</v>
      </c>
      <c r="BH59">
        <v>4</v>
      </c>
      <c r="BI59">
        <v>908</v>
      </c>
      <c r="BJ59">
        <v>2724</v>
      </c>
      <c r="BK59">
        <v>181</v>
      </c>
      <c r="BL59">
        <v>544</v>
      </c>
      <c r="BM59">
        <v>7</v>
      </c>
      <c r="BN59">
        <v>360000</v>
      </c>
      <c r="BO59">
        <v>0</v>
      </c>
      <c r="BP59">
        <v>1</v>
      </c>
      <c r="BQ59">
        <v>0</v>
      </c>
      <c r="BR59">
        <v>16.770374449339208</v>
      </c>
      <c r="BS59">
        <v>51428</v>
      </c>
      <c r="BT59">
        <v>246</v>
      </c>
      <c r="BU59">
        <v>330</v>
      </c>
      <c r="BV59">
        <v>4</v>
      </c>
      <c r="BW59">
        <v>984</v>
      </c>
      <c r="BX59">
        <v>2952</v>
      </c>
      <c r="BY59">
        <v>196</v>
      </c>
      <c r="BZ59">
        <v>590</v>
      </c>
      <c r="CA59">
        <v>10</v>
      </c>
      <c r="CB59">
        <v>480000</v>
      </c>
      <c r="CC59">
        <v>0</v>
      </c>
      <c r="CD59">
        <v>0</v>
      </c>
      <c r="CE59">
        <v>0</v>
      </c>
      <c r="CF59">
        <v>20.709688346883471</v>
      </c>
      <c r="CG59">
        <v>48000</v>
      </c>
      <c r="CH59">
        <v>260</v>
      </c>
      <c r="CI59">
        <v>348</v>
      </c>
      <c r="CJ59">
        <v>4</v>
      </c>
      <c r="CK59">
        <v>1040</v>
      </c>
      <c r="CL59">
        <v>3120</v>
      </c>
      <c r="CM59">
        <v>208</v>
      </c>
      <c r="CN59">
        <v>624</v>
      </c>
      <c r="CO59">
        <v>12</v>
      </c>
      <c r="CP59">
        <v>600000</v>
      </c>
      <c r="CQ59">
        <v>0</v>
      </c>
      <c r="CR59">
        <v>0</v>
      </c>
      <c r="CS59">
        <v>1</v>
      </c>
      <c r="CT59">
        <v>24.511538461538461</v>
      </c>
      <c r="CU59">
        <v>50000</v>
      </c>
      <c r="CV59">
        <v>46</v>
      </c>
      <c r="CW59">
        <v>1680000</v>
      </c>
      <c r="CX59">
        <v>0</v>
      </c>
      <c r="CY59">
        <v>1</v>
      </c>
      <c r="CZ59">
        <v>1</v>
      </c>
      <c r="DA59">
        <v>67.307692307692307</v>
      </c>
      <c r="DB59">
        <v>36521.739130434784</v>
      </c>
      <c r="DD59" t="s">
        <v>836</v>
      </c>
      <c r="DE59">
        <v>76</v>
      </c>
    </row>
    <row r="60" spans="1:109">
      <c r="A60">
        <v>77</v>
      </c>
      <c r="B60" t="s">
        <v>113</v>
      </c>
      <c r="C60" t="s">
        <v>48</v>
      </c>
      <c r="G60" t="s">
        <v>43</v>
      </c>
      <c r="H60">
        <v>5</v>
      </c>
      <c r="I60" t="s">
        <v>282</v>
      </c>
      <c r="J60">
        <v>8</v>
      </c>
      <c r="K60">
        <v>2.5000000000000001E-2</v>
      </c>
      <c r="L60">
        <v>4.4117647058823533</v>
      </c>
      <c r="M60">
        <v>100</v>
      </c>
      <c r="N60">
        <v>42186</v>
      </c>
      <c r="O60" t="s">
        <v>98</v>
      </c>
      <c r="P60">
        <v>0</v>
      </c>
      <c r="Q60">
        <v>0</v>
      </c>
      <c r="R60">
        <v>0</v>
      </c>
      <c r="S60">
        <v>0</v>
      </c>
      <c r="T60">
        <v>0</v>
      </c>
      <c r="U60">
        <v>0</v>
      </c>
      <c r="V60">
        <v>0</v>
      </c>
      <c r="W60">
        <v>0</v>
      </c>
      <c r="X60">
        <v>0</v>
      </c>
      <c r="Y60">
        <v>0</v>
      </c>
      <c r="Z60">
        <v>0</v>
      </c>
      <c r="AA60">
        <v>0</v>
      </c>
      <c r="AB60">
        <v>0</v>
      </c>
      <c r="AC60">
        <v>0</v>
      </c>
      <c r="AD60">
        <v>450</v>
      </c>
      <c r="AE60">
        <v>102</v>
      </c>
      <c r="AF60">
        <v>4</v>
      </c>
      <c r="AG60">
        <v>1800</v>
      </c>
      <c r="AH60">
        <v>14400</v>
      </c>
      <c r="AI60">
        <v>45</v>
      </c>
      <c r="AJ60">
        <v>360</v>
      </c>
      <c r="AK60">
        <v>10</v>
      </c>
      <c r="AL60">
        <v>0</v>
      </c>
      <c r="AM60">
        <v>0</v>
      </c>
      <c r="AN60">
        <v>0</v>
      </c>
      <c r="AO60">
        <v>0</v>
      </c>
      <c r="AP60">
        <v>0</v>
      </c>
      <c r="AQ60">
        <v>0</v>
      </c>
      <c r="AR60">
        <v>675</v>
      </c>
      <c r="AS60">
        <v>153</v>
      </c>
      <c r="AT60">
        <v>4</v>
      </c>
      <c r="AU60">
        <v>2700</v>
      </c>
      <c r="AV60">
        <v>21600</v>
      </c>
      <c r="AW60">
        <v>67</v>
      </c>
      <c r="AX60">
        <v>540</v>
      </c>
      <c r="AY60">
        <v>4</v>
      </c>
      <c r="AZ60">
        <v>700000</v>
      </c>
      <c r="BA60">
        <v>0</v>
      </c>
      <c r="BB60">
        <v>0</v>
      </c>
      <c r="BC60">
        <v>0</v>
      </c>
      <c r="BD60">
        <v>10.913580246913581</v>
      </c>
      <c r="BE60">
        <v>175000</v>
      </c>
      <c r="BF60">
        <v>787</v>
      </c>
      <c r="BG60">
        <v>178</v>
      </c>
      <c r="BH60">
        <v>4</v>
      </c>
      <c r="BI60">
        <v>3148</v>
      </c>
      <c r="BJ60">
        <v>25184</v>
      </c>
      <c r="BK60">
        <v>78</v>
      </c>
      <c r="BL60">
        <v>629</v>
      </c>
      <c r="BM60">
        <v>6</v>
      </c>
      <c r="BN60">
        <v>1050000</v>
      </c>
      <c r="BO60">
        <v>0</v>
      </c>
      <c r="BP60">
        <v>1</v>
      </c>
      <c r="BQ60">
        <v>0</v>
      </c>
      <c r="BR60">
        <v>14.112134688691233</v>
      </c>
      <c r="BS60">
        <v>175000</v>
      </c>
      <c r="BT60">
        <v>853</v>
      </c>
      <c r="BU60">
        <v>194</v>
      </c>
      <c r="BV60">
        <v>4</v>
      </c>
      <c r="BW60">
        <v>3412</v>
      </c>
      <c r="BX60">
        <v>27296</v>
      </c>
      <c r="BY60">
        <v>85</v>
      </c>
      <c r="BZ60">
        <v>682</v>
      </c>
      <c r="CA60">
        <v>8</v>
      </c>
      <c r="CB60">
        <v>1400000</v>
      </c>
      <c r="CC60">
        <v>0</v>
      </c>
      <c r="CD60">
        <v>0</v>
      </c>
      <c r="CE60">
        <v>0</v>
      </c>
      <c r="CF60">
        <v>17.404064087534191</v>
      </c>
      <c r="CG60">
        <v>175000</v>
      </c>
      <c r="CH60">
        <v>900</v>
      </c>
      <c r="CI60">
        <v>205</v>
      </c>
      <c r="CJ60">
        <v>4</v>
      </c>
      <c r="CK60">
        <v>3600</v>
      </c>
      <c r="CL60">
        <v>28800</v>
      </c>
      <c r="CM60">
        <v>90</v>
      </c>
      <c r="CN60">
        <v>720</v>
      </c>
      <c r="CO60">
        <v>10</v>
      </c>
      <c r="CP60">
        <v>1750000</v>
      </c>
      <c r="CQ60">
        <v>0</v>
      </c>
      <c r="CR60">
        <v>0</v>
      </c>
      <c r="CS60">
        <v>1</v>
      </c>
      <c r="CT60">
        <v>20.649537037037039</v>
      </c>
      <c r="CU60">
        <v>175000</v>
      </c>
      <c r="CV60">
        <v>38</v>
      </c>
      <c r="CW60">
        <v>4900000</v>
      </c>
      <c r="CX60">
        <v>0</v>
      </c>
      <c r="CY60">
        <v>1</v>
      </c>
      <c r="CZ60">
        <v>1</v>
      </c>
      <c r="DA60">
        <v>56.712962962962962</v>
      </c>
      <c r="DB60">
        <v>128947.36842105263</v>
      </c>
      <c r="DD60" t="s">
        <v>113</v>
      </c>
      <c r="DE60">
        <v>77</v>
      </c>
    </row>
    <row r="61" spans="1:109">
      <c r="A61">
        <v>78</v>
      </c>
      <c r="B61" t="s">
        <v>130</v>
      </c>
      <c r="C61" t="s">
        <v>52</v>
      </c>
      <c r="E61" t="s">
        <v>43</v>
      </c>
      <c r="H61">
        <v>4</v>
      </c>
      <c r="I61" t="s">
        <v>282</v>
      </c>
      <c r="J61">
        <v>2</v>
      </c>
      <c r="K61">
        <v>0.13250000000000001</v>
      </c>
      <c r="L61">
        <v>0.90909090909090906</v>
      </c>
      <c r="M61">
        <v>100</v>
      </c>
      <c r="N61">
        <v>42217</v>
      </c>
      <c r="O61" t="s">
        <v>98</v>
      </c>
      <c r="P61">
        <v>0</v>
      </c>
      <c r="Q61">
        <v>0</v>
      </c>
      <c r="R61">
        <v>0</v>
      </c>
      <c r="S61">
        <v>0</v>
      </c>
      <c r="T61">
        <v>0</v>
      </c>
      <c r="U61">
        <v>0</v>
      </c>
      <c r="V61">
        <v>0</v>
      </c>
      <c r="W61">
        <v>0</v>
      </c>
      <c r="X61">
        <v>0</v>
      </c>
      <c r="Y61">
        <v>0</v>
      </c>
      <c r="Z61">
        <v>0</v>
      </c>
      <c r="AA61">
        <v>0</v>
      </c>
      <c r="AB61">
        <v>0</v>
      </c>
      <c r="AC61">
        <v>0</v>
      </c>
      <c r="AD61">
        <v>200</v>
      </c>
      <c r="AE61">
        <v>220</v>
      </c>
      <c r="AF61">
        <v>10</v>
      </c>
      <c r="AG61">
        <v>2000</v>
      </c>
      <c r="AH61">
        <v>4000</v>
      </c>
      <c r="AI61">
        <v>265</v>
      </c>
      <c r="AJ61">
        <v>530</v>
      </c>
      <c r="AK61">
        <v>9</v>
      </c>
      <c r="AL61">
        <v>0</v>
      </c>
      <c r="AM61">
        <v>0</v>
      </c>
      <c r="AN61">
        <v>0</v>
      </c>
      <c r="AO61">
        <v>0</v>
      </c>
      <c r="AP61">
        <v>0</v>
      </c>
      <c r="AQ61">
        <v>0</v>
      </c>
      <c r="AR61">
        <v>300</v>
      </c>
      <c r="AS61">
        <v>330</v>
      </c>
      <c r="AT61">
        <v>10</v>
      </c>
      <c r="AU61">
        <v>3000</v>
      </c>
      <c r="AV61">
        <v>6000</v>
      </c>
      <c r="AW61">
        <v>397</v>
      </c>
      <c r="AX61">
        <v>795</v>
      </c>
      <c r="AY61">
        <v>4</v>
      </c>
      <c r="AZ61">
        <v>500000</v>
      </c>
      <c r="BA61">
        <v>0</v>
      </c>
      <c r="BB61">
        <v>0</v>
      </c>
      <c r="BC61">
        <v>0</v>
      </c>
      <c r="BD61">
        <v>7.0555555555555562</v>
      </c>
      <c r="BE61">
        <v>125000</v>
      </c>
      <c r="BF61">
        <v>350</v>
      </c>
      <c r="BG61">
        <v>384</v>
      </c>
      <c r="BH61">
        <v>10</v>
      </c>
      <c r="BI61">
        <v>3500</v>
      </c>
      <c r="BJ61">
        <v>7000</v>
      </c>
      <c r="BK61">
        <v>463</v>
      </c>
      <c r="BL61">
        <v>927</v>
      </c>
      <c r="BM61">
        <v>5.5</v>
      </c>
      <c r="BN61">
        <v>750000</v>
      </c>
      <c r="BO61">
        <v>0</v>
      </c>
      <c r="BP61">
        <v>1</v>
      </c>
      <c r="BQ61">
        <v>0</v>
      </c>
      <c r="BR61">
        <v>9.125</v>
      </c>
      <c r="BS61">
        <v>136363</v>
      </c>
      <c r="BT61">
        <v>379</v>
      </c>
      <c r="BU61">
        <v>418</v>
      </c>
      <c r="BV61">
        <v>10</v>
      </c>
      <c r="BW61">
        <v>3790</v>
      </c>
      <c r="BX61">
        <v>7580</v>
      </c>
      <c r="BY61">
        <v>502</v>
      </c>
      <c r="BZ61">
        <v>1004</v>
      </c>
      <c r="CA61">
        <v>7.5</v>
      </c>
      <c r="CB61">
        <v>1000000</v>
      </c>
      <c r="CC61">
        <v>0</v>
      </c>
      <c r="CD61">
        <v>0</v>
      </c>
      <c r="CE61">
        <v>0</v>
      </c>
      <c r="CF61">
        <v>11.282431838170623</v>
      </c>
      <c r="CG61">
        <v>133333</v>
      </c>
      <c r="CH61">
        <v>400</v>
      </c>
      <c r="CI61">
        <v>440</v>
      </c>
      <c r="CJ61">
        <v>10</v>
      </c>
      <c r="CK61">
        <v>4000</v>
      </c>
      <c r="CL61">
        <v>8000</v>
      </c>
      <c r="CM61">
        <v>530</v>
      </c>
      <c r="CN61">
        <v>1060</v>
      </c>
      <c r="CO61">
        <v>9</v>
      </c>
      <c r="CP61">
        <v>1250000</v>
      </c>
      <c r="CQ61">
        <v>0</v>
      </c>
      <c r="CR61">
        <v>0</v>
      </c>
      <c r="CS61">
        <v>1</v>
      </c>
      <c r="CT61">
        <v>13.376145833333332</v>
      </c>
      <c r="CU61">
        <v>138888</v>
      </c>
      <c r="CV61">
        <v>35</v>
      </c>
      <c r="CW61">
        <v>3500000</v>
      </c>
      <c r="CX61">
        <v>0</v>
      </c>
      <c r="CY61">
        <v>1</v>
      </c>
      <c r="CZ61">
        <v>1</v>
      </c>
      <c r="DA61">
        <v>36.458333333333336</v>
      </c>
      <c r="DB61">
        <v>100000</v>
      </c>
      <c r="DD61" t="s">
        <v>130</v>
      </c>
      <c r="DE61">
        <v>78</v>
      </c>
    </row>
    <row r="62" spans="1:109">
      <c r="A62">
        <v>79</v>
      </c>
      <c r="B62" t="s">
        <v>837</v>
      </c>
      <c r="C62" t="s">
        <v>77</v>
      </c>
      <c r="G62" t="s">
        <v>43</v>
      </c>
      <c r="H62">
        <v>6</v>
      </c>
      <c r="I62" t="s">
        <v>282</v>
      </c>
      <c r="J62">
        <v>6</v>
      </c>
      <c r="K62">
        <v>0.22500000000000001</v>
      </c>
      <c r="L62">
        <v>0.94786729857819907</v>
      </c>
      <c r="M62">
        <v>100</v>
      </c>
      <c r="N62">
        <v>42217</v>
      </c>
      <c r="O62" t="s">
        <v>98</v>
      </c>
      <c r="P62">
        <v>0</v>
      </c>
      <c r="Q62">
        <v>0</v>
      </c>
      <c r="R62">
        <v>0</v>
      </c>
      <c r="S62">
        <v>0</v>
      </c>
      <c r="T62">
        <v>0</v>
      </c>
      <c r="U62">
        <v>0</v>
      </c>
      <c r="V62">
        <v>0</v>
      </c>
      <c r="W62">
        <v>0</v>
      </c>
      <c r="X62">
        <v>0</v>
      </c>
      <c r="Y62">
        <v>0</v>
      </c>
      <c r="Z62">
        <v>0</v>
      </c>
      <c r="AA62">
        <v>0</v>
      </c>
      <c r="AB62">
        <v>0</v>
      </c>
      <c r="AC62">
        <v>0</v>
      </c>
      <c r="AD62">
        <v>200</v>
      </c>
      <c r="AE62">
        <v>211</v>
      </c>
      <c r="AF62">
        <v>5</v>
      </c>
      <c r="AG62">
        <v>1000</v>
      </c>
      <c r="AH62">
        <v>6000</v>
      </c>
      <c r="AI62">
        <v>225</v>
      </c>
      <c r="AJ62">
        <v>1350</v>
      </c>
      <c r="AK62">
        <v>18</v>
      </c>
      <c r="AL62">
        <v>0</v>
      </c>
      <c r="AM62">
        <v>0</v>
      </c>
      <c r="AN62">
        <v>0</v>
      </c>
      <c r="AO62">
        <v>0</v>
      </c>
      <c r="AP62">
        <v>0</v>
      </c>
      <c r="AQ62">
        <v>0</v>
      </c>
      <c r="AR62">
        <v>300</v>
      </c>
      <c r="AS62">
        <v>316</v>
      </c>
      <c r="AT62">
        <v>5</v>
      </c>
      <c r="AU62">
        <v>1500</v>
      </c>
      <c r="AV62">
        <v>9000</v>
      </c>
      <c r="AW62">
        <v>337</v>
      </c>
      <c r="AX62">
        <v>2025</v>
      </c>
      <c r="AY62">
        <v>7.5</v>
      </c>
      <c r="AZ62">
        <v>1000000</v>
      </c>
      <c r="BA62">
        <v>0</v>
      </c>
      <c r="BB62">
        <v>0</v>
      </c>
      <c r="BC62">
        <v>0</v>
      </c>
      <c r="BD62">
        <v>27.986111111111111</v>
      </c>
      <c r="BE62">
        <v>133333</v>
      </c>
      <c r="BF62">
        <v>350</v>
      </c>
      <c r="BG62">
        <v>370</v>
      </c>
      <c r="BH62">
        <v>5</v>
      </c>
      <c r="BI62">
        <v>1750</v>
      </c>
      <c r="BJ62">
        <v>10500</v>
      </c>
      <c r="BK62">
        <v>393</v>
      </c>
      <c r="BL62">
        <v>2362</v>
      </c>
      <c r="BM62">
        <v>10.5</v>
      </c>
      <c r="BN62">
        <v>1500000</v>
      </c>
      <c r="BO62">
        <v>0</v>
      </c>
      <c r="BP62">
        <v>1</v>
      </c>
      <c r="BQ62">
        <v>0</v>
      </c>
      <c r="BR62">
        <v>36.089285714285715</v>
      </c>
      <c r="BS62">
        <v>142857</v>
      </c>
      <c r="BT62">
        <v>380</v>
      </c>
      <c r="BU62">
        <v>401</v>
      </c>
      <c r="BV62">
        <v>5</v>
      </c>
      <c r="BW62">
        <v>1900</v>
      </c>
      <c r="BX62">
        <v>11400</v>
      </c>
      <c r="BY62">
        <v>427</v>
      </c>
      <c r="BZ62">
        <v>2565</v>
      </c>
      <c r="CA62">
        <v>15</v>
      </c>
      <c r="CB62">
        <v>2000000</v>
      </c>
      <c r="CC62">
        <v>0</v>
      </c>
      <c r="CD62">
        <v>0</v>
      </c>
      <c r="CE62">
        <v>0</v>
      </c>
      <c r="CF62">
        <v>44.435307017543863</v>
      </c>
      <c r="CG62">
        <v>133333</v>
      </c>
      <c r="CH62">
        <v>400</v>
      </c>
      <c r="CI62">
        <v>422</v>
      </c>
      <c r="CJ62">
        <v>5</v>
      </c>
      <c r="CK62">
        <v>2000</v>
      </c>
      <c r="CL62">
        <v>12000</v>
      </c>
      <c r="CM62">
        <v>450</v>
      </c>
      <c r="CN62">
        <v>2700</v>
      </c>
      <c r="CO62">
        <v>18</v>
      </c>
      <c r="CP62">
        <v>2500000</v>
      </c>
      <c r="CQ62">
        <v>0</v>
      </c>
      <c r="CR62">
        <v>0</v>
      </c>
      <c r="CS62">
        <v>1</v>
      </c>
      <c r="CT62">
        <v>52.795833333333327</v>
      </c>
      <c r="CU62">
        <v>138888</v>
      </c>
      <c r="CV62">
        <v>69</v>
      </c>
      <c r="CW62">
        <v>7000000</v>
      </c>
      <c r="CX62">
        <v>0</v>
      </c>
      <c r="CY62">
        <v>1</v>
      </c>
      <c r="CZ62">
        <v>1</v>
      </c>
      <c r="DA62">
        <v>145.83333333333334</v>
      </c>
      <c r="DB62">
        <v>101449.27536231885</v>
      </c>
      <c r="DD62" t="s">
        <v>837</v>
      </c>
      <c r="DE62">
        <v>79</v>
      </c>
    </row>
    <row r="63" spans="1:109">
      <c r="A63">
        <v>80</v>
      </c>
      <c r="B63" t="s">
        <v>838</v>
      </c>
      <c r="C63" t="s">
        <v>42</v>
      </c>
      <c r="E63" t="s">
        <v>43</v>
      </c>
      <c r="H63">
        <v>5</v>
      </c>
      <c r="I63" t="s">
        <v>282</v>
      </c>
      <c r="J63">
        <v>6</v>
      </c>
      <c r="K63">
        <v>0.1</v>
      </c>
      <c r="L63">
        <v>1.3157894736842106</v>
      </c>
      <c r="M63">
        <v>100</v>
      </c>
      <c r="N63">
        <v>42227</v>
      </c>
      <c r="O63" t="s">
        <v>98</v>
      </c>
      <c r="P63">
        <v>0</v>
      </c>
      <c r="Q63">
        <v>0</v>
      </c>
      <c r="R63">
        <v>0</v>
      </c>
      <c r="S63">
        <v>0</v>
      </c>
      <c r="T63">
        <v>0</v>
      </c>
      <c r="U63">
        <v>0</v>
      </c>
      <c r="V63">
        <v>0</v>
      </c>
      <c r="W63">
        <v>0</v>
      </c>
      <c r="X63">
        <v>0</v>
      </c>
      <c r="Y63">
        <v>0</v>
      </c>
      <c r="Z63">
        <v>0</v>
      </c>
      <c r="AA63">
        <v>0</v>
      </c>
      <c r="AB63">
        <v>0</v>
      </c>
      <c r="AC63">
        <v>0</v>
      </c>
      <c r="AD63">
        <v>250</v>
      </c>
      <c r="AE63">
        <v>190</v>
      </c>
      <c r="AF63">
        <v>5</v>
      </c>
      <c r="AG63">
        <v>1250</v>
      </c>
      <c r="AH63">
        <v>7500</v>
      </c>
      <c r="AI63">
        <v>125</v>
      </c>
      <c r="AJ63">
        <v>750</v>
      </c>
      <c r="AK63">
        <v>11</v>
      </c>
      <c r="AL63">
        <v>0</v>
      </c>
      <c r="AM63">
        <v>0</v>
      </c>
      <c r="AN63">
        <v>0</v>
      </c>
      <c r="AO63">
        <v>0</v>
      </c>
      <c r="AP63">
        <v>0</v>
      </c>
      <c r="AQ63">
        <v>0</v>
      </c>
      <c r="AR63">
        <v>375</v>
      </c>
      <c r="AS63">
        <v>285</v>
      </c>
      <c r="AT63">
        <v>5</v>
      </c>
      <c r="AU63">
        <v>1875</v>
      </c>
      <c r="AV63">
        <v>11250</v>
      </c>
      <c r="AW63">
        <v>187</v>
      </c>
      <c r="AX63">
        <v>1125</v>
      </c>
      <c r="AY63">
        <v>3</v>
      </c>
      <c r="AZ63">
        <v>800000</v>
      </c>
      <c r="BA63">
        <v>0</v>
      </c>
      <c r="BB63">
        <v>0</v>
      </c>
      <c r="BC63">
        <v>0</v>
      </c>
      <c r="BD63">
        <v>17.861111111111111</v>
      </c>
      <c r="BE63">
        <v>266666</v>
      </c>
      <c r="BF63">
        <v>437</v>
      </c>
      <c r="BG63">
        <v>332</v>
      </c>
      <c r="BH63">
        <v>5</v>
      </c>
      <c r="BI63">
        <v>2185</v>
      </c>
      <c r="BJ63">
        <v>13110</v>
      </c>
      <c r="BK63">
        <v>218</v>
      </c>
      <c r="BL63">
        <v>1311</v>
      </c>
      <c r="BM63">
        <v>5.5</v>
      </c>
      <c r="BN63">
        <v>1200000</v>
      </c>
      <c r="BO63">
        <v>0</v>
      </c>
      <c r="BP63">
        <v>1</v>
      </c>
      <c r="BQ63">
        <v>0</v>
      </c>
      <c r="BR63">
        <v>23.079948512585812</v>
      </c>
      <c r="BS63">
        <v>218181</v>
      </c>
      <c r="BT63">
        <v>475</v>
      </c>
      <c r="BU63">
        <v>361</v>
      </c>
      <c r="BV63">
        <v>5</v>
      </c>
      <c r="BW63">
        <v>2375</v>
      </c>
      <c r="BX63">
        <v>14250</v>
      </c>
      <c r="BY63">
        <v>237</v>
      </c>
      <c r="BZ63">
        <v>1425</v>
      </c>
      <c r="CA63">
        <v>9</v>
      </c>
      <c r="CB63">
        <v>1600000</v>
      </c>
      <c r="CC63">
        <v>0</v>
      </c>
      <c r="CD63">
        <v>0</v>
      </c>
      <c r="CE63">
        <v>0</v>
      </c>
      <c r="CF63">
        <v>28.415175438596492</v>
      </c>
      <c r="CG63">
        <v>177777</v>
      </c>
      <c r="CH63">
        <v>500</v>
      </c>
      <c r="CI63">
        <v>380</v>
      </c>
      <c r="CJ63">
        <v>5</v>
      </c>
      <c r="CK63">
        <v>2500</v>
      </c>
      <c r="CL63">
        <v>15000</v>
      </c>
      <c r="CM63">
        <v>250</v>
      </c>
      <c r="CN63">
        <v>1500</v>
      </c>
      <c r="CO63">
        <v>11</v>
      </c>
      <c r="CP63">
        <v>2000000</v>
      </c>
      <c r="CQ63">
        <v>0</v>
      </c>
      <c r="CR63">
        <v>0</v>
      </c>
      <c r="CS63">
        <v>1</v>
      </c>
      <c r="CT63">
        <v>33.768750000000004</v>
      </c>
      <c r="CU63">
        <v>181818</v>
      </c>
      <c r="CV63">
        <v>39.5</v>
      </c>
      <c r="CW63">
        <v>5600000</v>
      </c>
      <c r="CX63">
        <v>0</v>
      </c>
      <c r="CY63">
        <v>1</v>
      </c>
      <c r="CZ63">
        <v>1</v>
      </c>
      <c r="DA63">
        <v>93.333333333333329</v>
      </c>
      <c r="DB63">
        <v>141772.15189873418</v>
      </c>
      <c r="DD63" t="s">
        <v>838</v>
      </c>
      <c r="DE63">
        <v>80</v>
      </c>
    </row>
    <row r="64" spans="1:109">
      <c r="A64">
        <v>81</v>
      </c>
      <c r="B64" t="s">
        <v>839</v>
      </c>
      <c r="C64" t="s">
        <v>77</v>
      </c>
      <c r="E64" t="s">
        <v>43</v>
      </c>
      <c r="F64" t="s">
        <v>43</v>
      </c>
      <c r="H64">
        <v>6</v>
      </c>
      <c r="I64" t="s">
        <v>270</v>
      </c>
      <c r="J64">
        <v>4</v>
      </c>
      <c r="K64">
        <v>0.2</v>
      </c>
      <c r="L64">
        <v>1</v>
      </c>
      <c r="M64">
        <v>30</v>
      </c>
      <c r="N64">
        <v>42231</v>
      </c>
      <c r="O64" t="s">
        <v>98</v>
      </c>
      <c r="P64">
        <v>0</v>
      </c>
      <c r="Q64">
        <v>0</v>
      </c>
      <c r="R64">
        <v>0</v>
      </c>
      <c r="S64">
        <v>0</v>
      </c>
      <c r="T64">
        <v>0</v>
      </c>
      <c r="U64">
        <v>0</v>
      </c>
      <c r="V64">
        <v>0</v>
      </c>
      <c r="W64">
        <v>0</v>
      </c>
      <c r="X64">
        <v>0</v>
      </c>
      <c r="Y64">
        <v>0</v>
      </c>
      <c r="Z64">
        <v>0</v>
      </c>
      <c r="AA64">
        <v>0</v>
      </c>
      <c r="AB64">
        <v>0</v>
      </c>
      <c r="AC64">
        <v>0</v>
      </c>
      <c r="AD64">
        <v>250</v>
      </c>
      <c r="AE64">
        <v>250</v>
      </c>
      <c r="AF64">
        <v>6</v>
      </c>
      <c r="AG64">
        <v>1500</v>
      </c>
      <c r="AH64">
        <v>6000</v>
      </c>
      <c r="AI64">
        <v>300</v>
      </c>
      <c r="AJ64">
        <v>1200</v>
      </c>
      <c r="AK64">
        <v>144</v>
      </c>
      <c r="AL64">
        <v>0</v>
      </c>
      <c r="AM64">
        <v>0</v>
      </c>
      <c r="AN64">
        <v>0</v>
      </c>
      <c r="AO64">
        <v>0</v>
      </c>
      <c r="AP64">
        <v>0</v>
      </c>
      <c r="AQ64">
        <v>0</v>
      </c>
      <c r="AR64">
        <v>375</v>
      </c>
      <c r="AS64">
        <v>375</v>
      </c>
      <c r="AT64">
        <v>6</v>
      </c>
      <c r="AU64">
        <v>2250</v>
      </c>
      <c r="AV64">
        <v>9000</v>
      </c>
      <c r="AW64">
        <v>450</v>
      </c>
      <c r="AX64">
        <v>1800</v>
      </c>
      <c r="AY64">
        <v>40</v>
      </c>
      <c r="AZ64">
        <v>3400000</v>
      </c>
      <c r="BA64">
        <v>0</v>
      </c>
      <c r="BB64">
        <v>5</v>
      </c>
      <c r="BC64">
        <v>0</v>
      </c>
      <c r="BD64">
        <v>64.074074074074076</v>
      </c>
      <c r="BE64">
        <v>85000</v>
      </c>
      <c r="BF64">
        <v>437</v>
      </c>
      <c r="BG64">
        <v>437</v>
      </c>
      <c r="BH64">
        <v>6</v>
      </c>
      <c r="BI64">
        <v>2622</v>
      </c>
      <c r="BJ64">
        <v>10488</v>
      </c>
      <c r="BK64">
        <v>524</v>
      </c>
      <c r="BL64">
        <v>2097</v>
      </c>
      <c r="BM64">
        <v>72</v>
      </c>
      <c r="BN64">
        <v>5100000</v>
      </c>
      <c r="BO64">
        <v>0</v>
      </c>
      <c r="BP64">
        <v>10</v>
      </c>
      <c r="BQ64">
        <v>0</v>
      </c>
      <c r="BR64">
        <v>83.619374523264682</v>
      </c>
      <c r="BS64">
        <v>70833</v>
      </c>
      <c r="BT64">
        <v>475</v>
      </c>
      <c r="BU64">
        <v>475</v>
      </c>
      <c r="BV64">
        <v>6</v>
      </c>
      <c r="BW64">
        <v>2850</v>
      </c>
      <c r="BX64">
        <v>11400</v>
      </c>
      <c r="BY64">
        <v>570</v>
      </c>
      <c r="BZ64">
        <v>2280</v>
      </c>
      <c r="CA64">
        <v>118</v>
      </c>
      <c r="CB64">
        <v>6800000</v>
      </c>
      <c r="CC64">
        <v>0</v>
      </c>
      <c r="CD64">
        <v>0</v>
      </c>
      <c r="CE64">
        <v>5</v>
      </c>
      <c r="CF64">
        <v>103.93853801169591</v>
      </c>
      <c r="CG64">
        <v>57627</v>
      </c>
      <c r="CH64">
        <v>500</v>
      </c>
      <c r="CI64">
        <v>500</v>
      </c>
      <c r="CJ64">
        <v>7</v>
      </c>
      <c r="CK64">
        <v>3500</v>
      </c>
      <c r="CL64">
        <v>14000</v>
      </c>
      <c r="CM64">
        <v>700</v>
      </c>
      <c r="CN64">
        <v>2800</v>
      </c>
      <c r="CO64">
        <v>144</v>
      </c>
      <c r="CP64">
        <v>8500000</v>
      </c>
      <c r="CQ64">
        <v>0</v>
      </c>
      <c r="CR64">
        <v>0</v>
      </c>
      <c r="CS64">
        <v>10</v>
      </c>
      <c r="CT64">
        <v>106.07619047619049</v>
      </c>
      <c r="CU64">
        <v>59027</v>
      </c>
      <c r="CV64">
        <v>518</v>
      </c>
      <c r="CW64">
        <v>23800000</v>
      </c>
      <c r="CX64">
        <v>0</v>
      </c>
      <c r="CY64">
        <v>15</v>
      </c>
      <c r="CZ64">
        <v>15</v>
      </c>
      <c r="DA64">
        <v>283.33333333333331</v>
      </c>
      <c r="DB64">
        <v>45945.945945945947</v>
      </c>
      <c r="DD64" t="s">
        <v>839</v>
      </c>
      <c r="DE64">
        <v>81</v>
      </c>
    </row>
    <row r="65" spans="1:109">
      <c r="A65">
        <v>82</v>
      </c>
      <c r="B65" t="s">
        <v>840</v>
      </c>
      <c r="C65" t="s">
        <v>42</v>
      </c>
      <c r="E65" t="s">
        <v>43</v>
      </c>
      <c r="H65">
        <v>4</v>
      </c>
      <c r="I65" t="s">
        <v>282</v>
      </c>
      <c r="J65">
        <v>10</v>
      </c>
      <c r="K65">
        <v>0.1</v>
      </c>
      <c r="L65">
        <v>1.3333333333333333</v>
      </c>
      <c r="M65">
        <v>100</v>
      </c>
      <c r="N65">
        <v>42248</v>
      </c>
      <c r="O65" t="s">
        <v>98</v>
      </c>
      <c r="P65">
        <v>0</v>
      </c>
      <c r="Q65">
        <v>0</v>
      </c>
      <c r="R65">
        <v>0</v>
      </c>
      <c r="S65">
        <v>0</v>
      </c>
      <c r="T65">
        <v>0</v>
      </c>
      <c r="U65">
        <v>0</v>
      </c>
      <c r="V65">
        <v>0</v>
      </c>
      <c r="W65">
        <v>0</v>
      </c>
      <c r="X65">
        <v>0</v>
      </c>
      <c r="Y65">
        <v>0</v>
      </c>
      <c r="Z65">
        <v>0</v>
      </c>
      <c r="AA65">
        <v>0</v>
      </c>
      <c r="AB65">
        <v>0</v>
      </c>
      <c r="AC65">
        <v>0</v>
      </c>
      <c r="AD65">
        <v>240</v>
      </c>
      <c r="AE65">
        <v>180</v>
      </c>
      <c r="AF65">
        <v>5</v>
      </c>
      <c r="AG65">
        <v>1200</v>
      </c>
      <c r="AH65">
        <v>12000</v>
      </c>
      <c r="AI65">
        <v>120</v>
      </c>
      <c r="AJ65">
        <v>1200</v>
      </c>
      <c r="AK65">
        <v>10</v>
      </c>
      <c r="AL65">
        <v>0</v>
      </c>
      <c r="AM65">
        <v>0</v>
      </c>
      <c r="AN65">
        <v>0</v>
      </c>
      <c r="AO65">
        <v>0</v>
      </c>
      <c r="AP65">
        <v>0</v>
      </c>
      <c r="AQ65">
        <v>0</v>
      </c>
      <c r="AR65">
        <v>360</v>
      </c>
      <c r="AS65">
        <v>270</v>
      </c>
      <c r="AT65">
        <v>5</v>
      </c>
      <c r="AU65">
        <v>1800</v>
      </c>
      <c r="AV65">
        <v>18000</v>
      </c>
      <c r="AW65">
        <v>180</v>
      </c>
      <c r="AX65">
        <v>1800</v>
      </c>
      <c r="AY65">
        <v>3</v>
      </c>
      <c r="AZ65">
        <v>880000</v>
      </c>
      <c r="BA65">
        <v>0</v>
      </c>
      <c r="BB65">
        <v>1</v>
      </c>
      <c r="BC65">
        <v>0</v>
      </c>
      <c r="BD65">
        <v>20.453703703703706</v>
      </c>
      <c r="BE65">
        <v>293333</v>
      </c>
      <c r="BF65">
        <v>419</v>
      </c>
      <c r="BG65">
        <v>314</v>
      </c>
      <c r="BH65">
        <v>5</v>
      </c>
      <c r="BI65">
        <v>2095</v>
      </c>
      <c r="BJ65">
        <v>20950</v>
      </c>
      <c r="BK65">
        <v>209</v>
      </c>
      <c r="BL65">
        <v>2095</v>
      </c>
      <c r="BM65">
        <v>6</v>
      </c>
      <c r="BN65">
        <v>1320000</v>
      </c>
      <c r="BO65">
        <v>0</v>
      </c>
      <c r="BP65">
        <v>2</v>
      </c>
      <c r="BQ65">
        <v>0</v>
      </c>
      <c r="BR65">
        <v>26.467780429594271</v>
      </c>
      <c r="BS65">
        <v>220000</v>
      </c>
      <c r="BT65">
        <v>456</v>
      </c>
      <c r="BU65">
        <v>342</v>
      </c>
      <c r="BV65">
        <v>5</v>
      </c>
      <c r="BW65">
        <v>2280</v>
      </c>
      <c r="BX65">
        <v>22800</v>
      </c>
      <c r="BY65">
        <v>228</v>
      </c>
      <c r="BZ65">
        <v>2280</v>
      </c>
      <c r="CA65">
        <v>8</v>
      </c>
      <c r="CB65">
        <v>1760000</v>
      </c>
      <c r="CC65">
        <v>0</v>
      </c>
      <c r="CD65">
        <v>0</v>
      </c>
      <c r="CE65">
        <v>1</v>
      </c>
      <c r="CF65">
        <v>32.470029239766085</v>
      </c>
      <c r="CG65">
        <v>220000</v>
      </c>
      <c r="CH65">
        <v>480</v>
      </c>
      <c r="CI65">
        <v>360</v>
      </c>
      <c r="CJ65">
        <v>5</v>
      </c>
      <c r="CK65">
        <v>2400</v>
      </c>
      <c r="CL65">
        <v>24000</v>
      </c>
      <c r="CM65">
        <v>240</v>
      </c>
      <c r="CN65">
        <v>2400</v>
      </c>
      <c r="CO65">
        <v>10</v>
      </c>
      <c r="CP65">
        <v>2200000</v>
      </c>
      <c r="CQ65">
        <v>0</v>
      </c>
      <c r="CR65">
        <v>0</v>
      </c>
      <c r="CS65">
        <v>2</v>
      </c>
      <c r="CT65">
        <v>38.590277777777779</v>
      </c>
      <c r="CU65">
        <v>220000</v>
      </c>
      <c r="CV65">
        <v>37</v>
      </c>
      <c r="CW65">
        <v>6160000</v>
      </c>
      <c r="CX65">
        <v>0</v>
      </c>
      <c r="CY65">
        <v>3</v>
      </c>
      <c r="CZ65">
        <v>3</v>
      </c>
      <c r="DA65">
        <v>106.94444444444444</v>
      </c>
      <c r="DB65">
        <v>166486.48648648648</v>
      </c>
      <c r="DD65" t="s">
        <v>840</v>
      </c>
      <c r="DE65">
        <v>82</v>
      </c>
    </row>
    <row r="66" spans="1:109">
      <c r="A66">
        <v>82</v>
      </c>
      <c r="B66" t="s">
        <v>841</v>
      </c>
      <c r="C66" t="s">
        <v>42</v>
      </c>
      <c r="E66" t="s">
        <v>43</v>
      </c>
      <c r="H66">
        <v>5</v>
      </c>
      <c r="I66" t="s">
        <v>282</v>
      </c>
      <c r="J66">
        <v>9</v>
      </c>
      <c r="K66">
        <v>0.1</v>
      </c>
      <c r="L66">
        <v>1.3157894736842106</v>
      </c>
      <c r="M66">
        <v>100</v>
      </c>
      <c r="N66">
        <v>42258</v>
      </c>
      <c r="O66" t="s">
        <v>98</v>
      </c>
      <c r="P66">
        <v>0</v>
      </c>
      <c r="Q66">
        <v>0</v>
      </c>
      <c r="R66">
        <v>0</v>
      </c>
      <c r="S66">
        <v>0</v>
      </c>
      <c r="T66">
        <v>0</v>
      </c>
      <c r="U66">
        <v>0</v>
      </c>
      <c r="V66">
        <v>0</v>
      </c>
      <c r="W66">
        <v>0</v>
      </c>
      <c r="X66">
        <v>0</v>
      </c>
      <c r="Y66">
        <v>0</v>
      </c>
      <c r="Z66">
        <v>0</v>
      </c>
      <c r="AA66">
        <v>0</v>
      </c>
      <c r="AB66">
        <v>0</v>
      </c>
      <c r="AC66">
        <v>0</v>
      </c>
      <c r="AD66">
        <v>250</v>
      </c>
      <c r="AE66">
        <v>190</v>
      </c>
      <c r="AF66">
        <v>5</v>
      </c>
      <c r="AG66">
        <v>1250</v>
      </c>
      <c r="AH66">
        <v>11250</v>
      </c>
      <c r="AI66">
        <v>125</v>
      </c>
      <c r="AJ66">
        <v>1125</v>
      </c>
      <c r="AK66">
        <v>11</v>
      </c>
      <c r="AL66">
        <v>0</v>
      </c>
      <c r="AM66">
        <v>0</v>
      </c>
      <c r="AN66">
        <v>0</v>
      </c>
      <c r="AO66">
        <v>0</v>
      </c>
      <c r="AP66">
        <v>0</v>
      </c>
      <c r="AQ66">
        <v>0</v>
      </c>
      <c r="AR66">
        <v>375</v>
      </c>
      <c r="AS66">
        <v>285</v>
      </c>
      <c r="AT66">
        <v>5</v>
      </c>
      <c r="AU66">
        <v>1875</v>
      </c>
      <c r="AV66">
        <v>16875</v>
      </c>
      <c r="AW66">
        <v>187</v>
      </c>
      <c r="AX66">
        <v>1687</v>
      </c>
      <c r="AY66">
        <v>3.5</v>
      </c>
      <c r="AZ66">
        <v>920000</v>
      </c>
      <c r="BA66">
        <v>0</v>
      </c>
      <c r="BB66">
        <v>1</v>
      </c>
      <c r="BC66">
        <v>0</v>
      </c>
      <c r="BD66">
        <v>20.541666666666668</v>
      </c>
      <c r="BE66">
        <v>262857</v>
      </c>
      <c r="BF66">
        <v>436</v>
      </c>
      <c r="BG66">
        <v>332</v>
      </c>
      <c r="BH66">
        <v>5</v>
      </c>
      <c r="BI66">
        <v>2180</v>
      </c>
      <c r="BJ66">
        <v>19620</v>
      </c>
      <c r="BK66">
        <v>218</v>
      </c>
      <c r="BL66">
        <v>1962</v>
      </c>
      <c r="BM66">
        <v>7</v>
      </c>
      <c r="BN66">
        <v>1380000</v>
      </c>
      <c r="BO66">
        <v>0</v>
      </c>
      <c r="BP66">
        <v>2</v>
      </c>
      <c r="BQ66">
        <v>0</v>
      </c>
      <c r="BR66">
        <v>26.627006880733944</v>
      </c>
      <c r="BS66">
        <v>197142</v>
      </c>
      <c r="BT66">
        <v>475</v>
      </c>
      <c r="BU66">
        <v>361</v>
      </c>
      <c r="BV66">
        <v>5</v>
      </c>
      <c r="BW66">
        <v>2375</v>
      </c>
      <c r="BX66">
        <v>21375</v>
      </c>
      <c r="BY66">
        <v>237</v>
      </c>
      <c r="BZ66">
        <v>2137</v>
      </c>
      <c r="CA66">
        <v>9</v>
      </c>
      <c r="CB66">
        <v>1840000</v>
      </c>
      <c r="CC66">
        <v>0</v>
      </c>
      <c r="CD66">
        <v>0</v>
      </c>
      <c r="CE66">
        <v>1</v>
      </c>
      <c r="CF66">
        <v>32.624912280701757</v>
      </c>
      <c r="CG66">
        <v>204444</v>
      </c>
      <c r="CH66">
        <v>500</v>
      </c>
      <c r="CI66">
        <v>380</v>
      </c>
      <c r="CJ66">
        <v>6</v>
      </c>
      <c r="CK66">
        <v>3000</v>
      </c>
      <c r="CL66">
        <v>27000</v>
      </c>
      <c r="CM66">
        <v>300</v>
      </c>
      <c r="CN66">
        <v>2700</v>
      </c>
      <c r="CO66">
        <v>11</v>
      </c>
      <c r="CP66">
        <v>2300000</v>
      </c>
      <c r="CQ66">
        <v>0</v>
      </c>
      <c r="CR66">
        <v>0</v>
      </c>
      <c r="CS66">
        <v>2</v>
      </c>
      <c r="CT66">
        <v>32.307291666666664</v>
      </c>
      <c r="CU66">
        <v>209090</v>
      </c>
      <c r="CV66">
        <v>41.5</v>
      </c>
      <c r="CW66">
        <v>6440000</v>
      </c>
      <c r="CX66">
        <v>0</v>
      </c>
      <c r="CY66">
        <v>3</v>
      </c>
      <c r="CZ66">
        <v>3</v>
      </c>
      <c r="DA66">
        <v>89.444444444444443</v>
      </c>
      <c r="DB66">
        <v>155180.72289156626</v>
      </c>
      <c r="DD66" t="s">
        <v>841</v>
      </c>
      <c r="DE66">
        <v>82</v>
      </c>
    </row>
    <row r="67" spans="1:109">
      <c r="A67">
        <v>83</v>
      </c>
      <c r="B67" t="s">
        <v>754</v>
      </c>
      <c r="C67" t="s">
        <v>54</v>
      </c>
      <c r="E67" t="s">
        <v>43</v>
      </c>
      <c r="H67">
        <v>5</v>
      </c>
      <c r="I67" t="s">
        <v>282</v>
      </c>
      <c r="J67">
        <v>6</v>
      </c>
      <c r="K67">
        <v>7.4999999999999997E-2</v>
      </c>
      <c r="L67">
        <v>3.4615384615384617</v>
      </c>
      <c r="M67">
        <v>100</v>
      </c>
      <c r="N67">
        <v>42248</v>
      </c>
      <c r="O67" t="s">
        <v>98</v>
      </c>
      <c r="P67">
        <v>0</v>
      </c>
      <c r="Q67">
        <v>0</v>
      </c>
      <c r="R67">
        <v>0</v>
      </c>
      <c r="S67">
        <v>0</v>
      </c>
      <c r="T67">
        <v>0</v>
      </c>
      <c r="U67">
        <v>0</v>
      </c>
      <c r="V67">
        <v>0</v>
      </c>
      <c r="W67">
        <v>0</v>
      </c>
      <c r="X67">
        <v>0</v>
      </c>
      <c r="Y67">
        <v>0</v>
      </c>
      <c r="Z67">
        <v>0</v>
      </c>
      <c r="AA67">
        <v>0</v>
      </c>
      <c r="AB67">
        <v>0</v>
      </c>
      <c r="AC67">
        <v>0</v>
      </c>
      <c r="AD67">
        <v>450</v>
      </c>
      <c r="AE67">
        <v>130</v>
      </c>
      <c r="AF67">
        <v>6</v>
      </c>
      <c r="AG67">
        <v>2700</v>
      </c>
      <c r="AH67">
        <v>16200</v>
      </c>
      <c r="AI67">
        <v>202</v>
      </c>
      <c r="AJ67">
        <v>1215</v>
      </c>
      <c r="AK67">
        <v>20</v>
      </c>
      <c r="AL67">
        <v>0</v>
      </c>
      <c r="AM67">
        <v>0</v>
      </c>
      <c r="AN67">
        <v>0</v>
      </c>
      <c r="AO67">
        <v>0</v>
      </c>
      <c r="AP67">
        <v>0</v>
      </c>
      <c r="AQ67">
        <v>0</v>
      </c>
      <c r="AR67">
        <v>675</v>
      </c>
      <c r="AS67">
        <v>195</v>
      </c>
      <c r="AT67">
        <v>6</v>
      </c>
      <c r="AU67">
        <v>4050</v>
      </c>
      <c r="AV67">
        <v>24300</v>
      </c>
      <c r="AW67">
        <v>303</v>
      </c>
      <c r="AX67">
        <v>1822</v>
      </c>
      <c r="AY67">
        <v>6</v>
      </c>
      <c r="AZ67">
        <v>1200000</v>
      </c>
      <c r="BA67">
        <v>0</v>
      </c>
      <c r="BB67">
        <v>2</v>
      </c>
      <c r="BC67">
        <v>0</v>
      </c>
      <c r="BD67">
        <v>12.512345679012347</v>
      </c>
      <c r="BE67">
        <v>200000</v>
      </c>
      <c r="BF67">
        <v>786</v>
      </c>
      <c r="BG67">
        <v>227</v>
      </c>
      <c r="BH67">
        <v>6</v>
      </c>
      <c r="BI67">
        <v>4716</v>
      </c>
      <c r="BJ67">
        <v>28296</v>
      </c>
      <c r="BK67">
        <v>353</v>
      </c>
      <c r="BL67">
        <v>2122</v>
      </c>
      <c r="BM67">
        <v>11</v>
      </c>
      <c r="BN67">
        <v>1800000</v>
      </c>
      <c r="BO67">
        <v>0</v>
      </c>
      <c r="BP67">
        <v>3</v>
      </c>
      <c r="BQ67">
        <v>0</v>
      </c>
      <c r="BR67">
        <v>16.296914758269718</v>
      </c>
      <c r="BS67">
        <v>163636</v>
      </c>
      <c r="BT67">
        <v>855</v>
      </c>
      <c r="BU67">
        <v>247</v>
      </c>
      <c r="BV67">
        <v>6</v>
      </c>
      <c r="BW67">
        <v>5130</v>
      </c>
      <c r="BX67">
        <v>30780</v>
      </c>
      <c r="BY67">
        <v>384</v>
      </c>
      <c r="BZ67">
        <v>2308</v>
      </c>
      <c r="CA67">
        <v>16</v>
      </c>
      <c r="CB67">
        <v>2400000</v>
      </c>
      <c r="CC67">
        <v>0</v>
      </c>
      <c r="CD67">
        <v>0</v>
      </c>
      <c r="CE67">
        <v>2</v>
      </c>
      <c r="CF67">
        <v>20.106042884990256</v>
      </c>
      <c r="CG67">
        <v>150000</v>
      </c>
      <c r="CH67">
        <v>900</v>
      </c>
      <c r="CI67">
        <v>260</v>
      </c>
      <c r="CJ67">
        <v>6</v>
      </c>
      <c r="CK67">
        <v>5400</v>
      </c>
      <c r="CL67">
        <v>32400</v>
      </c>
      <c r="CM67">
        <v>405</v>
      </c>
      <c r="CN67">
        <v>2430</v>
      </c>
      <c r="CO67">
        <v>20</v>
      </c>
      <c r="CP67">
        <v>3000000</v>
      </c>
      <c r="CQ67">
        <v>0</v>
      </c>
      <c r="CR67">
        <v>0</v>
      </c>
      <c r="CS67">
        <v>3</v>
      </c>
      <c r="CT67">
        <v>23.939814814814813</v>
      </c>
      <c r="CU67">
        <v>150000</v>
      </c>
      <c r="CV67">
        <v>73</v>
      </c>
      <c r="CW67">
        <v>8400000</v>
      </c>
      <c r="CX67">
        <v>0</v>
      </c>
      <c r="CY67">
        <v>5</v>
      </c>
      <c r="CZ67">
        <v>5</v>
      </c>
      <c r="DA67">
        <v>64.814814814814824</v>
      </c>
      <c r="DB67">
        <v>115068.49315068492</v>
      </c>
      <c r="DD67" t="s">
        <v>754</v>
      </c>
      <c r="DE67">
        <v>83</v>
      </c>
    </row>
    <row r="68" spans="1:109">
      <c r="A68">
        <v>85</v>
      </c>
      <c r="B68" t="s">
        <v>842</v>
      </c>
      <c r="C68" t="s">
        <v>77</v>
      </c>
      <c r="E68" t="s">
        <v>43</v>
      </c>
      <c r="H68">
        <v>5</v>
      </c>
      <c r="I68" t="s">
        <v>282</v>
      </c>
      <c r="J68">
        <v>9</v>
      </c>
      <c r="K68">
        <v>0.2</v>
      </c>
      <c r="L68">
        <v>0.97560975609756095</v>
      </c>
      <c r="M68">
        <v>100</v>
      </c>
      <c r="N68">
        <v>42265</v>
      </c>
      <c r="O68" t="s">
        <v>98</v>
      </c>
      <c r="P68">
        <v>0</v>
      </c>
      <c r="Q68">
        <v>0</v>
      </c>
      <c r="R68">
        <v>0</v>
      </c>
      <c r="S68">
        <v>0</v>
      </c>
      <c r="T68">
        <v>0</v>
      </c>
      <c r="U68">
        <v>0</v>
      </c>
      <c r="V68">
        <v>0</v>
      </c>
      <c r="W68">
        <v>0</v>
      </c>
      <c r="X68">
        <v>0</v>
      </c>
      <c r="Y68">
        <v>0</v>
      </c>
      <c r="Z68">
        <v>0</v>
      </c>
      <c r="AA68">
        <v>0</v>
      </c>
      <c r="AB68">
        <v>0</v>
      </c>
      <c r="AC68">
        <v>0</v>
      </c>
      <c r="AD68">
        <v>200</v>
      </c>
      <c r="AE68">
        <v>205</v>
      </c>
      <c r="AF68">
        <v>4</v>
      </c>
      <c r="AG68">
        <v>800</v>
      </c>
      <c r="AH68">
        <v>7200</v>
      </c>
      <c r="AI68">
        <v>160</v>
      </c>
      <c r="AJ68">
        <v>1440</v>
      </c>
      <c r="AK68">
        <v>15</v>
      </c>
      <c r="AL68">
        <v>0</v>
      </c>
      <c r="AM68">
        <v>0</v>
      </c>
      <c r="AN68">
        <v>0</v>
      </c>
      <c r="AO68">
        <v>0</v>
      </c>
      <c r="AP68">
        <v>0</v>
      </c>
      <c r="AQ68">
        <v>0</v>
      </c>
      <c r="AR68">
        <v>300</v>
      </c>
      <c r="AS68">
        <v>307</v>
      </c>
      <c r="AT68">
        <v>4</v>
      </c>
      <c r="AU68">
        <v>1200</v>
      </c>
      <c r="AV68">
        <v>10800</v>
      </c>
      <c r="AW68">
        <v>240</v>
      </c>
      <c r="AX68">
        <v>2160</v>
      </c>
      <c r="AY68">
        <v>4</v>
      </c>
      <c r="AZ68">
        <v>960000</v>
      </c>
      <c r="BA68">
        <v>0</v>
      </c>
      <c r="BB68">
        <v>1</v>
      </c>
      <c r="BC68">
        <v>0</v>
      </c>
      <c r="BD68">
        <v>33.444444444444443</v>
      </c>
      <c r="BE68">
        <v>240000</v>
      </c>
      <c r="BF68">
        <v>350</v>
      </c>
      <c r="BG68">
        <v>357</v>
      </c>
      <c r="BH68">
        <v>4</v>
      </c>
      <c r="BI68">
        <v>1400</v>
      </c>
      <c r="BJ68">
        <v>12600</v>
      </c>
      <c r="BK68">
        <v>280</v>
      </c>
      <c r="BL68">
        <v>2520</v>
      </c>
      <c r="BM68">
        <v>8</v>
      </c>
      <c r="BN68">
        <v>1440000</v>
      </c>
      <c r="BO68">
        <v>0</v>
      </c>
      <c r="BP68">
        <v>2</v>
      </c>
      <c r="BQ68">
        <v>0</v>
      </c>
      <c r="BR68">
        <v>43.142857142857139</v>
      </c>
      <c r="BS68">
        <v>180000</v>
      </c>
      <c r="BT68">
        <v>380</v>
      </c>
      <c r="BU68">
        <v>389</v>
      </c>
      <c r="BV68">
        <v>4</v>
      </c>
      <c r="BW68">
        <v>1520</v>
      </c>
      <c r="BX68">
        <v>13680</v>
      </c>
      <c r="BY68">
        <v>304</v>
      </c>
      <c r="BZ68">
        <v>2736</v>
      </c>
      <c r="CA68">
        <v>12</v>
      </c>
      <c r="CB68">
        <v>1920000</v>
      </c>
      <c r="CC68">
        <v>0</v>
      </c>
      <c r="CD68">
        <v>0</v>
      </c>
      <c r="CE68">
        <v>1</v>
      </c>
      <c r="CF68">
        <v>53.09210526315789</v>
      </c>
      <c r="CG68">
        <v>160000</v>
      </c>
      <c r="CH68">
        <v>400</v>
      </c>
      <c r="CI68">
        <v>410</v>
      </c>
      <c r="CJ68">
        <v>5</v>
      </c>
      <c r="CK68">
        <v>2000</v>
      </c>
      <c r="CL68">
        <v>18000</v>
      </c>
      <c r="CM68">
        <v>400</v>
      </c>
      <c r="CN68">
        <v>3600</v>
      </c>
      <c r="CO68">
        <v>15</v>
      </c>
      <c r="CP68">
        <v>2400000</v>
      </c>
      <c r="CQ68">
        <v>0</v>
      </c>
      <c r="CR68">
        <v>0</v>
      </c>
      <c r="CS68">
        <v>2</v>
      </c>
      <c r="CT68">
        <v>50.475000000000001</v>
      </c>
      <c r="CU68">
        <v>160000</v>
      </c>
      <c r="CV68">
        <v>54</v>
      </c>
      <c r="CW68">
        <v>6720000</v>
      </c>
      <c r="CX68">
        <v>0</v>
      </c>
      <c r="CY68">
        <v>3</v>
      </c>
      <c r="CZ68">
        <v>3</v>
      </c>
      <c r="DA68">
        <v>140</v>
      </c>
      <c r="DB68">
        <v>124444.44444444444</v>
      </c>
      <c r="DD68" t="s">
        <v>842</v>
      </c>
      <c r="DE68">
        <v>85</v>
      </c>
    </row>
    <row r="69" spans="1:109">
      <c r="A69">
        <v>86</v>
      </c>
      <c r="B69" t="s">
        <v>792</v>
      </c>
      <c r="C69" t="s">
        <v>52</v>
      </c>
      <c r="E69" t="s">
        <v>43</v>
      </c>
      <c r="H69">
        <v>5</v>
      </c>
      <c r="I69" t="s">
        <v>282</v>
      </c>
      <c r="J69">
        <v>5</v>
      </c>
      <c r="K69">
        <v>0.15</v>
      </c>
      <c r="L69">
        <v>1.4</v>
      </c>
      <c r="M69">
        <v>100</v>
      </c>
      <c r="N69">
        <v>42278</v>
      </c>
      <c r="O69" t="s">
        <v>98</v>
      </c>
      <c r="P69">
        <v>0</v>
      </c>
      <c r="Q69">
        <v>0</v>
      </c>
      <c r="R69">
        <v>0</v>
      </c>
      <c r="S69">
        <v>0</v>
      </c>
      <c r="T69">
        <v>0</v>
      </c>
      <c r="U69">
        <v>0</v>
      </c>
      <c r="V69">
        <v>0</v>
      </c>
      <c r="W69">
        <v>0</v>
      </c>
      <c r="X69">
        <v>0</v>
      </c>
      <c r="Y69">
        <v>0</v>
      </c>
      <c r="Z69">
        <v>0</v>
      </c>
      <c r="AA69">
        <v>0</v>
      </c>
      <c r="AB69">
        <v>0</v>
      </c>
      <c r="AC69">
        <v>0</v>
      </c>
      <c r="AD69">
        <v>210</v>
      </c>
      <c r="AE69">
        <v>150</v>
      </c>
      <c r="AF69">
        <v>10</v>
      </c>
      <c r="AG69">
        <v>2100</v>
      </c>
      <c r="AH69">
        <v>10500</v>
      </c>
      <c r="AI69">
        <v>315</v>
      </c>
      <c r="AJ69">
        <v>1575</v>
      </c>
      <c r="AK69">
        <v>10</v>
      </c>
      <c r="AL69">
        <v>0</v>
      </c>
      <c r="AM69">
        <v>0</v>
      </c>
      <c r="AN69">
        <v>0</v>
      </c>
      <c r="AO69">
        <v>0</v>
      </c>
      <c r="AP69">
        <v>0</v>
      </c>
      <c r="AQ69">
        <v>0</v>
      </c>
      <c r="AR69">
        <v>315</v>
      </c>
      <c r="AS69">
        <v>225</v>
      </c>
      <c r="AT69">
        <v>10</v>
      </c>
      <c r="AU69">
        <v>3150</v>
      </c>
      <c r="AV69">
        <v>15750</v>
      </c>
      <c r="AW69">
        <v>472</v>
      </c>
      <c r="AX69">
        <v>2362</v>
      </c>
      <c r="AY69">
        <v>3</v>
      </c>
      <c r="AZ69">
        <v>920000</v>
      </c>
      <c r="BA69">
        <v>0</v>
      </c>
      <c r="BB69">
        <v>1</v>
      </c>
      <c r="BC69">
        <v>0</v>
      </c>
      <c r="BD69">
        <v>12.252645502645501</v>
      </c>
      <c r="BE69">
        <v>306666</v>
      </c>
      <c r="BF69">
        <v>367</v>
      </c>
      <c r="BG69">
        <v>262</v>
      </c>
      <c r="BH69">
        <v>10</v>
      </c>
      <c r="BI69">
        <v>3670</v>
      </c>
      <c r="BJ69">
        <v>18350</v>
      </c>
      <c r="BK69">
        <v>550</v>
      </c>
      <c r="BL69">
        <v>2752</v>
      </c>
      <c r="BM69">
        <v>5</v>
      </c>
      <c r="BN69">
        <v>1380000</v>
      </c>
      <c r="BO69">
        <v>0</v>
      </c>
      <c r="BP69">
        <v>2</v>
      </c>
      <c r="BQ69">
        <v>0</v>
      </c>
      <c r="BR69">
        <v>15.846389645776567</v>
      </c>
      <c r="BS69">
        <v>276000</v>
      </c>
      <c r="BT69">
        <v>399</v>
      </c>
      <c r="BU69">
        <v>285</v>
      </c>
      <c r="BV69">
        <v>10</v>
      </c>
      <c r="BW69">
        <v>3990</v>
      </c>
      <c r="BX69">
        <v>19950</v>
      </c>
      <c r="BY69">
        <v>598</v>
      </c>
      <c r="BZ69">
        <v>2992</v>
      </c>
      <c r="CA69">
        <v>8</v>
      </c>
      <c r="CB69">
        <v>1840000</v>
      </c>
      <c r="CC69">
        <v>0</v>
      </c>
      <c r="CD69">
        <v>0</v>
      </c>
      <c r="CE69">
        <v>1</v>
      </c>
      <c r="CF69">
        <v>19.521303258145362</v>
      </c>
      <c r="CG69">
        <v>230000</v>
      </c>
      <c r="CH69">
        <v>420</v>
      </c>
      <c r="CI69">
        <v>300</v>
      </c>
      <c r="CJ69">
        <v>11</v>
      </c>
      <c r="CK69">
        <v>4620</v>
      </c>
      <c r="CL69">
        <v>23100</v>
      </c>
      <c r="CM69">
        <v>693</v>
      </c>
      <c r="CN69">
        <v>3465</v>
      </c>
      <c r="CO69">
        <v>10</v>
      </c>
      <c r="CP69">
        <v>2300000</v>
      </c>
      <c r="CQ69">
        <v>0</v>
      </c>
      <c r="CR69">
        <v>0</v>
      </c>
      <c r="CS69">
        <v>2</v>
      </c>
      <c r="CT69">
        <v>21.102994227994227</v>
      </c>
      <c r="CU69">
        <v>230000</v>
      </c>
      <c r="CV69">
        <v>36</v>
      </c>
      <c r="CW69">
        <v>6440000</v>
      </c>
      <c r="CX69">
        <v>0</v>
      </c>
      <c r="CY69">
        <v>3</v>
      </c>
      <c r="CZ69">
        <v>3</v>
      </c>
      <c r="DA69">
        <v>58.080808080808083</v>
      </c>
      <c r="DB69">
        <v>178888.88888888888</v>
      </c>
      <c r="DD69" t="s">
        <v>792</v>
      </c>
      <c r="DE69">
        <v>86</v>
      </c>
    </row>
    <row r="70" spans="1:109">
      <c r="A70">
        <v>87</v>
      </c>
      <c r="B70" t="s">
        <v>843</v>
      </c>
      <c r="C70" t="s">
        <v>42</v>
      </c>
      <c r="D70" t="s">
        <v>43</v>
      </c>
      <c r="E70" t="s">
        <v>43</v>
      </c>
      <c r="H70">
        <v>6</v>
      </c>
      <c r="I70" t="s">
        <v>282</v>
      </c>
      <c r="J70">
        <v>5</v>
      </c>
      <c r="K70">
        <v>0.1</v>
      </c>
      <c r="L70">
        <v>2.4</v>
      </c>
      <c r="M70">
        <v>100</v>
      </c>
      <c r="N70">
        <v>42278</v>
      </c>
      <c r="O70" t="s">
        <v>98</v>
      </c>
      <c r="P70">
        <v>0</v>
      </c>
      <c r="Q70">
        <v>0</v>
      </c>
      <c r="R70">
        <v>0</v>
      </c>
      <c r="S70">
        <v>0</v>
      </c>
      <c r="T70">
        <v>0</v>
      </c>
      <c r="U70">
        <v>0</v>
      </c>
      <c r="V70">
        <v>0</v>
      </c>
      <c r="W70">
        <v>0</v>
      </c>
      <c r="X70">
        <v>0</v>
      </c>
      <c r="Y70">
        <v>0</v>
      </c>
      <c r="Z70">
        <v>0</v>
      </c>
      <c r="AA70">
        <v>0</v>
      </c>
      <c r="AB70">
        <v>0</v>
      </c>
      <c r="AC70">
        <v>0</v>
      </c>
      <c r="AD70">
        <v>600</v>
      </c>
      <c r="AE70">
        <v>250</v>
      </c>
      <c r="AF70">
        <v>10</v>
      </c>
      <c r="AG70">
        <v>6000</v>
      </c>
      <c r="AH70">
        <v>30000</v>
      </c>
      <c r="AI70">
        <v>600</v>
      </c>
      <c r="AJ70">
        <v>3000</v>
      </c>
      <c r="AK70">
        <v>24</v>
      </c>
      <c r="AL70">
        <v>0</v>
      </c>
      <c r="AM70">
        <v>0</v>
      </c>
      <c r="AN70">
        <v>0</v>
      </c>
      <c r="AO70">
        <v>0</v>
      </c>
      <c r="AP70">
        <v>0</v>
      </c>
      <c r="AQ70">
        <v>0</v>
      </c>
      <c r="AR70">
        <v>900</v>
      </c>
      <c r="AS70">
        <v>375</v>
      </c>
      <c r="AT70">
        <v>10</v>
      </c>
      <c r="AU70">
        <v>9000</v>
      </c>
      <c r="AV70">
        <v>45000</v>
      </c>
      <c r="AW70">
        <v>900</v>
      </c>
      <c r="AX70">
        <v>4500</v>
      </c>
      <c r="AY70">
        <v>7</v>
      </c>
      <c r="AZ70">
        <v>2000000</v>
      </c>
      <c r="BA70">
        <v>0</v>
      </c>
      <c r="BB70">
        <v>4</v>
      </c>
      <c r="BC70">
        <v>0</v>
      </c>
      <c r="BD70">
        <v>9.4537037037037042</v>
      </c>
      <c r="BE70">
        <v>285714</v>
      </c>
      <c r="BF70">
        <v>1047</v>
      </c>
      <c r="BG70">
        <v>437</v>
      </c>
      <c r="BH70">
        <v>11</v>
      </c>
      <c r="BI70">
        <v>11517</v>
      </c>
      <c r="BJ70">
        <v>57585</v>
      </c>
      <c r="BK70">
        <v>1151</v>
      </c>
      <c r="BL70">
        <v>5758</v>
      </c>
      <c r="BM70">
        <v>13</v>
      </c>
      <c r="BN70">
        <v>3000000</v>
      </c>
      <c r="BO70">
        <v>0</v>
      </c>
      <c r="BP70">
        <v>6</v>
      </c>
      <c r="BQ70">
        <v>0</v>
      </c>
      <c r="BR70">
        <v>11.276808196578969</v>
      </c>
      <c r="BS70">
        <v>230769</v>
      </c>
      <c r="BT70">
        <v>1140</v>
      </c>
      <c r="BU70">
        <v>475</v>
      </c>
      <c r="BV70">
        <v>11</v>
      </c>
      <c r="BW70">
        <v>12540</v>
      </c>
      <c r="BX70">
        <v>62700</v>
      </c>
      <c r="BY70">
        <v>1254</v>
      </c>
      <c r="BZ70">
        <v>6270</v>
      </c>
      <c r="CA70">
        <v>20</v>
      </c>
      <c r="CB70">
        <v>4000000</v>
      </c>
      <c r="CC70">
        <v>0</v>
      </c>
      <c r="CD70">
        <v>0</v>
      </c>
      <c r="CE70">
        <v>4</v>
      </c>
      <c r="CF70">
        <v>14.056153641679957</v>
      </c>
      <c r="CG70">
        <v>200000</v>
      </c>
      <c r="CH70">
        <v>1200</v>
      </c>
      <c r="CI70">
        <v>500</v>
      </c>
      <c r="CJ70">
        <v>12</v>
      </c>
      <c r="CK70">
        <v>14400</v>
      </c>
      <c r="CL70">
        <v>72000</v>
      </c>
      <c r="CM70">
        <v>1440</v>
      </c>
      <c r="CN70">
        <v>7200</v>
      </c>
      <c r="CO70">
        <v>24</v>
      </c>
      <c r="CP70">
        <v>5000000</v>
      </c>
      <c r="CQ70">
        <v>0</v>
      </c>
      <c r="CR70">
        <v>0</v>
      </c>
      <c r="CS70">
        <v>6</v>
      </c>
      <c r="CT70">
        <v>15.338425925925925</v>
      </c>
      <c r="CU70">
        <v>208333</v>
      </c>
      <c r="CV70">
        <v>88</v>
      </c>
      <c r="CW70">
        <v>14000000</v>
      </c>
      <c r="CX70">
        <v>0</v>
      </c>
      <c r="CY70">
        <v>10</v>
      </c>
      <c r="CZ70">
        <v>10</v>
      </c>
      <c r="DA70">
        <v>40.50925925925926</v>
      </c>
      <c r="DB70">
        <v>159090.90909090909</v>
      </c>
      <c r="DD70" t="s">
        <v>843</v>
      </c>
      <c r="DE70">
        <v>87</v>
      </c>
    </row>
    <row r="71" spans="1:109">
      <c r="A71">
        <v>88</v>
      </c>
      <c r="B71" t="s">
        <v>844</v>
      </c>
      <c r="C71" t="s">
        <v>42</v>
      </c>
      <c r="E71" t="s">
        <v>43</v>
      </c>
      <c r="H71">
        <v>5</v>
      </c>
      <c r="I71" t="s">
        <v>282</v>
      </c>
      <c r="J71">
        <v>9</v>
      </c>
      <c r="K71">
        <v>0.1</v>
      </c>
      <c r="L71">
        <v>1.3333333333333333</v>
      </c>
      <c r="M71">
        <v>100</v>
      </c>
      <c r="N71">
        <v>42287</v>
      </c>
      <c r="O71" t="s">
        <v>98</v>
      </c>
      <c r="P71">
        <v>0</v>
      </c>
      <c r="Q71">
        <v>0</v>
      </c>
      <c r="R71">
        <v>0</v>
      </c>
      <c r="S71">
        <v>0</v>
      </c>
      <c r="T71">
        <v>0</v>
      </c>
      <c r="U71">
        <v>0</v>
      </c>
      <c r="V71">
        <v>0</v>
      </c>
      <c r="W71">
        <v>0</v>
      </c>
      <c r="X71">
        <v>0</v>
      </c>
      <c r="Y71">
        <v>0</v>
      </c>
      <c r="Z71">
        <v>0</v>
      </c>
      <c r="AA71">
        <v>0</v>
      </c>
      <c r="AB71">
        <v>0</v>
      </c>
      <c r="AC71">
        <v>0</v>
      </c>
      <c r="AD71">
        <v>260</v>
      </c>
      <c r="AE71">
        <v>195</v>
      </c>
      <c r="AF71">
        <v>6</v>
      </c>
      <c r="AG71">
        <v>1560</v>
      </c>
      <c r="AH71">
        <v>14040</v>
      </c>
      <c r="AI71">
        <v>156</v>
      </c>
      <c r="AJ71">
        <v>1404</v>
      </c>
      <c r="AK71">
        <v>2</v>
      </c>
      <c r="AL71">
        <v>0</v>
      </c>
      <c r="AM71">
        <v>0</v>
      </c>
      <c r="AN71">
        <v>0</v>
      </c>
      <c r="AO71">
        <v>0</v>
      </c>
      <c r="AP71">
        <v>0</v>
      </c>
      <c r="AQ71">
        <v>0</v>
      </c>
      <c r="AR71">
        <v>390</v>
      </c>
      <c r="AS71">
        <v>293</v>
      </c>
      <c r="AT71">
        <v>6</v>
      </c>
      <c r="AU71">
        <v>2340</v>
      </c>
      <c r="AV71">
        <v>21060</v>
      </c>
      <c r="AW71">
        <v>234</v>
      </c>
      <c r="AX71">
        <v>2106</v>
      </c>
      <c r="AY71">
        <v>12</v>
      </c>
      <c r="AZ71">
        <v>960000</v>
      </c>
      <c r="BA71">
        <v>0</v>
      </c>
      <c r="BB71">
        <v>1</v>
      </c>
      <c r="BC71">
        <v>0</v>
      </c>
      <c r="BD71">
        <v>17.427350427350429</v>
      </c>
      <c r="BE71">
        <v>80000</v>
      </c>
      <c r="BF71">
        <v>454</v>
      </c>
      <c r="BG71">
        <v>341</v>
      </c>
      <c r="BH71">
        <v>6</v>
      </c>
      <c r="BI71">
        <v>2724</v>
      </c>
      <c r="BJ71">
        <v>24516</v>
      </c>
      <c r="BK71">
        <v>272</v>
      </c>
      <c r="BL71">
        <v>2451</v>
      </c>
      <c r="BM71">
        <v>24</v>
      </c>
      <c r="BN71">
        <v>1440000</v>
      </c>
      <c r="BO71">
        <v>0</v>
      </c>
      <c r="BP71">
        <v>2</v>
      </c>
      <c r="BQ71">
        <v>0</v>
      </c>
      <c r="BR71">
        <v>22.885462555066081</v>
      </c>
      <c r="BS71">
        <v>60000</v>
      </c>
      <c r="BT71">
        <v>494</v>
      </c>
      <c r="BU71">
        <v>371</v>
      </c>
      <c r="BV71">
        <v>6</v>
      </c>
      <c r="BW71">
        <v>2964</v>
      </c>
      <c r="BX71">
        <v>26676</v>
      </c>
      <c r="BY71">
        <v>296</v>
      </c>
      <c r="BZ71">
        <v>2667</v>
      </c>
      <c r="CA71">
        <v>72</v>
      </c>
      <c r="CB71">
        <v>1920000</v>
      </c>
      <c r="CC71">
        <v>0</v>
      </c>
      <c r="CD71">
        <v>0</v>
      </c>
      <c r="CE71">
        <v>1</v>
      </c>
      <c r="CF71">
        <v>29.747638326585697</v>
      </c>
      <c r="CG71">
        <v>26666</v>
      </c>
      <c r="CH71">
        <v>520</v>
      </c>
      <c r="CI71">
        <v>390</v>
      </c>
      <c r="CJ71">
        <v>6</v>
      </c>
      <c r="CK71">
        <v>3120</v>
      </c>
      <c r="CL71">
        <v>28080</v>
      </c>
      <c r="CM71">
        <v>312</v>
      </c>
      <c r="CN71">
        <v>2808</v>
      </c>
      <c r="CO71">
        <v>120</v>
      </c>
      <c r="CP71">
        <v>2400000</v>
      </c>
      <c r="CQ71">
        <v>0</v>
      </c>
      <c r="CR71">
        <v>0</v>
      </c>
      <c r="CS71">
        <v>2</v>
      </c>
      <c r="CT71">
        <v>36.801282051282051</v>
      </c>
      <c r="CU71">
        <v>20000</v>
      </c>
      <c r="CV71">
        <v>230</v>
      </c>
      <c r="CW71">
        <v>6720000</v>
      </c>
      <c r="CX71">
        <v>0</v>
      </c>
      <c r="CY71">
        <v>3</v>
      </c>
      <c r="CZ71">
        <v>3</v>
      </c>
      <c r="DA71">
        <v>89.743589743589737</v>
      </c>
      <c r="DB71">
        <v>29217.391304347828</v>
      </c>
      <c r="DD71" t="s">
        <v>844</v>
      </c>
      <c r="DE71">
        <v>88</v>
      </c>
    </row>
    <row r="72" spans="1:109">
      <c r="A72">
        <v>89</v>
      </c>
      <c r="B72" t="s">
        <v>773</v>
      </c>
      <c r="C72" t="s">
        <v>48</v>
      </c>
      <c r="D72" t="s">
        <v>43</v>
      </c>
      <c r="E72" t="s">
        <v>43</v>
      </c>
      <c r="H72">
        <v>6</v>
      </c>
      <c r="I72" t="s">
        <v>282</v>
      </c>
      <c r="J72">
        <v>8</v>
      </c>
      <c r="K72">
        <v>2.5000000000000001E-2</v>
      </c>
      <c r="L72">
        <v>4.4444444444444446</v>
      </c>
      <c r="M72">
        <v>100</v>
      </c>
      <c r="N72">
        <v>42287</v>
      </c>
      <c r="O72" t="s">
        <v>98</v>
      </c>
      <c r="P72">
        <v>0</v>
      </c>
      <c r="Q72">
        <v>0</v>
      </c>
      <c r="R72">
        <v>0</v>
      </c>
      <c r="S72">
        <v>0</v>
      </c>
      <c r="T72">
        <v>0</v>
      </c>
      <c r="U72">
        <v>0</v>
      </c>
      <c r="V72">
        <v>0</v>
      </c>
      <c r="W72">
        <v>0</v>
      </c>
      <c r="X72">
        <v>0</v>
      </c>
      <c r="Y72">
        <v>0</v>
      </c>
      <c r="Z72">
        <v>0</v>
      </c>
      <c r="AA72">
        <v>0</v>
      </c>
      <c r="AB72">
        <v>0</v>
      </c>
      <c r="AC72">
        <v>0</v>
      </c>
      <c r="AD72">
        <v>800</v>
      </c>
      <c r="AE72">
        <v>180</v>
      </c>
      <c r="AF72">
        <v>9</v>
      </c>
      <c r="AG72">
        <v>7200</v>
      </c>
      <c r="AH72">
        <v>57600</v>
      </c>
      <c r="AI72">
        <v>180</v>
      </c>
      <c r="AJ72">
        <v>1440</v>
      </c>
      <c r="AK72">
        <v>4</v>
      </c>
      <c r="AL72">
        <v>0</v>
      </c>
      <c r="AM72">
        <v>0</v>
      </c>
      <c r="AN72">
        <v>0</v>
      </c>
      <c r="AO72">
        <v>0</v>
      </c>
      <c r="AP72">
        <v>0</v>
      </c>
      <c r="AQ72">
        <v>0</v>
      </c>
      <c r="AR72">
        <v>1200</v>
      </c>
      <c r="AS72">
        <v>270</v>
      </c>
      <c r="AT72">
        <v>9</v>
      </c>
      <c r="AU72">
        <v>10800</v>
      </c>
      <c r="AV72">
        <v>86400</v>
      </c>
      <c r="AW72">
        <v>270</v>
      </c>
      <c r="AX72">
        <v>2160</v>
      </c>
      <c r="AY72">
        <v>24</v>
      </c>
      <c r="AZ72">
        <v>2400000</v>
      </c>
      <c r="BA72">
        <v>0</v>
      </c>
      <c r="BB72">
        <v>4</v>
      </c>
      <c r="BC72">
        <v>0</v>
      </c>
      <c r="BD72">
        <v>9.9259259259259256</v>
      </c>
      <c r="BE72">
        <v>100000</v>
      </c>
      <c r="BF72">
        <v>1396</v>
      </c>
      <c r="BG72">
        <v>315</v>
      </c>
      <c r="BH72">
        <v>9</v>
      </c>
      <c r="BI72">
        <v>12564</v>
      </c>
      <c r="BJ72">
        <v>100512</v>
      </c>
      <c r="BK72">
        <v>314</v>
      </c>
      <c r="BL72">
        <v>2512</v>
      </c>
      <c r="BM72">
        <v>48</v>
      </c>
      <c r="BN72">
        <v>3600000</v>
      </c>
      <c r="BO72">
        <v>0</v>
      </c>
      <c r="BP72">
        <v>6</v>
      </c>
      <c r="BQ72">
        <v>0</v>
      </c>
      <c r="BR72">
        <v>13.658070678127984</v>
      </c>
      <c r="BS72">
        <v>75000</v>
      </c>
      <c r="BT72">
        <v>1520</v>
      </c>
      <c r="BU72">
        <v>342</v>
      </c>
      <c r="BV72">
        <v>9</v>
      </c>
      <c r="BW72">
        <v>13680</v>
      </c>
      <c r="BX72">
        <v>109440</v>
      </c>
      <c r="BY72">
        <v>342</v>
      </c>
      <c r="BZ72">
        <v>2736</v>
      </c>
      <c r="CA72">
        <v>96</v>
      </c>
      <c r="CB72">
        <v>4800000</v>
      </c>
      <c r="CC72">
        <v>0</v>
      </c>
      <c r="CD72">
        <v>0</v>
      </c>
      <c r="CE72">
        <v>4</v>
      </c>
      <c r="CF72">
        <v>18.29356725146199</v>
      </c>
      <c r="CG72">
        <v>50000</v>
      </c>
      <c r="CH72">
        <v>1600</v>
      </c>
      <c r="CI72">
        <v>360</v>
      </c>
      <c r="CJ72">
        <v>10</v>
      </c>
      <c r="CK72">
        <v>16000</v>
      </c>
      <c r="CL72">
        <v>128000</v>
      </c>
      <c r="CM72">
        <v>400</v>
      </c>
      <c r="CN72">
        <v>3200</v>
      </c>
      <c r="CO72">
        <v>192</v>
      </c>
      <c r="CP72">
        <v>6000000</v>
      </c>
      <c r="CQ72">
        <v>0</v>
      </c>
      <c r="CR72">
        <v>0</v>
      </c>
      <c r="CS72">
        <v>6</v>
      </c>
      <c r="CT72">
        <v>22.465</v>
      </c>
      <c r="CU72">
        <v>31250</v>
      </c>
      <c r="CV72">
        <v>364</v>
      </c>
      <c r="CW72">
        <v>16800000</v>
      </c>
      <c r="CX72">
        <v>0</v>
      </c>
      <c r="CY72">
        <v>10</v>
      </c>
      <c r="CZ72">
        <v>10</v>
      </c>
      <c r="DA72">
        <v>43.75</v>
      </c>
      <c r="DB72">
        <v>46153.846153846156</v>
      </c>
      <c r="DD72" t="s">
        <v>773</v>
      </c>
      <c r="DE72">
        <v>89</v>
      </c>
    </row>
    <row r="73" spans="1:109">
      <c r="A73">
        <v>90</v>
      </c>
      <c r="B73" t="s">
        <v>845</v>
      </c>
      <c r="C73" t="s">
        <v>42</v>
      </c>
      <c r="E73" t="s">
        <v>43</v>
      </c>
      <c r="H73">
        <v>5</v>
      </c>
      <c r="I73" t="s">
        <v>282</v>
      </c>
      <c r="J73">
        <v>9</v>
      </c>
      <c r="K73">
        <v>0.1</v>
      </c>
      <c r="L73">
        <v>1.3333333333333333</v>
      </c>
      <c r="M73">
        <v>100</v>
      </c>
      <c r="N73">
        <v>42294</v>
      </c>
      <c r="O73" t="s">
        <v>98</v>
      </c>
      <c r="P73">
        <v>0</v>
      </c>
      <c r="Q73">
        <v>0</v>
      </c>
      <c r="R73">
        <v>0</v>
      </c>
      <c r="S73">
        <v>0</v>
      </c>
      <c r="T73">
        <v>0</v>
      </c>
      <c r="U73">
        <v>0</v>
      </c>
      <c r="V73">
        <v>0</v>
      </c>
      <c r="W73">
        <v>0</v>
      </c>
      <c r="X73">
        <v>0</v>
      </c>
      <c r="Y73">
        <v>0</v>
      </c>
      <c r="Z73">
        <v>0</v>
      </c>
      <c r="AA73">
        <v>0</v>
      </c>
      <c r="AB73">
        <v>0</v>
      </c>
      <c r="AC73">
        <v>0</v>
      </c>
      <c r="AD73">
        <v>280</v>
      </c>
      <c r="AE73">
        <v>210</v>
      </c>
      <c r="AF73">
        <v>6</v>
      </c>
      <c r="AG73">
        <v>1680</v>
      </c>
      <c r="AH73">
        <v>15120</v>
      </c>
      <c r="AI73">
        <v>168</v>
      </c>
      <c r="AJ73">
        <v>1512</v>
      </c>
      <c r="AK73">
        <v>3</v>
      </c>
      <c r="AL73">
        <v>0</v>
      </c>
      <c r="AM73">
        <v>0</v>
      </c>
      <c r="AN73">
        <v>0</v>
      </c>
      <c r="AO73">
        <v>0</v>
      </c>
      <c r="AP73">
        <v>0</v>
      </c>
      <c r="AQ73">
        <v>0</v>
      </c>
      <c r="AR73">
        <v>420</v>
      </c>
      <c r="AS73">
        <v>315</v>
      </c>
      <c r="AT73">
        <v>6</v>
      </c>
      <c r="AU73">
        <v>2520</v>
      </c>
      <c r="AV73">
        <v>22680</v>
      </c>
      <c r="AW73">
        <v>252</v>
      </c>
      <c r="AX73">
        <v>2268</v>
      </c>
      <c r="AY73">
        <v>18</v>
      </c>
      <c r="AZ73">
        <v>1040000</v>
      </c>
      <c r="BA73">
        <v>0</v>
      </c>
      <c r="BB73">
        <v>2</v>
      </c>
      <c r="BC73">
        <v>0</v>
      </c>
      <c r="BD73">
        <v>17.695767195767196</v>
      </c>
      <c r="BE73">
        <v>57777</v>
      </c>
      <c r="BF73">
        <v>489</v>
      </c>
      <c r="BG73">
        <v>367</v>
      </c>
      <c r="BH73">
        <v>6</v>
      </c>
      <c r="BI73">
        <v>2934</v>
      </c>
      <c r="BJ73">
        <v>26406</v>
      </c>
      <c r="BK73">
        <v>293</v>
      </c>
      <c r="BL73">
        <v>2640</v>
      </c>
      <c r="BM73">
        <v>36</v>
      </c>
      <c r="BN73">
        <v>1560000</v>
      </c>
      <c r="BO73">
        <v>0</v>
      </c>
      <c r="BP73">
        <v>3</v>
      </c>
      <c r="BQ73">
        <v>0</v>
      </c>
      <c r="BR73">
        <v>23.442399454669395</v>
      </c>
      <c r="BS73">
        <v>43333</v>
      </c>
      <c r="BT73">
        <v>532</v>
      </c>
      <c r="BU73">
        <v>399</v>
      </c>
      <c r="BV73">
        <v>6</v>
      </c>
      <c r="BW73">
        <v>3192</v>
      </c>
      <c r="BX73">
        <v>28728</v>
      </c>
      <c r="BY73">
        <v>319</v>
      </c>
      <c r="BZ73">
        <v>2872</v>
      </c>
      <c r="CA73">
        <v>108</v>
      </c>
      <c r="CB73">
        <v>2080000</v>
      </c>
      <c r="CC73">
        <v>0</v>
      </c>
      <c r="CD73">
        <v>0</v>
      </c>
      <c r="CE73">
        <v>2</v>
      </c>
      <c r="CF73">
        <v>31.287489557226397</v>
      </c>
      <c r="CG73">
        <v>19259</v>
      </c>
      <c r="CH73">
        <v>560</v>
      </c>
      <c r="CI73">
        <v>420</v>
      </c>
      <c r="CJ73">
        <v>6</v>
      </c>
      <c r="CK73">
        <v>3360</v>
      </c>
      <c r="CL73">
        <v>30240</v>
      </c>
      <c r="CM73">
        <v>336</v>
      </c>
      <c r="CN73">
        <v>3024</v>
      </c>
      <c r="CO73">
        <v>168</v>
      </c>
      <c r="CP73">
        <v>2600000</v>
      </c>
      <c r="CQ73">
        <v>0</v>
      </c>
      <c r="CR73">
        <v>0</v>
      </c>
      <c r="CS73">
        <v>3</v>
      </c>
      <c r="CT73">
        <v>38.892063492063492</v>
      </c>
      <c r="CU73">
        <v>15476</v>
      </c>
      <c r="CV73">
        <v>333</v>
      </c>
      <c r="CW73">
        <v>7280000</v>
      </c>
      <c r="CX73">
        <v>0</v>
      </c>
      <c r="CY73">
        <v>5</v>
      </c>
      <c r="CZ73">
        <v>5</v>
      </c>
      <c r="DA73">
        <v>90.277777777777771</v>
      </c>
      <c r="DB73">
        <v>21861.86186186186</v>
      </c>
      <c r="DD73" t="s">
        <v>845</v>
      </c>
      <c r="DE73">
        <v>90</v>
      </c>
    </row>
    <row r="74" spans="1:109">
      <c r="A74">
        <v>91</v>
      </c>
      <c r="B74" t="s">
        <v>793</v>
      </c>
      <c r="C74" t="s">
        <v>52</v>
      </c>
      <c r="E74" t="s">
        <v>43</v>
      </c>
      <c r="H74">
        <v>5</v>
      </c>
      <c r="I74" t="s">
        <v>282</v>
      </c>
      <c r="J74">
        <v>6</v>
      </c>
      <c r="K74">
        <v>0.15</v>
      </c>
      <c r="L74">
        <v>1.4193548387096775</v>
      </c>
      <c r="M74">
        <v>100</v>
      </c>
      <c r="N74">
        <v>42309</v>
      </c>
      <c r="O74" t="s">
        <v>206</v>
      </c>
      <c r="P74">
        <v>0</v>
      </c>
      <c r="Q74">
        <v>0</v>
      </c>
      <c r="R74">
        <v>0</v>
      </c>
      <c r="S74">
        <v>0</v>
      </c>
      <c r="T74">
        <v>0</v>
      </c>
      <c r="U74">
        <v>0</v>
      </c>
      <c r="V74">
        <v>0</v>
      </c>
      <c r="W74">
        <v>0</v>
      </c>
      <c r="X74">
        <v>0</v>
      </c>
      <c r="Y74">
        <v>0</v>
      </c>
      <c r="Z74">
        <v>0</v>
      </c>
      <c r="AA74">
        <v>0</v>
      </c>
      <c r="AB74">
        <v>0</v>
      </c>
      <c r="AC74">
        <v>0</v>
      </c>
      <c r="AD74">
        <v>147</v>
      </c>
      <c r="AE74">
        <v>104</v>
      </c>
      <c r="AF74">
        <v>11</v>
      </c>
      <c r="AG74">
        <v>1617</v>
      </c>
      <c r="AH74">
        <v>9702</v>
      </c>
      <c r="AI74">
        <v>242</v>
      </c>
      <c r="AJ74">
        <v>1455</v>
      </c>
      <c r="AK74">
        <v>3</v>
      </c>
      <c r="AL74">
        <v>0</v>
      </c>
      <c r="AM74">
        <v>0</v>
      </c>
      <c r="AN74">
        <v>0</v>
      </c>
      <c r="AO74">
        <v>0</v>
      </c>
      <c r="AP74">
        <v>0</v>
      </c>
      <c r="AQ74">
        <v>0</v>
      </c>
      <c r="AR74">
        <v>184</v>
      </c>
      <c r="AS74">
        <v>130</v>
      </c>
      <c r="AT74">
        <v>11</v>
      </c>
      <c r="AU74">
        <v>2024</v>
      </c>
      <c r="AV74">
        <v>12144</v>
      </c>
      <c r="AW74">
        <v>303</v>
      </c>
      <c r="AX74">
        <v>1821</v>
      </c>
      <c r="AY74">
        <v>18</v>
      </c>
      <c r="AZ74">
        <v>1080000</v>
      </c>
      <c r="BA74">
        <v>0</v>
      </c>
      <c r="BB74">
        <v>2</v>
      </c>
      <c r="BC74">
        <v>0</v>
      </c>
      <c r="BD74">
        <v>22.832386363636363</v>
      </c>
      <c r="BE74">
        <v>60000</v>
      </c>
      <c r="BF74">
        <v>220</v>
      </c>
      <c r="BG74">
        <v>155</v>
      </c>
      <c r="BH74">
        <v>11</v>
      </c>
      <c r="BI74">
        <v>2420</v>
      </c>
      <c r="BJ74">
        <v>14520</v>
      </c>
      <c r="BK74">
        <v>363</v>
      </c>
      <c r="BL74">
        <v>2178</v>
      </c>
      <c r="BM74">
        <v>36</v>
      </c>
      <c r="BN74">
        <v>1620000</v>
      </c>
      <c r="BO74">
        <v>0</v>
      </c>
      <c r="BP74">
        <v>3</v>
      </c>
      <c r="BQ74">
        <v>0</v>
      </c>
      <c r="BR74">
        <v>29.14710743801653</v>
      </c>
      <c r="BS74">
        <v>45000</v>
      </c>
      <c r="BT74">
        <v>294</v>
      </c>
      <c r="BU74">
        <v>207</v>
      </c>
      <c r="BV74">
        <v>11</v>
      </c>
      <c r="BW74">
        <v>3234</v>
      </c>
      <c r="BX74">
        <v>19404</v>
      </c>
      <c r="BY74">
        <v>485</v>
      </c>
      <c r="BZ74">
        <v>2910</v>
      </c>
      <c r="CA74">
        <v>108</v>
      </c>
      <c r="CB74">
        <v>2160000</v>
      </c>
      <c r="CC74">
        <v>0</v>
      </c>
      <c r="CD74">
        <v>0</v>
      </c>
      <c r="CE74">
        <v>2</v>
      </c>
      <c r="CF74">
        <v>31.196660482374767</v>
      </c>
      <c r="CG74">
        <v>20000</v>
      </c>
      <c r="CH74">
        <v>440</v>
      </c>
      <c r="CI74">
        <v>310</v>
      </c>
      <c r="CJ74">
        <v>12</v>
      </c>
      <c r="CK74">
        <v>5280</v>
      </c>
      <c r="CL74">
        <v>31680</v>
      </c>
      <c r="CM74">
        <v>792</v>
      </c>
      <c r="CN74">
        <v>4752</v>
      </c>
      <c r="CO74">
        <v>168</v>
      </c>
      <c r="CP74">
        <v>2700000</v>
      </c>
      <c r="CQ74">
        <v>0</v>
      </c>
      <c r="CR74">
        <v>0</v>
      </c>
      <c r="CS74">
        <v>3</v>
      </c>
      <c r="CT74">
        <v>25.594318181818181</v>
      </c>
      <c r="CU74">
        <v>16071</v>
      </c>
      <c r="CV74">
        <v>333</v>
      </c>
      <c r="CW74">
        <v>7560000</v>
      </c>
      <c r="CX74">
        <v>0</v>
      </c>
      <c r="CY74">
        <v>5</v>
      </c>
      <c r="CZ74">
        <v>5</v>
      </c>
      <c r="DA74">
        <v>59.659090909090907</v>
      </c>
      <c r="DB74">
        <v>22702.702702702703</v>
      </c>
      <c r="DD74" t="s">
        <v>793</v>
      </c>
      <c r="DE74">
        <v>91</v>
      </c>
    </row>
    <row r="75" spans="1:109">
      <c r="A75">
        <v>92</v>
      </c>
      <c r="B75" t="s">
        <v>755</v>
      </c>
      <c r="C75" t="s">
        <v>54</v>
      </c>
      <c r="D75" t="s">
        <v>43</v>
      </c>
      <c r="E75" t="s">
        <v>43</v>
      </c>
      <c r="H75">
        <v>6</v>
      </c>
      <c r="I75" t="s">
        <v>282</v>
      </c>
      <c r="J75">
        <v>6</v>
      </c>
      <c r="K75">
        <v>7.4999999999999997E-2</v>
      </c>
      <c r="L75">
        <v>3.8888888888888888</v>
      </c>
      <c r="M75">
        <v>100</v>
      </c>
      <c r="N75">
        <v>42309</v>
      </c>
      <c r="O75" t="s">
        <v>206</v>
      </c>
      <c r="P75">
        <v>0</v>
      </c>
      <c r="Q75">
        <v>0</v>
      </c>
      <c r="R75">
        <v>0</v>
      </c>
      <c r="S75">
        <v>0</v>
      </c>
      <c r="T75">
        <v>0</v>
      </c>
      <c r="U75">
        <v>0</v>
      </c>
      <c r="V75">
        <v>0</v>
      </c>
      <c r="W75">
        <v>0</v>
      </c>
      <c r="X75">
        <v>0</v>
      </c>
      <c r="Y75">
        <v>0</v>
      </c>
      <c r="Z75">
        <v>0</v>
      </c>
      <c r="AA75">
        <v>0</v>
      </c>
      <c r="AB75">
        <v>0</v>
      </c>
      <c r="AC75">
        <v>0</v>
      </c>
      <c r="AD75">
        <v>467</v>
      </c>
      <c r="AE75">
        <v>120</v>
      </c>
      <c r="AF75">
        <v>12</v>
      </c>
      <c r="AG75">
        <v>5604</v>
      </c>
      <c r="AH75">
        <v>33624</v>
      </c>
      <c r="AI75">
        <v>420</v>
      </c>
      <c r="AJ75">
        <v>2521</v>
      </c>
      <c r="AK75">
        <v>6</v>
      </c>
      <c r="AL75">
        <v>0</v>
      </c>
      <c r="AM75">
        <v>0</v>
      </c>
      <c r="AN75">
        <v>0</v>
      </c>
      <c r="AO75">
        <v>0</v>
      </c>
      <c r="AP75">
        <v>0</v>
      </c>
      <c r="AQ75">
        <v>0</v>
      </c>
      <c r="AR75">
        <v>584</v>
      </c>
      <c r="AS75">
        <v>150</v>
      </c>
      <c r="AT75">
        <v>12</v>
      </c>
      <c r="AU75">
        <v>7008</v>
      </c>
      <c r="AV75">
        <v>42048</v>
      </c>
      <c r="AW75">
        <v>525</v>
      </c>
      <c r="AX75">
        <v>3153</v>
      </c>
      <c r="AY75">
        <v>36</v>
      </c>
      <c r="AZ75">
        <v>2600000</v>
      </c>
      <c r="BA75">
        <v>0</v>
      </c>
      <c r="BB75">
        <v>4</v>
      </c>
      <c r="BC75">
        <v>0</v>
      </c>
      <c r="BD75">
        <v>16.658009893455098</v>
      </c>
      <c r="BE75">
        <v>72222</v>
      </c>
      <c r="BF75">
        <v>700</v>
      </c>
      <c r="BG75">
        <v>180</v>
      </c>
      <c r="BH75">
        <v>13</v>
      </c>
      <c r="BI75">
        <v>9100</v>
      </c>
      <c r="BJ75">
        <v>54600</v>
      </c>
      <c r="BK75">
        <v>682</v>
      </c>
      <c r="BL75">
        <v>4095</v>
      </c>
      <c r="BM75">
        <v>72</v>
      </c>
      <c r="BN75">
        <v>3900000</v>
      </c>
      <c r="BO75">
        <v>0</v>
      </c>
      <c r="BP75">
        <v>6</v>
      </c>
      <c r="BQ75">
        <v>0</v>
      </c>
      <c r="BR75">
        <v>20.16747252747253</v>
      </c>
      <c r="BS75">
        <v>54166</v>
      </c>
      <c r="BT75">
        <v>934</v>
      </c>
      <c r="BU75">
        <v>240</v>
      </c>
      <c r="BV75">
        <v>13</v>
      </c>
      <c r="BW75">
        <v>12142</v>
      </c>
      <c r="BX75">
        <v>72852</v>
      </c>
      <c r="BY75">
        <v>910</v>
      </c>
      <c r="BZ75">
        <v>5463</v>
      </c>
      <c r="CA75">
        <v>144</v>
      </c>
      <c r="CB75">
        <v>5200000</v>
      </c>
      <c r="CC75">
        <v>0</v>
      </c>
      <c r="CD75">
        <v>0</v>
      </c>
      <c r="CE75">
        <v>4</v>
      </c>
      <c r="CF75">
        <v>22.341184867951466</v>
      </c>
      <c r="CG75">
        <v>36111</v>
      </c>
      <c r="CH75">
        <v>1400</v>
      </c>
      <c r="CI75">
        <v>360</v>
      </c>
      <c r="CJ75">
        <v>14</v>
      </c>
      <c r="CK75">
        <v>19600</v>
      </c>
      <c r="CL75">
        <v>117600</v>
      </c>
      <c r="CM75">
        <v>1470</v>
      </c>
      <c r="CN75">
        <v>8820</v>
      </c>
      <c r="CO75">
        <v>288</v>
      </c>
      <c r="CP75">
        <v>6500000</v>
      </c>
      <c r="CQ75">
        <v>0</v>
      </c>
      <c r="CR75">
        <v>0</v>
      </c>
      <c r="CS75">
        <v>6</v>
      </c>
      <c r="CT75">
        <v>21.251904761904761</v>
      </c>
      <c r="CU75">
        <v>22569</v>
      </c>
      <c r="CV75">
        <v>546</v>
      </c>
      <c r="CW75">
        <v>18200000</v>
      </c>
      <c r="CX75">
        <v>0</v>
      </c>
      <c r="CY75">
        <v>10</v>
      </c>
      <c r="CZ75">
        <v>10</v>
      </c>
      <c r="DA75">
        <v>38.69047619047619</v>
      </c>
      <c r="DB75">
        <v>33333.333333333336</v>
      </c>
      <c r="DD75" t="s">
        <v>755</v>
      </c>
      <c r="DE75">
        <v>92</v>
      </c>
    </row>
    <row r="76" spans="1:109">
      <c r="A76">
        <v>93</v>
      </c>
      <c r="B76" t="s">
        <v>774</v>
      </c>
      <c r="C76" t="s">
        <v>48</v>
      </c>
      <c r="D76" t="s">
        <v>43</v>
      </c>
      <c r="E76" t="s">
        <v>43</v>
      </c>
      <c r="H76">
        <v>6</v>
      </c>
      <c r="I76" t="s">
        <v>282</v>
      </c>
      <c r="J76">
        <v>8</v>
      </c>
      <c r="K76">
        <v>2.5000000000000001E-2</v>
      </c>
      <c r="L76">
        <v>10</v>
      </c>
      <c r="M76">
        <v>100</v>
      </c>
      <c r="N76">
        <v>42319</v>
      </c>
      <c r="O76" t="s">
        <v>206</v>
      </c>
      <c r="P76">
        <v>0</v>
      </c>
      <c r="Q76">
        <v>0</v>
      </c>
      <c r="R76">
        <v>0</v>
      </c>
      <c r="S76">
        <v>0</v>
      </c>
      <c r="T76">
        <v>0</v>
      </c>
      <c r="U76">
        <v>0</v>
      </c>
      <c r="V76">
        <v>0</v>
      </c>
      <c r="W76">
        <v>0</v>
      </c>
      <c r="X76">
        <v>0</v>
      </c>
      <c r="Y76">
        <v>0</v>
      </c>
      <c r="Z76">
        <v>0</v>
      </c>
      <c r="AA76">
        <v>0</v>
      </c>
      <c r="AB76">
        <v>0</v>
      </c>
      <c r="AC76">
        <v>0</v>
      </c>
      <c r="AD76">
        <v>1000</v>
      </c>
      <c r="AE76">
        <v>100</v>
      </c>
      <c r="AF76">
        <v>6</v>
      </c>
      <c r="AG76">
        <v>6000</v>
      </c>
      <c r="AH76">
        <v>48000</v>
      </c>
      <c r="AI76">
        <v>150</v>
      </c>
      <c r="AJ76">
        <v>1200</v>
      </c>
      <c r="AK76">
        <v>6</v>
      </c>
      <c r="AL76">
        <v>0</v>
      </c>
      <c r="AM76">
        <v>0</v>
      </c>
      <c r="AN76">
        <v>0</v>
      </c>
      <c r="AO76">
        <v>0</v>
      </c>
      <c r="AP76">
        <v>0</v>
      </c>
      <c r="AQ76">
        <v>0</v>
      </c>
      <c r="AR76">
        <v>1250</v>
      </c>
      <c r="AS76">
        <v>125</v>
      </c>
      <c r="AT76">
        <v>6</v>
      </c>
      <c r="AU76">
        <v>7500</v>
      </c>
      <c r="AV76">
        <v>60000</v>
      </c>
      <c r="AW76">
        <v>187</v>
      </c>
      <c r="AX76">
        <v>1500</v>
      </c>
      <c r="AY76">
        <v>36</v>
      </c>
      <c r="AZ76">
        <v>2600000</v>
      </c>
      <c r="BA76">
        <v>0</v>
      </c>
      <c r="BB76">
        <v>4</v>
      </c>
      <c r="BC76">
        <v>0</v>
      </c>
      <c r="BD76">
        <v>15.644444444444444</v>
      </c>
      <c r="BE76">
        <v>72222</v>
      </c>
      <c r="BF76">
        <v>1500</v>
      </c>
      <c r="BG76">
        <v>150</v>
      </c>
      <c r="BH76">
        <v>6</v>
      </c>
      <c r="BI76">
        <v>9000</v>
      </c>
      <c r="BJ76">
        <v>72000</v>
      </c>
      <c r="BK76">
        <v>225</v>
      </c>
      <c r="BL76">
        <v>1800</v>
      </c>
      <c r="BM76">
        <v>72</v>
      </c>
      <c r="BN76">
        <v>3900000</v>
      </c>
      <c r="BO76">
        <v>0</v>
      </c>
      <c r="BP76">
        <v>6</v>
      </c>
      <c r="BQ76">
        <v>0</v>
      </c>
      <c r="BR76">
        <v>20.555555555555554</v>
      </c>
      <c r="BS76">
        <v>54166</v>
      </c>
      <c r="BT76">
        <v>2000</v>
      </c>
      <c r="BU76">
        <v>200</v>
      </c>
      <c r="BV76">
        <v>6</v>
      </c>
      <c r="BW76">
        <v>12000</v>
      </c>
      <c r="BX76">
        <v>96000</v>
      </c>
      <c r="BY76">
        <v>300</v>
      </c>
      <c r="BZ76">
        <v>2400</v>
      </c>
      <c r="CA76">
        <v>144</v>
      </c>
      <c r="CB76">
        <v>5200000</v>
      </c>
      <c r="CC76">
        <v>0</v>
      </c>
      <c r="CD76">
        <v>0</v>
      </c>
      <c r="CE76">
        <v>4</v>
      </c>
      <c r="CF76">
        <v>22.555555555555557</v>
      </c>
      <c r="CG76">
        <v>36111</v>
      </c>
      <c r="CH76">
        <v>3000</v>
      </c>
      <c r="CI76">
        <v>300</v>
      </c>
      <c r="CJ76">
        <v>6</v>
      </c>
      <c r="CK76">
        <v>18000</v>
      </c>
      <c r="CL76">
        <v>144000</v>
      </c>
      <c r="CM76">
        <v>450</v>
      </c>
      <c r="CN76">
        <v>3600</v>
      </c>
      <c r="CO76">
        <v>288</v>
      </c>
      <c r="CP76">
        <v>6500000</v>
      </c>
      <c r="CQ76">
        <v>0</v>
      </c>
      <c r="CR76">
        <v>0</v>
      </c>
      <c r="CS76">
        <v>6</v>
      </c>
      <c r="CT76">
        <v>23.046296296296294</v>
      </c>
      <c r="CU76">
        <v>22569</v>
      </c>
      <c r="CV76">
        <v>546</v>
      </c>
      <c r="CW76">
        <v>18200000</v>
      </c>
      <c r="CX76">
        <v>0</v>
      </c>
      <c r="CY76">
        <v>10</v>
      </c>
      <c r="CZ76">
        <v>10</v>
      </c>
      <c r="DA76">
        <v>42.129629629629626</v>
      </c>
      <c r="DB76">
        <v>33333.333333333336</v>
      </c>
      <c r="DD76" t="s">
        <v>774</v>
      </c>
      <c r="DE76">
        <v>93</v>
      </c>
    </row>
    <row r="77" spans="1:109">
      <c r="A77">
        <v>94</v>
      </c>
      <c r="B77" t="s">
        <v>756</v>
      </c>
      <c r="C77" t="s">
        <v>54</v>
      </c>
      <c r="E77" t="s">
        <v>43</v>
      </c>
      <c r="H77">
        <v>5</v>
      </c>
      <c r="I77" t="s">
        <v>282</v>
      </c>
      <c r="J77">
        <v>6</v>
      </c>
      <c r="K77">
        <v>7.4999999999999997E-2</v>
      </c>
      <c r="L77">
        <v>3.7037037037037037</v>
      </c>
      <c r="M77">
        <v>100</v>
      </c>
      <c r="N77">
        <v>42330</v>
      </c>
      <c r="O77" t="s">
        <v>206</v>
      </c>
      <c r="P77">
        <v>0</v>
      </c>
      <c r="Q77">
        <v>0</v>
      </c>
      <c r="R77">
        <v>0</v>
      </c>
      <c r="S77">
        <v>0</v>
      </c>
      <c r="T77">
        <v>0</v>
      </c>
      <c r="U77">
        <v>0</v>
      </c>
      <c r="V77">
        <v>0</v>
      </c>
      <c r="W77">
        <v>0</v>
      </c>
      <c r="X77">
        <v>0</v>
      </c>
      <c r="Y77">
        <v>0</v>
      </c>
      <c r="Z77">
        <v>0</v>
      </c>
      <c r="AA77">
        <v>0</v>
      </c>
      <c r="AB77">
        <v>0</v>
      </c>
      <c r="AC77">
        <v>0</v>
      </c>
      <c r="AD77">
        <v>334</v>
      </c>
      <c r="AE77">
        <v>90</v>
      </c>
      <c r="AF77">
        <v>6</v>
      </c>
      <c r="AG77">
        <v>2004</v>
      </c>
      <c r="AH77">
        <v>12024</v>
      </c>
      <c r="AI77">
        <v>150</v>
      </c>
      <c r="AJ77">
        <v>901</v>
      </c>
      <c r="AK77">
        <v>4</v>
      </c>
      <c r="AL77">
        <v>0</v>
      </c>
      <c r="AM77">
        <v>0</v>
      </c>
      <c r="AN77">
        <v>0</v>
      </c>
      <c r="AO77">
        <v>0</v>
      </c>
      <c r="AP77">
        <v>0</v>
      </c>
      <c r="AQ77">
        <v>0</v>
      </c>
      <c r="AR77">
        <v>417</v>
      </c>
      <c r="AS77">
        <v>113</v>
      </c>
      <c r="AT77">
        <v>6</v>
      </c>
      <c r="AU77">
        <v>2502</v>
      </c>
      <c r="AV77">
        <v>15012</v>
      </c>
      <c r="AW77">
        <v>187</v>
      </c>
      <c r="AX77">
        <v>1125</v>
      </c>
      <c r="AY77">
        <v>24</v>
      </c>
      <c r="AZ77">
        <v>1600000</v>
      </c>
      <c r="BA77">
        <v>0</v>
      </c>
      <c r="BB77">
        <v>3</v>
      </c>
      <c r="BC77">
        <v>0</v>
      </c>
      <c r="BD77">
        <v>27.446309618971487</v>
      </c>
      <c r="BE77">
        <v>66666</v>
      </c>
      <c r="BF77">
        <v>500</v>
      </c>
      <c r="BG77">
        <v>135</v>
      </c>
      <c r="BH77">
        <v>6</v>
      </c>
      <c r="BI77">
        <v>3000</v>
      </c>
      <c r="BJ77">
        <v>18000</v>
      </c>
      <c r="BK77">
        <v>225</v>
      </c>
      <c r="BL77">
        <v>1350</v>
      </c>
      <c r="BM77">
        <v>48</v>
      </c>
      <c r="BN77">
        <v>2400000</v>
      </c>
      <c r="BO77">
        <v>0</v>
      </c>
      <c r="BP77">
        <v>5</v>
      </c>
      <c r="BQ77">
        <v>0</v>
      </c>
      <c r="BR77">
        <v>35.001333333333335</v>
      </c>
      <c r="BS77">
        <v>50000</v>
      </c>
      <c r="BT77">
        <v>667</v>
      </c>
      <c r="BU77">
        <v>180</v>
      </c>
      <c r="BV77">
        <v>6</v>
      </c>
      <c r="BW77">
        <v>4002</v>
      </c>
      <c r="BX77">
        <v>24012</v>
      </c>
      <c r="BY77">
        <v>300</v>
      </c>
      <c r="BZ77">
        <v>1800</v>
      </c>
      <c r="CA77">
        <v>96</v>
      </c>
      <c r="CB77">
        <v>3200000</v>
      </c>
      <c r="CC77">
        <v>0</v>
      </c>
      <c r="CD77">
        <v>0</v>
      </c>
      <c r="CE77">
        <v>3</v>
      </c>
      <c r="CF77">
        <v>36.3151757454606</v>
      </c>
      <c r="CG77">
        <v>33333</v>
      </c>
      <c r="CH77">
        <v>1000</v>
      </c>
      <c r="CI77">
        <v>270</v>
      </c>
      <c r="CJ77">
        <v>6</v>
      </c>
      <c r="CK77">
        <v>6000</v>
      </c>
      <c r="CL77">
        <v>36000</v>
      </c>
      <c r="CM77">
        <v>450</v>
      </c>
      <c r="CN77">
        <v>2700</v>
      </c>
      <c r="CO77">
        <v>192</v>
      </c>
      <c r="CP77">
        <v>4000000</v>
      </c>
      <c r="CQ77">
        <v>0</v>
      </c>
      <c r="CR77">
        <v>0</v>
      </c>
      <c r="CS77">
        <v>5</v>
      </c>
      <c r="CT77">
        <v>33.113777777777777</v>
      </c>
      <c r="CU77">
        <v>20833</v>
      </c>
      <c r="CV77">
        <v>364</v>
      </c>
      <c r="CW77">
        <v>11200000</v>
      </c>
      <c r="CX77">
        <v>0</v>
      </c>
      <c r="CY77">
        <v>8</v>
      </c>
      <c r="CZ77">
        <v>8</v>
      </c>
      <c r="DA77">
        <v>77.777777777777786</v>
      </c>
      <c r="DB77">
        <v>30769.23076923077</v>
      </c>
      <c r="DD77" t="s">
        <v>756</v>
      </c>
      <c r="DE77">
        <v>94</v>
      </c>
    </row>
    <row r="78" spans="1:109">
      <c r="A78">
        <v>95</v>
      </c>
      <c r="B78" t="s">
        <v>775</v>
      </c>
      <c r="C78" t="s">
        <v>48</v>
      </c>
      <c r="E78" t="s">
        <v>43</v>
      </c>
      <c r="H78">
        <v>5</v>
      </c>
      <c r="I78" t="s">
        <v>282</v>
      </c>
      <c r="J78">
        <v>10</v>
      </c>
      <c r="K78">
        <v>2.5000000000000001E-2</v>
      </c>
      <c r="L78">
        <v>4.4444444444444446</v>
      </c>
      <c r="M78">
        <v>100</v>
      </c>
      <c r="N78">
        <v>42339</v>
      </c>
      <c r="O78" t="s">
        <v>206</v>
      </c>
      <c r="P78">
        <v>0</v>
      </c>
      <c r="Q78">
        <v>0</v>
      </c>
      <c r="R78">
        <v>0</v>
      </c>
      <c r="S78">
        <v>0</v>
      </c>
      <c r="T78">
        <v>0</v>
      </c>
      <c r="U78">
        <v>0</v>
      </c>
      <c r="V78">
        <v>0</v>
      </c>
      <c r="W78">
        <v>0</v>
      </c>
      <c r="X78">
        <v>0</v>
      </c>
      <c r="Y78">
        <v>0</v>
      </c>
      <c r="Z78">
        <v>0</v>
      </c>
      <c r="AA78">
        <v>0</v>
      </c>
      <c r="AB78">
        <v>0</v>
      </c>
      <c r="AC78">
        <v>0</v>
      </c>
      <c r="AD78">
        <v>400</v>
      </c>
      <c r="AE78">
        <v>90</v>
      </c>
      <c r="AF78">
        <v>4</v>
      </c>
      <c r="AG78">
        <v>1600</v>
      </c>
      <c r="AH78">
        <v>16000</v>
      </c>
      <c r="AI78">
        <v>40</v>
      </c>
      <c r="AJ78">
        <v>400</v>
      </c>
      <c r="AK78">
        <v>4</v>
      </c>
      <c r="AL78">
        <v>0</v>
      </c>
      <c r="AM78">
        <v>0</v>
      </c>
      <c r="AN78">
        <v>0</v>
      </c>
      <c r="AO78">
        <v>0</v>
      </c>
      <c r="AP78">
        <v>0</v>
      </c>
      <c r="AQ78">
        <v>0</v>
      </c>
      <c r="AR78">
        <v>500</v>
      </c>
      <c r="AS78">
        <v>113</v>
      </c>
      <c r="AT78">
        <v>4</v>
      </c>
      <c r="AU78">
        <v>2000</v>
      </c>
      <c r="AV78">
        <v>20000</v>
      </c>
      <c r="AW78">
        <v>50</v>
      </c>
      <c r="AX78">
        <v>500</v>
      </c>
      <c r="AY78">
        <v>24</v>
      </c>
      <c r="AZ78">
        <v>1600000</v>
      </c>
      <c r="BA78">
        <v>0</v>
      </c>
      <c r="BB78">
        <v>3</v>
      </c>
      <c r="BC78">
        <v>0</v>
      </c>
      <c r="BD78">
        <v>34.133333333333333</v>
      </c>
      <c r="BE78">
        <v>66666</v>
      </c>
      <c r="BF78">
        <v>600</v>
      </c>
      <c r="BG78">
        <v>135</v>
      </c>
      <c r="BH78">
        <v>4</v>
      </c>
      <c r="BI78">
        <v>2400</v>
      </c>
      <c r="BJ78">
        <v>24000</v>
      </c>
      <c r="BK78">
        <v>60</v>
      </c>
      <c r="BL78">
        <v>600</v>
      </c>
      <c r="BM78">
        <v>48</v>
      </c>
      <c r="BN78">
        <v>2400000</v>
      </c>
      <c r="BO78">
        <v>0</v>
      </c>
      <c r="BP78">
        <v>5</v>
      </c>
      <c r="BQ78">
        <v>0</v>
      </c>
      <c r="BR78">
        <v>43.333333333333336</v>
      </c>
      <c r="BS78">
        <v>50000</v>
      </c>
      <c r="BT78">
        <v>800</v>
      </c>
      <c r="BU78">
        <v>180</v>
      </c>
      <c r="BV78">
        <v>4</v>
      </c>
      <c r="BW78">
        <v>3200</v>
      </c>
      <c r="BX78">
        <v>32000</v>
      </c>
      <c r="BY78">
        <v>80</v>
      </c>
      <c r="BZ78">
        <v>800</v>
      </c>
      <c r="CA78">
        <v>96</v>
      </c>
      <c r="CB78">
        <v>3200000</v>
      </c>
      <c r="CC78">
        <v>0</v>
      </c>
      <c r="CD78">
        <v>0</v>
      </c>
      <c r="CE78">
        <v>3</v>
      </c>
      <c r="CF78">
        <v>44.666666666666664</v>
      </c>
      <c r="CG78">
        <v>33333</v>
      </c>
      <c r="CH78">
        <v>1200</v>
      </c>
      <c r="CI78">
        <v>270</v>
      </c>
      <c r="CJ78">
        <v>4</v>
      </c>
      <c r="CK78">
        <v>4800</v>
      </c>
      <c r="CL78">
        <v>48000</v>
      </c>
      <c r="CM78">
        <v>120</v>
      </c>
      <c r="CN78">
        <v>1200</v>
      </c>
      <c r="CO78">
        <v>192</v>
      </c>
      <c r="CP78">
        <v>4000000</v>
      </c>
      <c r="CQ78">
        <v>0</v>
      </c>
      <c r="CR78">
        <v>0</v>
      </c>
      <c r="CS78">
        <v>5</v>
      </c>
      <c r="CT78">
        <v>40.055555555555557</v>
      </c>
      <c r="CU78">
        <v>20833</v>
      </c>
      <c r="CV78">
        <v>364</v>
      </c>
      <c r="CW78">
        <v>11200000</v>
      </c>
      <c r="CX78">
        <v>0</v>
      </c>
      <c r="CY78">
        <v>8</v>
      </c>
      <c r="CZ78">
        <v>8</v>
      </c>
      <c r="DA78">
        <v>97.222222222222229</v>
      </c>
      <c r="DB78">
        <v>30769.23076923077</v>
      </c>
      <c r="DD78" t="s">
        <v>775</v>
      </c>
      <c r="DE78">
        <v>95</v>
      </c>
    </row>
    <row r="79" spans="1:109">
      <c r="A79">
        <v>96</v>
      </c>
      <c r="B79" t="s">
        <v>794</v>
      </c>
      <c r="C79" t="s">
        <v>52</v>
      </c>
      <c r="E79" t="s">
        <v>43</v>
      </c>
      <c r="H79">
        <v>4</v>
      </c>
      <c r="I79" t="s">
        <v>282</v>
      </c>
      <c r="J79">
        <v>5</v>
      </c>
      <c r="K79">
        <v>0.15</v>
      </c>
      <c r="L79">
        <v>1.3870967741935485</v>
      </c>
      <c r="M79">
        <v>100</v>
      </c>
      <c r="N79">
        <v>42339</v>
      </c>
      <c r="O79" t="s">
        <v>206</v>
      </c>
      <c r="P79">
        <v>0</v>
      </c>
      <c r="Q79">
        <v>0</v>
      </c>
      <c r="R79">
        <v>0</v>
      </c>
      <c r="S79">
        <v>0</v>
      </c>
      <c r="T79">
        <v>0</v>
      </c>
      <c r="U79">
        <v>0</v>
      </c>
      <c r="V79">
        <v>0</v>
      </c>
      <c r="W79">
        <v>0</v>
      </c>
      <c r="X79">
        <v>0</v>
      </c>
      <c r="Y79">
        <v>0</v>
      </c>
      <c r="Z79">
        <v>0</v>
      </c>
      <c r="AA79">
        <v>0</v>
      </c>
      <c r="AB79">
        <v>0</v>
      </c>
      <c r="AC79">
        <v>0</v>
      </c>
      <c r="AD79">
        <v>144</v>
      </c>
      <c r="AE79">
        <v>104</v>
      </c>
      <c r="AF79">
        <v>11</v>
      </c>
      <c r="AG79">
        <v>1584</v>
      </c>
      <c r="AH79">
        <v>7920</v>
      </c>
      <c r="AI79">
        <v>237</v>
      </c>
      <c r="AJ79">
        <v>1188</v>
      </c>
      <c r="AK79">
        <v>3</v>
      </c>
      <c r="AL79">
        <v>0</v>
      </c>
      <c r="AM79">
        <v>0</v>
      </c>
      <c r="AN79">
        <v>0</v>
      </c>
      <c r="AO79">
        <v>0</v>
      </c>
      <c r="AP79">
        <v>0</v>
      </c>
      <c r="AQ79">
        <v>0</v>
      </c>
      <c r="AR79">
        <v>180</v>
      </c>
      <c r="AS79">
        <v>130</v>
      </c>
      <c r="AT79">
        <v>11</v>
      </c>
      <c r="AU79">
        <v>1980</v>
      </c>
      <c r="AV79">
        <v>9900</v>
      </c>
      <c r="AW79">
        <v>297</v>
      </c>
      <c r="AX79">
        <v>1485</v>
      </c>
      <c r="AY79">
        <v>18</v>
      </c>
      <c r="AZ79">
        <v>1000000</v>
      </c>
      <c r="BA79">
        <v>0</v>
      </c>
      <c r="BB79">
        <v>2</v>
      </c>
      <c r="BC79">
        <v>0</v>
      </c>
      <c r="BD79">
        <v>21.643771043771043</v>
      </c>
      <c r="BE79">
        <v>55555</v>
      </c>
      <c r="BF79">
        <v>215</v>
      </c>
      <c r="BG79">
        <v>155</v>
      </c>
      <c r="BH79">
        <v>11</v>
      </c>
      <c r="BI79">
        <v>2365</v>
      </c>
      <c r="BJ79">
        <v>11825</v>
      </c>
      <c r="BK79">
        <v>354</v>
      </c>
      <c r="BL79">
        <v>1773</v>
      </c>
      <c r="BM79">
        <v>36</v>
      </c>
      <c r="BN79">
        <v>1500000</v>
      </c>
      <c r="BO79">
        <v>0</v>
      </c>
      <c r="BP79">
        <v>4</v>
      </c>
      <c r="BQ79">
        <v>0</v>
      </c>
      <c r="BR79">
        <v>27.68287526427061</v>
      </c>
      <c r="BS79">
        <v>41666</v>
      </c>
      <c r="BT79">
        <v>287</v>
      </c>
      <c r="BU79">
        <v>207</v>
      </c>
      <c r="BV79">
        <v>11</v>
      </c>
      <c r="BW79">
        <v>3157</v>
      </c>
      <c r="BX79">
        <v>15785</v>
      </c>
      <c r="BY79">
        <v>473</v>
      </c>
      <c r="BZ79">
        <v>2367</v>
      </c>
      <c r="CA79">
        <v>84</v>
      </c>
      <c r="CB79">
        <v>2000000</v>
      </c>
      <c r="CC79">
        <v>0</v>
      </c>
      <c r="CD79">
        <v>0</v>
      </c>
      <c r="CE79">
        <v>2</v>
      </c>
      <c r="CF79">
        <v>29.018319079294688</v>
      </c>
      <c r="CG79">
        <v>23809</v>
      </c>
      <c r="CH79">
        <v>430</v>
      </c>
      <c r="CI79">
        <v>310</v>
      </c>
      <c r="CJ79">
        <v>11</v>
      </c>
      <c r="CK79">
        <v>4730</v>
      </c>
      <c r="CL79">
        <v>23650</v>
      </c>
      <c r="CM79">
        <v>709</v>
      </c>
      <c r="CN79">
        <v>3547</v>
      </c>
      <c r="CO79">
        <v>156</v>
      </c>
      <c r="CP79">
        <v>2500000</v>
      </c>
      <c r="CQ79">
        <v>0</v>
      </c>
      <c r="CR79">
        <v>0</v>
      </c>
      <c r="CS79">
        <v>4</v>
      </c>
      <c r="CT79">
        <v>26.36092318534179</v>
      </c>
      <c r="CU79">
        <v>16025</v>
      </c>
      <c r="CV79">
        <v>297</v>
      </c>
      <c r="CW79">
        <v>7000000</v>
      </c>
      <c r="CX79">
        <v>0</v>
      </c>
      <c r="CY79">
        <v>6</v>
      </c>
      <c r="CZ79">
        <v>6</v>
      </c>
      <c r="DA79">
        <v>61.663143058491897</v>
      </c>
      <c r="DB79">
        <v>23569.023569023568</v>
      </c>
      <c r="DD79" t="s">
        <v>794</v>
      </c>
      <c r="DE79">
        <v>96</v>
      </c>
    </row>
    <row r="80" spans="1:109">
      <c r="A80">
        <v>97</v>
      </c>
      <c r="B80" t="s">
        <v>795</v>
      </c>
      <c r="C80" t="s">
        <v>52</v>
      </c>
      <c r="E80" t="s">
        <v>43</v>
      </c>
      <c r="H80">
        <v>4</v>
      </c>
      <c r="I80" t="s">
        <v>282</v>
      </c>
      <c r="J80">
        <v>5</v>
      </c>
      <c r="K80">
        <v>0.15</v>
      </c>
      <c r="L80">
        <v>1.40625</v>
      </c>
      <c r="M80">
        <v>100</v>
      </c>
      <c r="N80">
        <v>42351</v>
      </c>
      <c r="O80" t="s">
        <v>206</v>
      </c>
      <c r="P80">
        <v>0</v>
      </c>
      <c r="Q80">
        <v>0</v>
      </c>
      <c r="R80">
        <v>0</v>
      </c>
      <c r="S80">
        <v>0</v>
      </c>
      <c r="T80">
        <v>0</v>
      </c>
      <c r="U80">
        <v>0</v>
      </c>
      <c r="V80">
        <v>0</v>
      </c>
      <c r="W80">
        <v>0</v>
      </c>
      <c r="X80">
        <v>0</v>
      </c>
      <c r="Y80">
        <v>0</v>
      </c>
      <c r="Z80">
        <v>0</v>
      </c>
      <c r="AA80">
        <v>0</v>
      </c>
      <c r="AB80">
        <v>0</v>
      </c>
      <c r="AC80">
        <v>0</v>
      </c>
      <c r="AD80">
        <v>150</v>
      </c>
      <c r="AE80">
        <v>107</v>
      </c>
      <c r="AF80">
        <v>12</v>
      </c>
      <c r="AG80">
        <v>1800</v>
      </c>
      <c r="AH80">
        <v>9000</v>
      </c>
      <c r="AI80">
        <v>270</v>
      </c>
      <c r="AJ80">
        <v>1350</v>
      </c>
      <c r="AK80">
        <v>2</v>
      </c>
      <c r="AL80">
        <v>0</v>
      </c>
      <c r="AM80">
        <v>0</v>
      </c>
      <c r="AN80">
        <v>0</v>
      </c>
      <c r="AO80">
        <v>0</v>
      </c>
      <c r="AP80">
        <v>0</v>
      </c>
      <c r="AQ80">
        <v>0</v>
      </c>
      <c r="AR80">
        <v>188</v>
      </c>
      <c r="AS80">
        <v>134</v>
      </c>
      <c r="AT80">
        <v>12</v>
      </c>
      <c r="AU80">
        <v>2256</v>
      </c>
      <c r="AV80">
        <v>11280</v>
      </c>
      <c r="AW80">
        <v>338</v>
      </c>
      <c r="AX80">
        <v>1692</v>
      </c>
      <c r="AY80">
        <v>12</v>
      </c>
      <c r="AZ80">
        <v>1040000</v>
      </c>
      <c r="BA80">
        <v>0</v>
      </c>
      <c r="BB80">
        <v>2</v>
      </c>
      <c r="BC80">
        <v>0</v>
      </c>
      <c r="BD80">
        <v>19.606973995271868</v>
      </c>
      <c r="BE80">
        <v>86666</v>
      </c>
      <c r="BF80">
        <v>225</v>
      </c>
      <c r="BG80">
        <v>160</v>
      </c>
      <c r="BH80">
        <v>12</v>
      </c>
      <c r="BI80">
        <v>2700</v>
      </c>
      <c r="BJ80">
        <v>13500</v>
      </c>
      <c r="BK80">
        <v>405</v>
      </c>
      <c r="BL80">
        <v>2025</v>
      </c>
      <c r="BM80">
        <v>24</v>
      </c>
      <c r="BN80">
        <v>1560000</v>
      </c>
      <c r="BO80">
        <v>0</v>
      </c>
      <c r="BP80">
        <v>3</v>
      </c>
      <c r="BQ80">
        <v>0</v>
      </c>
      <c r="BR80">
        <v>24.909629629629631</v>
      </c>
      <c r="BS80">
        <v>65000</v>
      </c>
      <c r="BT80">
        <v>300</v>
      </c>
      <c r="BU80">
        <v>214</v>
      </c>
      <c r="BV80">
        <v>12</v>
      </c>
      <c r="BW80">
        <v>3600</v>
      </c>
      <c r="BX80">
        <v>18000</v>
      </c>
      <c r="BY80">
        <v>540</v>
      </c>
      <c r="BZ80">
        <v>2700</v>
      </c>
      <c r="CA80">
        <v>72</v>
      </c>
      <c r="CB80">
        <v>2080000</v>
      </c>
      <c r="CC80">
        <v>0</v>
      </c>
      <c r="CD80">
        <v>0</v>
      </c>
      <c r="CE80">
        <v>2</v>
      </c>
      <c r="CF80">
        <v>26.324074074074076</v>
      </c>
      <c r="CG80">
        <v>28888</v>
      </c>
      <c r="CH80">
        <v>450</v>
      </c>
      <c r="CI80">
        <v>320</v>
      </c>
      <c r="CJ80">
        <v>12</v>
      </c>
      <c r="CK80">
        <v>5400</v>
      </c>
      <c r="CL80">
        <v>27000</v>
      </c>
      <c r="CM80">
        <v>810</v>
      </c>
      <c r="CN80">
        <v>4050</v>
      </c>
      <c r="CO80">
        <v>120</v>
      </c>
      <c r="CP80">
        <v>2600000</v>
      </c>
      <c r="CQ80">
        <v>0</v>
      </c>
      <c r="CR80">
        <v>0</v>
      </c>
      <c r="CS80">
        <v>3</v>
      </c>
      <c r="CT80">
        <v>23.395061728395063</v>
      </c>
      <c r="CU80">
        <v>21666</v>
      </c>
      <c r="CV80">
        <v>230</v>
      </c>
      <c r="CW80">
        <v>7280000</v>
      </c>
      <c r="CX80">
        <v>0</v>
      </c>
      <c r="CY80">
        <v>5</v>
      </c>
      <c r="CZ80">
        <v>5</v>
      </c>
      <c r="DA80">
        <v>56.172839506172835</v>
      </c>
      <c r="DB80">
        <v>31652.17391304348</v>
      </c>
      <c r="DD80" t="s">
        <v>795</v>
      </c>
      <c r="DE80">
        <v>97</v>
      </c>
    </row>
    <row r="81" spans="1:109">
      <c r="A81">
        <v>98</v>
      </c>
      <c r="B81" t="s">
        <v>846</v>
      </c>
      <c r="C81" t="s">
        <v>42</v>
      </c>
      <c r="G81" t="s">
        <v>43</v>
      </c>
      <c r="H81">
        <v>4</v>
      </c>
      <c r="I81" t="s">
        <v>282</v>
      </c>
      <c r="J81">
        <v>9</v>
      </c>
      <c r="K81">
        <v>0.1</v>
      </c>
      <c r="L81">
        <v>1.6666666666666667</v>
      </c>
      <c r="M81">
        <v>100</v>
      </c>
      <c r="N81">
        <v>42370</v>
      </c>
      <c r="O81" t="s">
        <v>206</v>
      </c>
      <c r="P81">
        <v>0</v>
      </c>
      <c r="Q81">
        <v>0</v>
      </c>
      <c r="R81">
        <v>0</v>
      </c>
      <c r="S81">
        <v>0</v>
      </c>
      <c r="T81">
        <v>0</v>
      </c>
      <c r="U81">
        <v>0</v>
      </c>
      <c r="V81">
        <v>0</v>
      </c>
      <c r="W81">
        <v>0</v>
      </c>
      <c r="X81">
        <v>0</v>
      </c>
      <c r="Y81">
        <v>0</v>
      </c>
      <c r="Z81">
        <v>0</v>
      </c>
      <c r="AA81">
        <v>0</v>
      </c>
      <c r="AB81">
        <v>0</v>
      </c>
      <c r="AC81">
        <v>0</v>
      </c>
      <c r="AD81">
        <v>200</v>
      </c>
      <c r="AE81">
        <v>120</v>
      </c>
      <c r="AF81">
        <v>6</v>
      </c>
      <c r="AG81">
        <v>1200</v>
      </c>
      <c r="AH81">
        <v>10800</v>
      </c>
      <c r="AI81">
        <v>120</v>
      </c>
      <c r="AJ81">
        <v>1080</v>
      </c>
      <c r="AK81">
        <v>2</v>
      </c>
      <c r="AL81">
        <v>0</v>
      </c>
      <c r="AM81">
        <v>0</v>
      </c>
      <c r="AN81">
        <v>0</v>
      </c>
      <c r="AO81">
        <v>0</v>
      </c>
      <c r="AP81">
        <v>0</v>
      </c>
      <c r="AQ81">
        <v>0</v>
      </c>
      <c r="AR81">
        <v>250</v>
      </c>
      <c r="AS81">
        <v>150</v>
      </c>
      <c r="AT81">
        <v>6</v>
      </c>
      <c r="AU81">
        <v>1500</v>
      </c>
      <c r="AV81">
        <v>13500</v>
      </c>
      <c r="AW81">
        <v>150</v>
      </c>
      <c r="AX81">
        <v>1350</v>
      </c>
      <c r="AY81">
        <v>12</v>
      </c>
      <c r="AZ81">
        <v>800000</v>
      </c>
      <c r="BA81">
        <v>0</v>
      </c>
      <c r="BB81">
        <v>2</v>
      </c>
      <c r="BC81">
        <v>0</v>
      </c>
      <c r="BD81">
        <v>22.62222222222222</v>
      </c>
      <c r="BE81">
        <v>66666</v>
      </c>
      <c r="BF81">
        <v>300</v>
      </c>
      <c r="BG81">
        <v>180</v>
      </c>
      <c r="BH81">
        <v>6</v>
      </c>
      <c r="BI81">
        <v>1800</v>
      </c>
      <c r="BJ81">
        <v>16200</v>
      </c>
      <c r="BK81">
        <v>180</v>
      </c>
      <c r="BL81">
        <v>1620</v>
      </c>
      <c r="BM81">
        <v>24</v>
      </c>
      <c r="BN81">
        <v>1200000</v>
      </c>
      <c r="BO81">
        <v>0</v>
      </c>
      <c r="BP81">
        <v>3</v>
      </c>
      <c r="BQ81">
        <v>0</v>
      </c>
      <c r="BR81">
        <v>28.611111111111111</v>
      </c>
      <c r="BS81">
        <v>50000</v>
      </c>
      <c r="BT81">
        <v>400</v>
      </c>
      <c r="BU81">
        <v>240</v>
      </c>
      <c r="BV81">
        <v>6</v>
      </c>
      <c r="BW81">
        <v>2400</v>
      </c>
      <c r="BX81">
        <v>21600</v>
      </c>
      <c r="BY81">
        <v>240</v>
      </c>
      <c r="BZ81">
        <v>2160</v>
      </c>
      <c r="CA81">
        <v>72</v>
      </c>
      <c r="CB81">
        <v>1600000</v>
      </c>
      <c r="CC81">
        <v>0</v>
      </c>
      <c r="CD81">
        <v>0</v>
      </c>
      <c r="CE81">
        <v>2</v>
      </c>
      <c r="CF81">
        <v>30.027777777777775</v>
      </c>
      <c r="CG81">
        <v>22222</v>
      </c>
      <c r="CH81">
        <v>600</v>
      </c>
      <c r="CI81">
        <v>360</v>
      </c>
      <c r="CJ81">
        <v>6</v>
      </c>
      <c r="CK81">
        <v>3600</v>
      </c>
      <c r="CL81">
        <v>32400</v>
      </c>
      <c r="CM81">
        <v>360</v>
      </c>
      <c r="CN81">
        <v>3240</v>
      </c>
      <c r="CO81">
        <v>120</v>
      </c>
      <c r="CP81">
        <v>2000000</v>
      </c>
      <c r="CQ81">
        <v>0</v>
      </c>
      <c r="CR81">
        <v>0</v>
      </c>
      <c r="CS81">
        <v>3</v>
      </c>
      <c r="CT81">
        <v>26.481481481481481</v>
      </c>
      <c r="CU81">
        <v>16666</v>
      </c>
      <c r="CV81">
        <v>230</v>
      </c>
      <c r="CW81">
        <v>5600000</v>
      </c>
      <c r="CX81">
        <v>0</v>
      </c>
      <c r="CY81">
        <v>5</v>
      </c>
      <c r="CZ81">
        <v>5</v>
      </c>
      <c r="DA81">
        <v>64.814814814814824</v>
      </c>
      <c r="DB81">
        <v>24347.82608695652</v>
      </c>
      <c r="DD81" t="s">
        <v>846</v>
      </c>
      <c r="DE81">
        <v>98</v>
      </c>
    </row>
    <row r="82" spans="1:109">
      <c r="A82">
        <v>99</v>
      </c>
      <c r="B82" t="s">
        <v>776</v>
      </c>
      <c r="C82" t="s">
        <v>48</v>
      </c>
      <c r="D82" t="s">
        <v>43</v>
      </c>
      <c r="E82" t="s">
        <v>43</v>
      </c>
      <c r="H82">
        <v>6</v>
      </c>
      <c r="I82" t="s">
        <v>282</v>
      </c>
      <c r="J82">
        <v>8</v>
      </c>
      <c r="K82">
        <v>2.5000000000000001E-2</v>
      </c>
      <c r="L82">
        <v>13.333333333333334</v>
      </c>
      <c r="M82">
        <v>100</v>
      </c>
      <c r="N82">
        <v>42370</v>
      </c>
      <c r="O82" t="s">
        <v>206</v>
      </c>
      <c r="P82">
        <v>0</v>
      </c>
      <c r="Q82">
        <v>0</v>
      </c>
      <c r="R82">
        <v>0</v>
      </c>
      <c r="S82">
        <v>0</v>
      </c>
      <c r="T82">
        <v>0</v>
      </c>
      <c r="U82">
        <v>0</v>
      </c>
      <c r="V82">
        <v>0</v>
      </c>
      <c r="W82">
        <v>0</v>
      </c>
      <c r="X82">
        <v>0</v>
      </c>
      <c r="Y82">
        <v>0</v>
      </c>
      <c r="Z82">
        <v>0</v>
      </c>
      <c r="AA82">
        <v>0</v>
      </c>
      <c r="AB82">
        <v>0</v>
      </c>
      <c r="AC82">
        <v>0</v>
      </c>
      <c r="AD82">
        <v>1334</v>
      </c>
      <c r="AE82">
        <v>100</v>
      </c>
      <c r="AF82">
        <v>5</v>
      </c>
      <c r="AG82">
        <v>6670</v>
      </c>
      <c r="AH82">
        <v>53360</v>
      </c>
      <c r="AI82">
        <v>166</v>
      </c>
      <c r="AJ82">
        <v>1334</v>
      </c>
      <c r="AK82">
        <v>6</v>
      </c>
      <c r="AL82">
        <v>0</v>
      </c>
      <c r="AM82">
        <v>0</v>
      </c>
      <c r="AN82">
        <v>0</v>
      </c>
      <c r="AO82">
        <v>0</v>
      </c>
      <c r="AP82">
        <v>0</v>
      </c>
      <c r="AQ82">
        <v>0</v>
      </c>
      <c r="AR82">
        <v>1667</v>
      </c>
      <c r="AS82">
        <v>125</v>
      </c>
      <c r="AT82">
        <v>5</v>
      </c>
      <c r="AU82">
        <v>8335</v>
      </c>
      <c r="AV82">
        <v>66680</v>
      </c>
      <c r="AW82">
        <v>208</v>
      </c>
      <c r="AX82">
        <v>1667</v>
      </c>
      <c r="AY82">
        <v>36</v>
      </c>
      <c r="AZ82">
        <v>2800000</v>
      </c>
      <c r="BA82">
        <v>0</v>
      </c>
      <c r="BB82">
        <v>5</v>
      </c>
      <c r="BC82">
        <v>0</v>
      </c>
      <c r="BD82">
        <v>15.19756048790242</v>
      </c>
      <c r="BE82">
        <v>77777</v>
      </c>
      <c r="BF82">
        <v>2000</v>
      </c>
      <c r="BG82">
        <v>150</v>
      </c>
      <c r="BH82">
        <v>5</v>
      </c>
      <c r="BI82">
        <v>10000</v>
      </c>
      <c r="BJ82">
        <v>80000</v>
      </c>
      <c r="BK82">
        <v>250</v>
      </c>
      <c r="BL82">
        <v>2000</v>
      </c>
      <c r="BM82">
        <v>72</v>
      </c>
      <c r="BN82">
        <v>4200000</v>
      </c>
      <c r="BO82">
        <v>0</v>
      </c>
      <c r="BP82">
        <v>7</v>
      </c>
      <c r="BQ82">
        <v>0</v>
      </c>
      <c r="BR82">
        <v>20.000499999999999</v>
      </c>
      <c r="BS82">
        <v>58333</v>
      </c>
      <c r="BT82">
        <v>2667</v>
      </c>
      <c r="BU82">
        <v>200</v>
      </c>
      <c r="BV82">
        <v>5</v>
      </c>
      <c r="BW82">
        <v>13335</v>
      </c>
      <c r="BX82">
        <v>106680</v>
      </c>
      <c r="BY82">
        <v>333</v>
      </c>
      <c r="BZ82">
        <v>2667</v>
      </c>
      <c r="CA82">
        <v>144</v>
      </c>
      <c r="CB82">
        <v>5600000</v>
      </c>
      <c r="CC82">
        <v>0</v>
      </c>
      <c r="CD82">
        <v>0</v>
      </c>
      <c r="CE82">
        <v>5</v>
      </c>
      <c r="CF82">
        <v>21.997250343707037</v>
      </c>
      <c r="CG82">
        <v>38888</v>
      </c>
      <c r="CH82">
        <v>4000</v>
      </c>
      <c r="CI82">
        <v>300</v>
      </c>
      <c r="CJ82">
        <v>5</v>
      </c>
      <c r="CK82">
        <v>20000</v>
      </c>
      <c r="CL82">
        <v>160000</v>
      </c>
      <c r="CM82">
        <v>500</v>
      </c>
      <c r="CN82">
        <v>4000</v>
      </c>
      <c r="CO82">
        <v>288</v>
      </c>
      <c r="CP82">
        <v>7000000</v>
      </c>
      <c r="CQ82">
        <v>0</v>
      </c>
      <c r="CR82">
        <v>0</v>
      </c>
      <c r="CS82">
        <v>7</v>
      </c>
      <c r="CT82">
        <v>22.584333333333333</v>
      </c>
      <c r="CU82">
        <v>24305</v>
      </c>
      <c r="CV82">
        <v>546</v>
      </c>
      <c r="CW82">
        <v>19600000</v>
      </c>
      <c r="CX82">
        <v>0</v>
      </c>
      <c r="CY82">
        <v>12</v>
      </c>
      <c r="CZ82">
        <v>12</v>
      </c>
      <c r="DA82">
        <v>40.833333333333336</v>
      </c>
      <c r="DB82">
        <v>35897.435897435898</v>
      </c>
      <c r="DD82" t="s">
        <v>776</v>
      </c>
      <c r="DE82">
        <v>99</v>
      </c>
    </row>
    <row r="83" spans="1:109">
      <c r="A83">
        <v>100</v>
      </c>
      <c r="B83" t="s">
        <v>847</v>
      </c>
      <c r="C83" t="s">
        <v>48</v>
      </c>
      <c r="E83" t="s">
        <v>43</v>
      </c>
      <c r="H83">
        <v>4</v>
      </c>
      <c r="I83" t="s">
        <v>282</v>
      </c>
      <c r="J83">
        <v>9</v>
      </c>
      <c r="K83">
        <v>2.5000000000000001E-2</v>
      </c>
      <c r="L83">
        <v>4</v>
      </c>
      <c r="M83">
        <v>100</v>
      </c>
      <c r="N83">
        <v>42385</v>
      </c>
      <c r="O83" t="s">
        <v>206</v>
      </c>
      <c r="P83">
        <v>0</v>
      </c>
      <c r="Q83">
        <v>0</v>
      </c>
      <c r="R83">
        <v>0</v>
      </c>
      <c r="S83">
        <v>0</v>
      </c>
      <c r="T83">
        <v>0</v>
      </c>
      <c r="U83">
        <v>0</v>
      </c>
      <c r="V83">
        <v>0</v>
      </c>
      <c r="W83">
        <v>0</v>
      </c>
      <c r="X83">
        <v>0</v>
      </c>
      <c r="Y83">
        <v>0</v>
      </c>
      <c r="Z83">
        <v>0</v>
      </c>
      <c r="AA83">
        <v>0</v>
      </c>
      <c r="AB83">
        <v>0</v>
      </c>
      <c r="AC83">
        <v>0</v>
      </c>
      <c r="AD83">
        <v>334</v>
      </c>
      <c r="AE83">
        <v>84</v>
      </c>
      <c r="AF83">
        <v>5</v>
      </c>
      <c r="AG83">
        <v>1670</v>
      </c>
      <c r="AH83">
        <v>15030</v>
      </c>
      <c r="AI83">
        <v>41</v>
      </c>
      <c r="AJ83">
        <v>375</v>
      </c>
      <c r="AK83">
        <v>2</v>
      </c>
      <c r="AL83">
        <v>0</v>
      </c>
      <c r="AM83">
        <v>0</v>
      </c>
      <c r="AN83">
        <v>0</v>
      </c>
      <c r="AO83">
        <v>0</v>
      </c>
      <c r="AP83">
        <v>0</v>
      </c>
      <c r="AQ83">
        <v>0</v>
      </c>
      <c r="AR83">
        <v>417</v>
      </c>
      <c r="AS83">
        <v>105</v>
      </c>
      <c r="AT83">
        <v>5</v>
      </c>
      <c r="AU83">
        <v>2085</v>
      </c>
      <c r="AV83">
        <v>18765</v>
      </c>
      <c r="AW83">
        <v>52</v>
      </c>
      <c r="AX83">
        <v>469</v>
      </c>
      <c r="AY83">
        <v>12</v>
      </c>
      <c r="AZ83">
        <v>1200000</v>
      </c>
      <c r="BA83">
        <v>0</v>
      </c>
      <c r="BB83">
        <v>2</v>
      </c>
      <c r="BC83">
        <v>0</v>
      </c>
      <c r="BD83">
        <v>24.381294964028779</v>
      </c>
      <c r="BE83">
        <v>100000</v>
      </c>
      <c r="BF83">
        <v>500</v>
      </c>
      <c r="BG83">
        <v>125</v>
      </c>
      <c r="BH83">
        <v>5</v>
      </c>
      <c r="BI83">
        <v>2500</v>
      </c>
      <c r="BJ83">
        <v>22500</v>
      </c>
      <c r="BK83">
        <v>62</v>
      </c>
      <c r="BL83">
        <v>562</v>
      </c>
      <c r="BM83">
        <v>24</v>
      </c>
      <c r="BN83">
        <v>1800000</v>
      </c>
      <c r="BO83">
        <v>0</v>
      </c>
      <c r="BP83">
        <v>4</v>
      </c>
      <c r="BQ83">
        <v>0</v>
      </c>
      <c r="BR83">
        <v>30.834</v>
      </c>
      <c r="BS83">
        <v>75000</v>
      </c>
      <c r="BT83">
        <v>667</v>
      </c>
      <c r="BU83">
        <v>167</v>
      </c>
      <c r="BV83">
        <v>5</v>
      </c>
      <c r="BW83">
        <v>3335</v>
      </c>
      <c r="BX83">
        <v>30015</v>
      </c>
      <c r="BY83">
        <v>83</v>
      </c>
      <c r="BZ83">
        <v>750</v>
      </c>
      <c r="CA83">
        <v>72</v>
      </c>
      <c r="CB83">
        <v>2400000</v>
      </c>
      <c r="CC83">
        <v>0</v>
      </c>
      <c r="CD83">
        <v>0</v>
      </c>
      <c r="CE83">
        <v>2</v>
      </c>
      <c r="CF83">
        <v>32.233883058470767</v>
      </c>
      <c r="CG83">
        <v>33333</v>
      </c>
      <c r="CH83">
        <v>1000</v>
      </c>
      <c r="CI83">
        <v>250</v>
      </c>
      <c r="CJ83">
        <v>5</v>
      </c>
      <c r="CK83">
        <v>5000</v>
      </c>
      <c r="CL83">
        <v>45000</v>
      </c>
      <c r="CM83">
        <v>125</v>
      </c>
      <c r="CN83">
        <v>1125</v>
      </c>
      <c r="CO83">
        <v>120</v>
      </c>
      <c r="CP83">
        <v>3000000</v>
      </c>
      <c r="CQ83">
        <v>0</v>
      </c>
      <c r="CR83">
        <v>0</v>
      </c>
      <c r="CS83">
        <v>5</v>
      </c>
      <c r="CT83">
        <v>28.334999999999997</v>
      </c>
      <c r="CU83">
        <v>25000</v>
      </c>
      <c r="CV83">
        <v>230</v>
      </c>
      <c r="CW83">
        <v>8400000</v>
      </c>
      <c r="CX83">
        <v>0</v>
      </c>
      <c r="CY83">
        <v>6</v>
      </c>
      <c r="CZ83">
        <v>7</v>
      </c>
      <c r="DA83">
        <v>70</v>
      </c>
      <c r="DB83">
        <v>36521.739130434784</v>
      </c>
      <c r="DD83" t="s">
        <v>847</v>
      </c>
      <c r="DE83">
        <v>100</v>
      </c>
    </row>
    <row r="84" spans="1:109">
      <c r="A84">
        <v>101</v>
      </c>
      <c r="B84" t="s">
        <v>296</v>
      </c>
      <c r="C84" t="s">
        <v>54</v>
      </c>
      <c r="E84" t="s">
        <v>43</v>
      </c>
      <c r="H84">
        <v>5</v>
      </c>
      <c r="I84" t="s">
        <v>282</v>
      </c>
      <c r="J84">
        <v>6</v>
      </c>
      <c r="K84">
        <v>7.4999999999999997E-2</v>
      </c>
      <c r="L84">
        <v>4.2857142857142856</v>
      </c>
      <c r="M84">
        <v>100</v>
      </c>
      <c r="N84">
        <v>42401</v>
      </c>
      <c r="O84" t="s">
        <v>206</v>
      </c>
      <c r="P84">
        <v>0</v>
      </c>
      <c r="Q84">
        <v>0</v>
      </c>
      <c r="R84">
        <v>0</v>
      </c>
      <c r="S84">
        <v>0</v>
      </c>
      <c r="T84">
        <v>0</v>
      </c>
      <c r="U84">
        <v>0</v>
      </c>
      <c r="V84">
        <v>0</v>
      </c>
      <c r="W84">
        <v>0</v>
      </c>
      <c r="X84">
        <v>0</v>
      </c>
      <c r="Y84">
        <v>0</v>
      </c>
      <c r="Z84">
        <v>0</v>
      </c>
      <c r="AA84">
        <v>0</v>
      </c>
      <c r="AB84">
        <v>0</v>
      </c>
      <c r="AC84">
        <v>0</v>
      </c>
      <c r="AD84">
        <v>400</v>
      </c>
      <c r="AE84">
        <v>94</v>
      </c>
      <c r="AF84">
        <v>6</v>
      </c>
      <c r="AG84">
        <v>2400</v>
      </c>
      <c r="AH84">
        <v>14400</v>
      </c>
      <c r="AI84">
        <v>180</v>
      </c>
      <c r="AJ84">
        <v>1080</v>
      </c>
      <c r="AK84">
        <v>4</v>
      </c>
      <c r="AL84">
        <v>0</v>
      </c>
      <c r="AM84">
        <v>0</v>
      </c>
      <c r="AN84">
        <v>0</v>
      </c>
      <c r="AO84">
        <v>0</v>
      </c>
      <c r="AP84">
        <v>0</v>
      </c>
      <c r="AQ84">
        <v>0</v>
      </c>
      <c r="AR84">
        <v>500</v>
      </c>
      <c r="AS84">
        <v>117</v>
      </c>
      <c r="AT84">
        <v>6</v>
      </c>
      <c r="AU84">
        <v>3000</v>
      </c>
      <c r="AV84">
        <v>18000</v>
      </c>
      <c r="AW84">
        <v>225</v>
      </c>
      <c r="AX84">
        <v>1350</v>
      </c>
      <c r="AY84">
        <v>8</v>
      </c>
      <c r="AZ84">
        <v>1800000</v>
      </c>
      <c r="BA84">
        <v>0</v>
      </c>
      <c r="BB84">
        <v>3</v>
      </c>
      <c r="BC84">
        <v>0</v>
      </c>
      <c r="BD84">
        <v>25.266666666666666</v>
      </c>
      <c r="BE84">
        <v>225000</v>
      </c>
      <c r="BF84">
        <v>600</v>
      </c>
      <c r="BG84">
        <v>140</v>
      </c>
      <c r="BH84">
        <v>6</v>
      </c>
      <c r="BI84">
        <v>3600</v>
      </c>
      <c r="BJ84">
        <v>21600</v>
      </c>
      <c r="BK84">
        <v>270</v>
      </c>
      <c r="BL84">
        <v>1620</v>
      </c>
      <c r="BM84">
        <v>16</v>
      </c>
      <c r="BN84">
        <v>2700000</v>
      </c>
      <c r="BO84">
        <v>0</v>
      </c>
      <c r="BP84">
        <v>5</v>
      </c>
      <c r="BQ84">
        <v>0</v>
      </c>
      <c r="BR84">
        <v>31.805555555555557</v>
      </c>
      <c r="BS84">
        <v>168750</v>
      </c>
      <c r="BT84">
        <v>800</v>
      </c>
      <c r="BU84">
        <v>187</v>
      </c>
      <c r="BV84">
        <v>6</v>
      </c>
      <c r="BW84">
        <v>4800</v>
      </c>
      <c r="BX84">
        <v>28800</v>
      </c>
      <c r="BY84">
        <v>360</v>
      </c>
      <c r="BZ84">
        <v>2160</v>
      </c>
      <c r="CA84">
        <v>32</v>
      </c>
      <c r="CB84">
        <v>3600000</v>
      </c>
      <c r="CC84">
        <v>0</v>
      </c>
      <c r="CD84">
        <v>0</v>
      </c>
      <c r="CE84">
        <v>3</v>
      </c>
      <c r="CF84">
        <v>32.25</v>
      </c>
      <c r="CG84">
        <v>112500</v>
      </c>
      <c r="CH84">
        <v>1200</v>
      </c>
      <c r="CI84">
        <v>280</v>
      </c>
      <c r="CJ84">
        <v>6</v>
      </c>
      <c r="CK84">
        <v>7200</v>
      </c>
      <c r="CL84">
        <v>43200</v>
      </c>
      <c r="CM84">
        <v>540</v>
      </c>
      <c r="CN84">
        <v>3240</v>
      </c>
      <c r="CO84">
        <v>64</v>
      </c>
      <c r="CP84">
        <v>4500000</v>
      </c>
      <c r="CQ84">
        <v>0</v>
      </c>
      <c r="CR84">
        <v>0</v>
      </c>
      <c r="CS84">
        <v>5</v>
      </c>
      <c r="CT84">
        <v>27.819444444444443</v>
      </c>
      <c r="CU84">
        <v>70312</v>
      </c>
      <c r="CV84">
        <v>124</v>
      </c>
      <c r="CW84">
        <v>12600000</v>
      </c>
      <c r="CX84">
        <v>0</v>
      </c>
      <c r="CY84">
        <v>8</v>
      </c>
      <c r="CZ84">
        <v>8</v>
      </c>
      <c r="DA84">
        <v>72.916666666666671</v>
      </c>
      <c r="DB84">
        <v>101612.90322580645</v>
      </c>
      <c r="DD84" t="s">
        <v>296</v>
      </c>
      <c r="DE84">
        <v>101</v>
      </c>
    </row>
    <row r="85" spans="1:109">
      <c r="A85">
        <v>102</v>
      </c>
      <c r="B85" t="s">
        <v>848</v>
      </c>
      <c r="C85" t="s">
        <v>54</v>
      </c>
      <c r="E85" t="s">
        <v>43</v>
      </c>
      <c r="H85">
        <v>6</v>
      </c>
      <c r="I85" t="s">
        <v>282</v>
      </c>
      <c r="J85">
        <v>6</v>
      </c>
      <c r="K85">
        <v>7.4999999999999997E-2</v>
      </c>
      <c r="L85">
        <v>4.2666666666666666</v>
      </c>
      <c r="M85">
        <v>100</v>
      </c>
      <c r="N85">
        <v>42413</v>
      </c>
      <c r="O85" t="s">
        <v>206</v>
      </c>
      <c r="P85">
        <v>0</v>
      </c>
      <c r="Q85">
        <v>0</v>
      </c>
      <c r="R85">
        <v>0</v>
      </c>
      <c r="S85">
        <v>0</v>
      </c>
      <c r="T85">
        <v>0</v>
      </c>
      <c r="U85">
        <v>0</v>
      </c>
      <c r="V85">
        <v>0</v>
      </c>
      <c r="W85">
        <v>0</v>
      </c>
      <c r="X85">
        <v>0</v>
      </c>
      <c r="Y85">
        <v>0</v>
      </c>
      <c r="Z85">
        <v>0</v>
      </c>
      <c r="AA85">
        <v>0</v>
      </c>
      <c r="AB85">
        <v>0</v>
      </c>
      <c r="AC85">
        <v>0</v>
      </c>
      <c r="AD85">
        <v>427</v>
      </c>
      <c r="AE85">
        <v>100</v>
      </c>
      <c r="AF85">
        <v>7</v>
      </c>
      <c r="AG85">
        <v>2989</v>
      </c>
      <c r="AH85">
        <v>17934</v>
      </c>
      <c r="AI85">
        <v>224</v>
      </c>
      <c r="AJ85">
        <v>1345</v>
      </c>
      <c r="AK85">
        <v>6</v>
      </c>
      <c r="AL85">
        <v>0</v>
      </c>
      <c r="AM85">
        <v>0</v>
      </c>
      <c r="AN85">
        <v>0</v>
      </c>
      <c r="AO85">
        <v>0</v>
      </c>
      <c r="AP85">
        <v>0</v>
      </c>
      <c r="AQ85">
        <v>0</v>
      </c>
      <c r="AR85">
        <v>534</v>
      </c>
      <c r="AS85">
        <v>125</v>
      </c>
      <c r="AT85">
        <v>7</v>
      </c>
      <c r="AU85">
        <v>3738</v>
      </c>
      <c r="AV85">
        <v>22428</v>
      </c>
      <c r="AW85">
        <v>280</v>
      </c>
      <c r="AX85">
        <v>1682</v>
      </c>
      <c r="AY85">
        <v>12</v>
      </c>
      <c r="AZ85">
        <v>2000000</v>
      </c>
      <c r="BA85">
        <v>0</v>
      </c>
      <c r="BB85">
        <v>5</v>
      </c>
      <c r="BC85">
        <v>0</v>
      </c>
      <c r="BD85">
        <v>22.693374353486714</v>
      </c>
      <c r="BE85">
        <v>166666</v>
      </c>
      <c r="BF85">
        <v>640</v>
      </c>
      <c r="BG85">
        <v>150</v>
      </c>
      <c r="BH85">
        <v>7</v>
      </c>
      <c r="BI85">
        <v>4480</v>
      </c>
      <c r="BJ85">
        <v>26880</v>
      </c>
      <c r="BK85">
        <v>336</v>
      </c>
      <c r="BL85">
        <v>2016</v>
      </c>
      <c r="BM85">
        <v>24</v>
      </c>
      <c r="BN85">
        <v>3000000</v>
      </c>
      <c r="BO85">
        <v>0</v>
      </c>
      <c r="BP85">
        <v>10</v>
      </c>
      <c r="BQ85">
        <v>0</v>
      </c>
      <c r="BR85">
        <v>28.736160714285713</v>
      </c>
      <c r="BS85">
        <v>125000</v>
      </c>
      <c r="BT85">
        <v>854</v>
      </c>
      <c r="BU85">
        <v>200</v>
      </c>
      <c r="BV85">
        <v>7</v>
      </c>
      <c r="BW85">
        <v>5978</v>
      </c>
      <c r="BX85">
        <v>35868</v>
      </c>
      <c r="BY85">
        <v>448</v>
      </c>
      <c r="BZ85">
        <v>2690</v>
      </c>
      <c r="CA85">
        <v>48</v>
      </c>
      <c r="CB85">
        <v>4000000</v>
      </c>
      <c r="CC85">
        <v>0</v>
      </c>
      <c r="CD85">
        <v>0</v>
      </c>
      <c r="CE85">
        <v>5</v>
      </c>
      <c r="CF85">
        <v>29.378833500613357</v>
      </c>
      <c r="CG85">
        <v>83333</v>
      </c>
      <c r="CH85">
        <v>1280</v>
      </c>
      <c r="CI85">
        <v>300</v>
      </c>
      <c r="CJ85">
        <v>7</v>
      </c>
      <c r="CK85">
        <v>8960</v>
      </c>
      <c r="CL85">
        <v>53760</v>
      </c>
      <c r="CM85">
        <v>672</v>
      </c>
      <c r="CN85">
        <v>4032</v>
      </c>
      <c r="CO85">
        <v>96</v>
      </c>
      <c r="CP85">
        <v>5000000</v>
      </c>
      <c r="CQ85">
        <v>0</v>
      </c>
      <c r="CR85">
        <v>0</v>
      </c>
      <c r="CS85">
        <v>10</v>
      </c>
      <c r="CT85">
        <v>25.920238095238094</v>
      </c>
      <c r="CU85">
        <v>52083</v>
      </c>
      <c r="CV85">
        <v>186</v>
      </c>
      <c r="CW85">
        <v>14000000</v>
      </c>
      <c r="CX85">
        <v>0</v>
      </c>
      <c r="CY85">
        <v>15</v>
      </c>
      <c r="CZ85">
        <v>15</v>
      </c>
      <c r="DA85">
        <v>65.104166666666671</v>
      </c>
      <c r="DB85">
        <v>75268.817204301071</v>
      </c>
      <c r="DD85" t="s">
        <v>848</v>
      </c>
      <c r="DE85">
        <v>102</v>
      </c>
    </row>
    <row r="86" spans="1:109">
      <c r="A86">
        <v>505</v>
      </c>
      <c r="B86" t="s">
        <v>849</v>
      </c>
      <c r="C86" t="s">
        <v>77</v>
      </c>
      <c r="E86" t="s">
        <v>43</v>
      </c>
      <c r="H86">
        <v>4</v>
      </c>
      <c r="I86" t="s">
        <v>272</v>
      </c>
      <c r="J86">
        <v>3</v>
      </c>
      <c r="K86">
        <v>0.22500000000000001</v>
      </c>
      <c r="L86">
        <v>0.4854368932038835</v>
      </c>
      <c r="M86">
        <v>100</v>
      </c>
      <c r="N86">
        <v>42172</v>
      </c>
      <c r="O86" t="s">
        <v>98</v>
      </c>
      <c r="P86">
        <v>0</v>
      </c>
      <c r="Q86">
        <v>0</v>
      </c>
      <c r="R86">
        <v>0</v>
      </c>
      <c r="S86">
        <v>0</v>
      </c>
      <c r="T86">
        <v>0</v>
      </c>
      <c r="U86">
        <v>0</v>
      </c>
      <c r="V86">
        <v>0</v>
      </c>
      <c r="W86">
        <v>0</v>
      </c>
      <c r="X86">
        <v>0</v>
      </c>
      <c r="Y86">
        <v>0</v>
      </c>
      <c r="Z86">
        <v>0</v>
      </c>
      <c r="AA86">
        <v>0</v>
      </c>
      <c r="AB86">
        <v>0</v>
      </c>
      <c r="AC86">
        <v>0</v>
      </c>
      <c r="AD86">
        <v>100</v>
      </c>
      <c r="AE86">
        <v>206</v>
      </c>
      <c r="AF86">
        <v>6</v>
      </c>
      <c r="AG86">
        <v>600</v>
      </c>
      <c r="AH86">
        <v>1800</v>
      </c>
      <c r="AI86">
        <v>135</v>
      </c>
      <c r="AJ86">
        <v>405</v>
      </c>
      <c r="AK86">
        <v>9</v>
      </c>
      <c r="AL86">
        <v>0</v>
      </c>
      <c r="AM86">
        <v>0</v>
      </c>
      <c r="AN86">
        <v>0</v>
      </c>
      <c r="AO86">
        <v>0</v>
      </c>
      <c r="AP86">
        <v>0</v>
      </c>
      <c r="AQ86">
        <v>0</v>
      </c>
      <c r="AR86">
        <v>150</v>
      </c>
      <c r="AS86">
        <v>308</v>
      </c>
      <c r="AT86">
        <v>6</v>
      </c>
      <c r="AU86">
        <v>900</v>
      </c>
      <c r="AV86">
        <v>2700</v>
      </c>
      <c r="AW86">
        <v>202</v>
      </c>
      <c r="AX86">
        <v>607</v>
      </c>
      <c r="AY86">
        <v>3</v>
      </c>
      <c r="AZ86">
        <v>750000</v>
      </c>
      <c r="BA86">
        <v>0</v>
      </c>
      <c r="BB86">
        <v>0</v>
      </c>
      <c r="BC86">
        <v>0</v>
      </c>
      <c r="BD86">
        <v>34.805555555555557</v>
      </c>
      <c r="BE86">
        <v>250000</v>
      </c>
      <c r="BF86">
        <v>174</v>
      </c>
      <c r="BG86">
        <v>360</v>
      </c>
      <c r="BH86">
        <v>6</v>
      </c>
      <c r="BI86">
        <v>1044</v>
      </c>
      <c r="BJ86">
        <v>3132</v>
      </c>
      <c r="BK86">
        <v>234</v>
      </c>
      <c r="BL86">
        <v>704</v>
      </c>
      <c r="BM86">
        <v>6</v>
      </c>
      <c r="BN86">
        <v>1150000</v>
      </c>
      <c r="BO86">
        <v>0</v>
      </c>
      <c r="BP86">
        <v>1</v>
      </c>
      <c r="BQ86">
        <v>0</v>
      </c>
      <c r="BR86">
        <v>46.112707535121331</v>
      </c>
      <c r="BS86">
        <v>191666</v>
      </c>
      <c r="BT86">
        <v>190</v>
      </c>
      <c r="BU86">
        <v>390</v>
      </c>
      <c r="BV86">
        <v>6</v>
      </c>
      <c r="BW86">
        <v>1140</v>
      </c>
      <c r="BX86">
        <v>3420</v>
      </c>
      <c r="BY86">
        <v>256</v>
      </c>
      <c r="BZ86">
        <v>769</v>
      </c>
      <c r="CA86">
        <v>9</v>
      </c>
      <c r="CB86">
        <v>1500000</v>
      </c>
      <c r="CC86">
        <v>0</v>
      </c>
      <c r="CD86">
        <v>0</v>
      </c>
      <c r="CE86">
        <v>0</v>
      </c>
      <c r="CF86">
        <v>55.167982456140351</v>
      </c>
      <c r="CG86">
        <v>166666</v>
      </c>
      <c r="CH86">
        <v>200</v>
      </c>
      <c r="CI86">
        <v>412</v>
      </c>
      <c r="CJ86">
        <v>6</v>
      </c>
      <c r="CK86">
        <v>1200</v>
      </c>
      <c r="CL86">
        <v>3600</v>
      </c>
      <c r="CM86">
        <v>270</v>
      </c>
      <c r="CN86">
        <v>810</v>
      </c>
      <c r="CO86">
        <v>11</v>
      </c>
      <c r="CP86">
        <v>1900000</v>
      </c>
      <c r="CQ86">
        <v>0</v>
      </c>
      <c r="CR86">
        <v>0</v>
      </c>
      <c r="CS86">
        <v>1</v>
      </c>
      <c r="CT86">
        <v>66.407638888888883</v>
      </c>
      <c r="CU86">
        <v>172727</v>
      </c>
      <c r="CV86">
        <v>38</v>
      </c>
      <c r="CW86">
        <v>5300000</v>
      </c>
      <c r="CX86">
        <v>0</v>
      </c>
      <c r="CY86">
        <v>1</v>
      </c>
      <c r="CZ86">
        <v>1</v>
      </c>
      <c r="DA86">
        <v>184.0277777777778</v>
      </c>
      <c r="DB86">
        <v>139473.68421052632</v>
      </c>
      <c r="DD86" t="s">
        <v>849</v>
      </c>
      <c r="DE86">
        <v>505</v>
      </c>
    </row>
    <row r="87" spans="1:109">
      <c r="A87">
        <v>506</v>
      </c>
      <c r="B87" t="s">
        <v>850</v>
      </c>
      <c r="C87" t="s">
        <v>77</v>
      </c>
      <c r="E87" t="s">
        <v>43</v>
      </c>
      <c r="F87" t="s">
        <v>43</v>
      </c>
      <c r="H87">
        <v>4</v>
      </c>
      <c r="I87" t="s">
        <v>272</v>
      </c>
      <c r="J87">
        <v>3</v>
      </c>
      <c r="K87">
        <v>0.22500000000000001</v>
      </c>
      <c r="L87">
        <v>0.49180327868852458</v>
      </c>
      <c r="M87">
        <v>100</v>
      </c>
      <c r="N87">
        <v>42172</v>
      </c>
      <c r="O87" t="s">
        <v>98</v>
      </c>
      <c r="P87">
        <v>0</v>
      </c>
      <c r="Q87">
        <v>0</v>
      </c>
      <c r="R87">
        <v>0</v>
      </c>
      <c r="S87">
        <v>0</v>
      </c>
      <c r="T87">
        <v>0</v>
      </c>
      <c r="U87">
        <v>0</v>
      </c>
      <c r="V87">
        <v>0</v>
      </c>
      <c r="W87">
        <v>0</v>
      </c>
      <c r="X87">
        <v>0</v>
      </c>
      <c r="Y87">
        <v>0</v>
      </c>
      <c r="Z87">
        <v>0</v>
      </c>
      <c r="AA87">
        <v>0</v>
      </c>
      <c r="AB87">
        <v>0</v>
      </c>
      <c r="AC87">
        <v>0</v>
      </c>
      <c r="AD87">
        <v>120</v>
      </c>
      <c r="AE87">
        <v>244</v>
      </c>
      <c r="AF87">
        <v>6</v>
      </c>
      <c r="AG87">
        <v>720</v>
      </c>
      <c r="AH87">
        <v>2160</v>
      </c>
      <c r="AI87">
        <v>162</v>
      </c>
      <c r="AJ87">
        <v>486</v>
      </c>
      <c r="AK87">
        <v>14</v>
      </c>
      <c r="AL87">
        <v>0</v>
      </c>
      <c r="AM87">
        <v>0</v>
      </c>
      <c r="AN87">
        <v>0</v>
      </c>
      <c r="AO87">
        <v>0</v>
      </c>
      <c r="AP87">
        <v>0</v>
      </c>
      <c r="AQ87">
        <v>0</v>
      </c>
      <c r="AR87">
        <v>180</v>
      </c>
      <c r="AS87">
        <v>366</v>
      </c>
      <c r="AT87">
        <v>6</v>
      </c>
      <c r="AU87">
        <v>1080</v>
      </c>
      <c r="AV87">
        <v>3240</v>
      </c>
      <c r="AW87">
        <v>243</v>
      </c>
      <c r="AX87">
        <v>729</v>
      </c>
      <c r="AY87">
        <v>4</v>
      </c>
      <c r="AZ87">
        <v>1000000</v>
      </c>
      <c r="BA87">
        <v>0</v>
      </c>
      <c r="BB87">
        <v>0</v>
      </c>
      <c r="BC87">
        <v>0</v>
      </c>
      <c r="BD87">
        <v>38.691358024691361</v>
      </c>
      <c r="BE87">
        <v>250000</v>
      </c>
      <c r="BF87">
        <v>210</v>
      </c>
      <c r="BG87">
        <v>426</v>
      </c>
      <c r="BH87">
        <v>6</v>
      </c>
      <c r="BI87">
        <v>1260</v>
      </c>
      <c r="BJ87">
        <v>3780</v>
      </c>
      <c r="BK87">
        <v>283</v>
      </c>
      <c r="BL87">
        <v>850</v>
      </c>
      <c r="BM87">
        <v>8</v>
      </c>
      <c r="BN87">
        <v>1500000</v>
      </c>
      <c r="BO87">
        <v>0</v>
      </c>
      <c r="BP87">
        <v>1</v>
      </c>
      <c r="BQ87">
        <v>0</v>
      </c>
      <c r="BR87">
        <v>49.888888888888886</v>
      </c>
      <c r="BS87">
        <v>187500</v>
      </c>
      <c r="BT87">
        <v>228</v>
      </c>
      <c r="BU87">
        <v>462</v>
      </c>
      <c r="BV87">
        <v>6</v>
      </c>
      <c r="BW87">
        <v>1368</v>
      </c>
      <c r="BX87">
        <v>4104</v>
      </c>
      <c r="BY87">
        <v>307</v>
      </c>
      <c r="BZ87">
        <v>923</v>
      </c>
      <c r="CA87">
        <v>12</v>
      </c>
      <c r="CB87">
        <v>2000000</v>
      </c>
      <c r="CC87">
        <v>0</v>
      </c>
      <c r="CD87">
        <v>0</v>
      </c>
      <c r="CE87">
        <v>0</v>
      </c>
      <c r="CF87">
        <v>61.376705653021446</v>
      </c>
      <c r="CG87">
        <v>166666</v>
      </c>
      <c r="CH87">
        <v>240</v>
      </c>
      <c r="CI87">
        <v>488</v>
      </c>
      <c r="CJ87">
        <v>6</v>
      </c>
      <c r="CK87">
        <v>1440</v>
      </c>
      <c r="CL87">
        <v>4320</v>
      </c>
      <c r="CM87">
        <v>324</v>
      </c>
      <c r="CN87">
        <v>972</v>
      </c>
      <c r="CO87">
        <v>14</v>
      </c>
      <c r="CP87">
        <v>2500000</v>
      </c>
      <c r="CQ87">
        <v>0</v>
      </c>
      <c r="CR87">
        <v>0</v>
      </c>
      <c r="CS87">
        <v>1</v>
      </c>
      <c r="CT87">
        <v>72.892129629629622</v>
      </c>
      <c r="CU87">
        <v>178571</v>
      </c>
      <c r="CV87">
        <v>52</v>
      </c>
      <c r="CW87">
        <v>7000000</v>
      </c>
      <c r="CX87">
        <v>0</v>
      </c>
      <c r="CY87">
        <v>1</v>
      </c>
      <c r="CZ87">
        <v>1</v>
      </c>
      <c r="DA87">
        <v>202.5462962962963</v>
      </c>
      <c r="DB87">
        <v>134615.38461538462</v>
      </c>
      <c r="DD87" t="s">
        <v>850</v>
      </c>
      <c r="DE87">
        <v>506</v>
      </c>
    </row>
    <row r="88" spans="1:109">
      <c r="A88">
        <v>507</v>
      </c>
      <c r="B88" t="s">
        <v>851</v>
      </c>
      <c r="C88" t="s">
        <v>77</v>
      </c>
      <c r="E88" t="s">
        <v>43</v>
      </c>
      <c r="H88">
        <v>4</v>
      </c>
      <c r="I88" t="s">
        <v>272</v>
      </c>
      <c r="J88">
        <v>3</v>
      </c>
      <c r="K88">
        <v>0.22500000000000001</v>
      </c>
      <c r="L88">
        <v>0.50359712230215825</v>
      </c>
      <c r="M88">
        <v>100</v>
      </c>
      <c r="N88">
        <v>42172</v>
      </c>
      <c r="O88" t="s">
        <v>98</v>
      </c>
      <c r="P88">
        <v>0</v>
      </c>
      <c r="Q88">
        <v>0</v>
      </c>
      <c r="R88">
        <v>0</v>
      </c>
      <c r="S88">
        <v>0</v>
      </c>
      <c r="T88">
        <v>0</v>
      </c>
      <c r="U88">
        <v>0</v>
      </c>
      <c r="V88">
        <v>0</v>
      </c>
      <c r="W88">
        <v>0</v>
      </c>
      <c r="X88">
        <v>0</v>
      </c>
      <c r="Y88">
        <v>0</v>
      </c>
      <c r="Z88">
        <v>0</v>
      </c>
      <c r="AA88">
        <v>0</v>
      </c>
      <c r="AB88">
        <v>0</v>
      </c>
      <c r="AC88">
        <v>0</v>
      </c>
      <c r="AD88">
        <v>140</v>
      </c>
      <c r="AE88">
        <v>278</v>
      </c>
      <c r="AF88">
        <v>6</v>
      </c>
      <c r="AG88">
        <v>840</v>
      </c>
      <c r="AH88">
        <v>2520</v>
      </c>
      <c r="AI88">
        <v>189</v>
      </c>
      <c r="AJ88">
        <v>567</v>
      </c>
      <c r="AK88">
        <v>18</v>
      </c>
      <c r="AL88">
        <v>0</v>
      </c>
      <c r="AM88">
        <v>0</v>
      </c>
      <c r="AN88">
        <v>0</v>
      </c>
      <c r="AO88">
        <v>0</v>
      </c>
      <c r="AP88">
        <v>0</v>
      </c>
      <c r="AQ88">
        <v>0</v>
      </c>
      <c r="AR88">
        <v>210</v>
      </c>
      <c r="AS88">
        <v>416</v>
      </c>
      <c r="AT88">
        <v>6</v>
      </c>
      <c r="AU88">
        <v>1260</v>
      </c>
      <c r="AV88">
        <v>3780</v>
      </c>
      <c r="AW88">
        <v>283</v>
      </c>
      <c r="AX88">
        <v>850</v>
      </c>
      <c r="AY88">
        <v>5</v>
      </c>
      <c r="AZ88">
        <v>1250000</v>
      </c>
      <c r="BA88">
        <v>0</v>
      </c>
      <c r="BB88">
        <v>0</v>
      </c>
      <c r="BC88">
        <v>0</v>
      </c>
      <c r="BD88">
        <v>41.474867724867728</v>
      </c>
      <c r="BE88">
        <v>250000</v>
      </c>
      <c r="BF88">
        <v>244</v>
      </c>
      <c r="BG88">
        <v>486</v>
      </c>
      <c r="BH88">
        <v>6</v>
      </c>
      <c r="BI88">
        <v>1464</v>
      </c>
      <c r="BJ88">
        <v>4392</v>
      </c>
      <c r="BK88">
        <v>329</v>
      </c>
      <c r="BL88">
        <v>988</v>
      </c>
      <c r="BM88">
        <v>10</v>
      </c>
      <c r="BN88">
        <v>1900000</v>
      </c>
      <c r="BO88">
        <v>0</v>
      </c>
      <c r="BP88">
        <v>1</v>
      </c>
      <c r="BQ88">
        <v>0</v>
      </c>
      <c r="BR88">
        <v>54.434198542805099</v>
      </c>
      <c r="BS88">
        <v>190000</v>
      </c>
      <c r="BT88">
        <v>266</v>
      </c>
      <c r="BU88">
        <v>528</v>
      </c>
      <c r="BV88">
        <v>6</v>
      </c>
      <c r="BW88">
        <v>1596</v>
      </c>
      <c r="BX88">
        <v>4788</v>
      </c>
      <c r="BY88">
        <v>359</v>
      </c>
      <c r="BZ88">
        <v>1077</v>
      </c>
      <c r="CA88">
        <v>15</v>
      </c>
      <c r="CB88">
        <v>2500000</v>
      </c>
      <c r="CC88">
        <v>0</v>
      </c>
      <c r="CD88">
        <v>0</v>
      </c>
      <c r="CE88">
        <v>0</v>
      </c>
      <c r="CF88">
        <v>65.840643274853804</v>
      </c>
      <c r="CG88">
        <v>166666</v>
      </c>
      <c r="CH88">
        <v>280</v>
      </c>
      <c r="CI88">
        <v>556</v>
      </c>
      <c r="CJ88">
        <v>6</v>
      </c>
      <c r="CK88">
        <v>1680</v>
      </c>
      <c r="CL88">
        <v>5040</v>
      </c>
      <c r="CM88">
        <v>378</v>
      </c>
      <c r="CN88">
        <v>1134</v>
      </c>
      <c r="CO88">
        <v>18</v>
      </c>
      <c r="CP88">
        <v>3200000</v>
      </c>
      <c r="CQ88">
        <v>0</v>
      </c>
      <c r="CR88">
        <v>0</v>
      </c>
      <c r="CS88">
        <v>1</v>
      </c>
      <c r="CT88">
        <v>80.077579365079359</v>
      </c>
      <c r="CU88">
        <v>177777</v>
      </c>
      <c r="CV88">
        <v>66</v>
      </c>
      <c r="CW88">
        <v>8850000</v>
      </c>
      <c r="CX88">
        <v>0</v>
      </c>
      <c r="CY88">
        <v>1</v>
      </c>
      <c r="CZ88">
        <v>1</v>
      </c>
      <c r="DA88">
        <v>219.49404761904762</v>
      </c>
      <c r="DB88">
        <v>134090.90909090909</v>
      </c>
      <c r="DD88" t="s">
        <v>851</v>
      </c>
      <c r="DE88">
        <v>507</v>
      </c>
    </row>
    <row r="89" spans="1:109">
      <c r="A89">
        <v>508</v>
      </c>
      <c r="B89" t="s">
        <v>852</v>
      </c>
      <c r="C89" t="s">
        <v>77</v>
      </c>
      <c r="E89" t="s">
        <v>43</v>
      </c>
      <c r="F89" t="s">
        <v>43</v>
      </c>
      <c r="H89">
        <v>4</v>
      </c>
      <c r="I89" t="s">
        <v>272</v>
      </c>
      <c r="J89">
        <v>4</v>
      </c>
      <c r="K89">
        <v>0.22500000000000001</v>
      </c>
      <c r="L89">
        <v>0.60509554140127386</v>
      </c>
      <c r="M89">
        <v>100</v>
      </c>
      <c r="N89">
        <v>42172</v>
      </c>
      <c r="O89" t="s">
        <v>98</v>
      </c>
      <c r="P89">
        <v>0</v>
      </c>
      <c r="Q89">
        <v>0</v>
      </c>
      <c r="R89">
        <v>0</v>
      </c>
      <c r="S89">
        <v>0</v>
      </c>
      <c r="T89">
        <v>0</v>
      </c>
      <c r="U89">
        <v>0</v>
      </c>
      <c r="V89">
        <v>0</v>
      </c>
      <c r="W89">
        <v>0</v>
      </c>
      <c r="X89">
        <v>0</v>
      </c>
      <c r="Y89">
        <v>0</v>
      </c>
      <c r="Z89">
        <v>0</v>
      </c>
      <c r="AA89">
        <v>0</v>
      </c>
      <c r="AB89">
        <v>0</v>
      </c>
      <c r="AC89">
        <v>0</v>
      </c>
      <c r="AD89">
        <v>190</v>
      </c>
      <c r="AE89">
        <v>314</v>
      </c>
      <c r="AF89">
        <v>8</v>
      </c>
      <c r="AG89">
        <v>1520</v>
      </c>
      <c r="AH89">
        <v>6080</v>
      </c>
      <c r="AI89">
        <v>342</v>
      </c>
      <c r="AJ89">
        <v>1368</v>
      </c>
      <c r="AK89">
        <v>21</v>
      </c>
      <c r="AL89">
        <v>0</v>
      </c>
      <c r="AM89">
        <v>0</v>
      </c>
      <c r="AN89">
        <v>0</v>
      </c>
      <c r="AO89">
        <v>0</v>
      </c>
      <c r="AP89">
        <v>0</v>
      </c>
      <c r="AQ89">
        <v>0</v>
      </c>
      <c r="AR89">
        <v>284</v>
      </c>
      <c r="AS89">
        <v>470</v>
      </c>
      <c r="AT89">
        <v>8</v>
      </c>
      <c r="AU89">
        <v>2272</v>
      </c>
      <c r="AV89">
        <v>9088</v>
      </c>
      <c r="AW89">
        <v>511</v>
      </c>
      <c r="AX89">
        <v>2044</v>
      </c>
      <c r="AY89">
        <v>6</v>
      </c>
      <c r="AZ89">
        <v>1500000</v>
      </c>
      <c r="BA89">
        <v>0</v>
      </c>
      <c r="BB89">
        <v>0</v>
      </c>
      <c r="BC89">
        <v>0</v>
      </c>
      <c r="BD89">
        <v>27.676056338028172</v>
      </c>
      <c r="BE89">
        <v>250000</v>
      </c>
      <c r="BF89">
        <v>332</v>
      </c>
      <c r="BG89">
        <v>549</v>
      </c>
      <c r="BH89">
        <v>8</v>
      </c>
      <c r="BI89">
        <v>2656</v>
      </c>
      <c r="BJ89">
        <v>10624</v>
      </c>
      <c r="BK89">
        <v>597</v>
      </c>
      <c r="BL89">
        <v>2390</v>
      </c>
      <c r="BM89">
        <v>12</v>
      </c>
      <c r="BN89">
        <v>2250000</v>
      </c>
      <c r="BO89">
        <v>0</v>
      </c>
      <c r="BP89">
        <v>1</v>
      </c>
      <c r="BQ89">
        <v>0</v>
      </c>
      <c r="BR89">
        <v>35.725150602409634</v>
      </c>
      <c r="BS89">
        <v>187500</v>
      </c>
      <c r="BT89">
        <v>361</v>
      </c>
      <c r="BU89">
        <v>596</v>
      </c>
      <c r="BV89">
        <v>8</v>
      </c>
      <c r="BW89">
        <v>2888</v>
      </c>
      <c r="BX89">
        <v>11552</v>
      </c>
      <c r="BY89">
        <v>649</v>
      </c>
      <c r="BZ89">
        <v>2599</v>
      </c>
      <c r="CA89">
        <v>18</v>
      </c>
      <c r="CB89">
        <v>3000000</v>
      </c>
      <c r="CC89">
        <v>0</v>
      </c>
      <c r="CD89">
        <v>0</v>
      </c>
      <c r="CE89">
        <v>0</v>
      </c>
      <c r="CF89">
        <v>43.97229916897507</v>
      </c>
      <c r="CG89">
        <v>166666</v>
      </c>
      <c r="CH89">
        <v>380</v>
      </c>
      <c r="CI89">
        <v>628</v>
      </c>
      <c r="CJ89">
        <v>8</v>
      </c>
      <c r="CK89">
        <v>3040</v>
      </c>
      <c r="CL89">
        <v>12160</v>
      </c>
      <c r="CM89">
        <v>684</v>
      </c>
      <c r="CN89">
        <v>2736</v>
      </c>
      <c r="CO89">
        <v>21</v>
      </c>
      <c r="CP89">
        <v>3750000</v>
      </c>
      <c r="CQ89">
        <v>0</v>
      </c>
      <c r="CR89">
        <v>0</v>
      </c>
      <c r="CS89">
        <v>1</v>
      </c>
      <c r="CT89">
        <v>52.22927631578947</v>
      </c>
      <c r="CU89">
        <v>178571</v>
      </c>
      <c r="CV89">
        <v>78</v>
      </c>
      <c r="CW89">
        <v>10500000</v>
      </c>
      <c r="CX89">
        <v>0</v>
      </c>
      <c r="CY89">
        <v>1</v>
      </c>
      <c r="CZ89">
        <v>1</v>
      </c>
      <c r="DA89">
        <v>143.91447368421052</v>
      </c>
      <c r="DB89">
        <v>134615.38461538462</v>
      </c>
      <c r="DD89" t="s">
        <v>852</v>
      </c>
      <c r="DE89">
        <v>508</v>
      </c>
    </row>
    <row r="90" spans="1:109">
      <c r="A90">
        <v>530</v>
      </c>
      <c r="B90" t="s">
        <v>853</v>
      </c>
      <c r="C90" t="s">
        <v>77</v>
      </c>
      <c r="E90" t="s">
        <v>43</v>
      </c>
      <c r="H90">
        <v>7</v>
      </c>
      <c r="I90" t="s">
        <v>271</v>
      </c>
      <c r="J90">
        <v>12</v>
      </c>
      <c r="K90">
        <v>0.2</v>
      </c>
      <c r="L90">
        <v>2</v>
      </c>
      <c r="M90">
        <v>100</v>
      </c>
      <c r="N90">
        <v>42382</v>
      </c>
      <c r="O90" t="s">
        <v>206</v>
      </c>
      <c r="P90">
        <v>0</v>
      </c>
      <c r="Q90">
        <v>0</v>
      </c>
      <c r="R90">
        <v>0</v>
      </c>
      <c r="S90">
        <v>0</v>
      </c>
      <c r="T90">
        <v>0</v>
      </c>
      <c r="U90">
        <v>0</v>
      </c>
      <c r="V90">
        <v>0</v>
      </c>
      <c r="W90">
        <v>0</v>
      </c>
      <c r="X90">
        <v>0</v>
      </c>
      <c r="Y90">
        <v>0</v>
      </c>
      <c r="Z90">
        <v>0</v>
      </c>
      <c r="AA90">
        <v>0</v>
      </c>
      <c r="AB90">
        <v>0</v>
      </c>
      <c r="AC90">
        <v>0</v>
      </c>
      <c r="AD90">
        <v>334</v>
      </c>
      <c r="AE90">
        <v>167</v>
      </c>
      <c r="AF90">
        <v>13</v>
      </c>
      <c r="AG90">
        <v>4342</v>
      </c>
      <c r="AH90">
        <v>52104</v>
      </c>
      <c r="AI90">
        <v>868</v>
      </c>
      <c r="AJ90">
        <v>10420</v>
      </c>
      <c r="AK90">
        <v>1.5</v>
      </c>
      <c r="AL90">
        <v>0</v>
      </c>
      <c r="AM90">
        <v>0</v>
      </c>
      <c r="AN90">
        <v>0</v>
      </c>
      <c r="AO90">
        <v>0</v>
      </c>
      <c r="AP90">
        <v>0</v>
      </c>
      <c r="AQ90">
        <v>0</v>
      </c>
      <c r="AR90">
        <v>417</v>
      </c>
      <c r="AS90">
        <v>209</v>
      </c>
      <c r="AT90">
        <v>13</v>
      </c>
      <c r="AU90">
        <v>5421</v>
      </c>
      <c r="AV90">
        <v>65052</v>
      </c>
      <c r="AW90">
        <v>1084</v>
      </c>
      <c r="AX90">
        <v>13010</v>
      </c>
      <c r="AY90">
        <v>9</v>
      </c>
      <c r="AZ90">
        <v>4000000</v>
      </c>
      <c r="BA90">
        <v>0</v>
      </c>
      <c r="BB90">
        <v>5</v>
      </c>
      <c r="BC90">
        <v>0</v>
      </c>
      <c r="BD90">
        <v>31.044994773412039</v>
      </c>
      <c r="BE90">
        <v>444444</v>
      </c>
      <c r="BF90">
        <v>500</v>
      </c>
      <c r="BG90">
        <v>250</v>
      </c>
      <c r="BH90">
        <v>13</v>
      </c>
      <c r="BI90">
        <v>6500</v>
      </c>
      <c r="BJ90">
        <v>78000</v>
      </c>
      <c r="BK90">
        <v>1300</v>
      </c>
      <c r="BL90">
        <v>15600</v>
      </c>
      <c r="BM90">
        <v>18</v>
      </c>
      <c r="BN90">
        <v>6000000</v>
      </c>
      <c r="BO90">
        <v>0</v>
      </c>
      <c r="BP90">
        <v>10</v>
      </c>
      <c r="BQ90">
        <v>0</v>
      </c>
      <c r="BR90">
        <v>39.087038461538462</v>
      </c>
      <c r="BS90">
        <v>333333</v>
      </c>
      <c r="BT90">
        <v>667</v>
      </c>
      <c r="BU90">
        <v>334</v>
      </c>
      <c r="BV90">
        <v>13</v>
      </c>
      <c r="BW90">
        <v>8671</v>
      </c>
      <c r="BX90">
        <v>104052</v>
      </c>
      <c r="BY90">
        <v>1734</v>
      </c>
      <c r="BZ90">
        <v>20810</v>
      </c>
      <c r="CA90">
        <v>36</v>
      </c>
      <c r="CB90">
        <v>8000000</v>
      </c>
      <c r="CC90">
        <v>0</v>
      </c>
      <c r="CD90">
        <v>0</v>
      </c>
      <c r="CE90">
        <v>5</v>
      </c>
      <c r="CF90">
        <v>39.566755083996462</v>
      </c>
      <c r="CG90">
        <v>222222</v>
      </c>
      <c r="CH90">
        <v>1000</v>
      </c>
      <c r="CI90">
        <v>500</v>
      </c>
      <c r="CJ90">
        <v>13</v>
      </c>
      <c r="CK90">
        <v>13000</v>
      </c>
      <c r="CL90">
        <v>156000</v>
      </c>
      <c r="CM90">
        <v>2600</v>
      </c>
      <c r="CN90">
        <v>31200</v>
      </c>
      <c r="CO90">
        <v>72</v>
      </c>
      <c r="CP90">
        <v>10000000</v>
      </c>
      <c r="CQ90">
        <v>0</v>
      </c>
      <c r="CR90">
        <v>0</v>
      </c>
      <c r="CS90">
        <v>10</v>
      </c>
      <c r="CT90">
        <v>34.052282051282056</v>
      </c>
      <c r="CU90">
        <v>138888</v>
      </c>
      <c r="CV90">
        <v>136.5</v>
      </c>
      <c r="CW90">
        <v>28000000</v>
      </c>
      <c r="CX90">
        <v>0</v>
      </c>
      <c r="CY90">
        <v>15</v>
      </c>
      <c r="CZ90">
        <v>15</v>
      </c>
      <c r="DA90">
        <v>89.743589743589737</v>
      </c>
      <c r="DB90">
        <v>205128.20512820513</v>
      </c>
      <c r="DD90" t="s">
        <v>853</v>
      </c>
      <c r="DE90">
        <v>530</v>
      </c>
    </row>
    <row r="91" spans="1:109">
      <c r="A91">
        <v>531</v>
      </c>
      <c r="B91" t="s">
        <v>762</v>
      </c>
      <c r="C91" t="s">
        <v>54</v>
      </c>
      <c r="E91" t="s">
        <v>43</v>
      </c>
      <c r="H91">
        <v>7</v>
      </c>
      <c r="I91" t="s">
        <v>271</v>
      </c>
      <c r="J91">
        <v>12</v>
      </c>
      <c r="K91">
        <v>7.4999999999999997E-2</v>
      </c>
      <c r="L91">
        <v>3.3333333333333335</v>
      </c>
      <c r="M91">
        <v>100</v>
      </c>
      <c r="N91">
        <v>42383</v>
      </c>
      <c r="O91" t="s">
        <v>206</v>
      </c>
      <c r="P91">
        <v>0</v>
      </c>
      <c r="Q91">
        <v>0</v>
      </c>
      <c r="R91">
        <v>0</v>
      </c>
      <c r="S91">
        <v>0</v>
      </c>
      <c r="T91">
        <v>0</v>
      </c>
      <c r="U91">
        <v>0</v>
      </c>
      <c r="V91">
        <v>0</v>
      </c>
      <c r="W91">
        <v>0</v>
      </c>
      <c r="X91">
        <v>0</v>
      </c>
      <c r="Y91">
        <v>0</v>
      </c>
      <c r="Z91">
        <v>0</v>
      </c>
      <c r="AA91">
        <v>0</v>
      </c>
      <c r="AB91">
        <v>0</v>
      </c>
      <c r="AC91">
        <v>0</v>
      </c>
      <c r="AD91">
        <v>334</v>
      </c>
      <c r="AE91">
        <v>100</v>
      </c>
      <c r="AF91">
        <v>12</v>
      </c>
      <c r="AG91">
        <v>4008</v>
      </c>
      <c r="AH91">
        <v>48096</v>
      </c>
      <c r="AI91">
        <v>300</v>
      </c>
      <c r="AJ91">
        <v>3607</v>
      </c>
      <c r="AK91">
        <v>1.5</v>
      </c>
      <c r="AL91">
        <v>0</v>
      </c>
      <c r="AM91">
        <v>0</v>
      </c>
      <c r="AN91">
        <v>0</v>
      </c>
      <c r="AO91">
        <v>0</v>
      </c>
      <c r="AP91">
        <v>0</v>
      </c>
      <c r="AQ91">
        <v>0</v>
      </c>
      <c r="AR91">
        <v>417</v>
      </c>
      <c r="AS91">
        <v>125</v>
      </c>
      <c r="AT91">
        <v>12</v>
      </c>
      <c r="AU91">
        <v>5004</v>
      </c>
      <c r="AV91">
        <v>60048</v>
      </c>
      <c r="AW91">
        <v>375</v>
      </c>
      <c r="AX91">
        <v>4503</v>
      </c>
      <c r="AY91">
        <v>9</v>
      </c>
      <c r="AZ91">
        <v>3600000</v>
      </c>
      <c r="BA91">
        <v>0</v>
      </c>
      <c r="BB91">
        <v>5</v>
      </c>
      <c r="BC91">
        <v>0</v>
      </c>
      <c r="BD91">
        <v>30.276378896882495</v>
      </c>
      <c r="BE91">
        <v>400000</v>
      </c>
      <c r="BF91">
        <v>500</v>
      </c>
      <c r="BG91">
        <v>150</v>
      </c>
      <c r="BH91">
        <v>12</v>
      </c>
      <c r="BI91">
        <v>6000</v>
      </c>
      <c r="BJ91">
        <v>72000</v>
      </c>
      <c r="BK91">
        <v>450</v>
      </c>
      <c r="BL91">
        <v>5400</v>
      </c>
      <c r="BM91">
        <v>18</v>
      </c>
      <c r="BN91">
        <v>5400000</v>
      </c>
      <c r="BO91">
        <v>0</v>
      </c>
      <c r="BP91">
        <v>10</v>
      </c>
      <c r="BQ91">
        <v>0</v>
      </c>
      <c r="BR91">
        <v>38.125499999999995</v>
      </c>
      <c r="BS91">
        <v>300000</v>
      </c>
      <c r="BT91">
        <v>667</v>
      </c>
      <c r="BU91">
        <v>200</v>
      </c>
      <c r="BV91">
        <v>12</v>
      </c>
      <c r="BW91">
        <v>8004</v>
      </c>
      <c r="BX91">
        <v>96048</v>
      </c>
      <c r="BY91">
        <v>600</v>
      </c>
      <c r="BZ91">
        <v>7203</v>
      </c>
      <c r="CA91">
        <v>36</v>
      </c>
      <c r="CB91">
        <v>7200000</v>
      </c>
      <c r="CC91">
        <v>0</v>
      </c>
      <c r="CD91">
        <v>0</v>
      </c>
      <c r="CE91">
        <v>5</v>
      </c>
      <c r="CF91">
        <v>38.605697151424287</v>
      </c>
      <c r="CG91">
        <v>200000</v>
      </c>
      <c r="CH91">
        <v>1000</v>
      </c>
      <c r="CI91">
        <v>300</v>
      </c>
      <c r="CJ91">
        <v>12</v>
      </c>
      <c r="CK91">
        <v>12000</v>
      </c>
      <c r="CL91">
        <v>144000</v>
      </c>
      <c r="CM91">
        <v>900</v>
      </c>
      <c r="CN91">
        <v>10800</v>
      </c>
      <c r="CO91">
        <v>72</v>
      </c>
      <c r="CP91">
        <v>9000000</v>
      </c>
      <c r="CQ91">
        <v>0</v>
      </c>
      <c r="CR91">
        <v>0</v>
      </c>
      <c r="CS91">
        <v>10</v>
      </c>
      <c r="CT91">
        <v>33.250999999999998</v>
      </c>
      <c r="CU91">
        <v>125000</v>
      </c>
      <c r="CV91">
        <v>136.5</v>
      </c>
      <c r="CW91">
        <v>25200000</v>
      </c>
      <c r="CX91">
        <v>0</v>
      </c>
      <c r="CY91">
        <v>15</v>
      </c>
      <c r="CZ91">
        <v>15</v>
      </c>
      <c r="DA91">
        <v>87.5</v>
      </c>
      <c r="DB91">
        <v>184615.38461538462</v>
      </c>
      <c r="DD91" t="s">
        <v>762</v>
      </c>
      <c r="DE91">
        <v>531</v>
      </c>
    </row>
    <row r="92" spans="1:109">
      <c r="A92">
        <v>532</v>
      </c>
      <c r="B92" t="s">
        <v>854</v>
      </c>
      <c r="C92" t="s">
        <v>42</v>
      </c>
      <c r="E92" t="s">
        <v>43</v>
      </c>
      <c r="F92" t="s">
        <v>43</v>
      </c>
      <c r="H92">
        <v>7</v>
      </c>
      <c r="I92" t="s">
        <v>271</v>
      </c>
      <c r="J92">
        <v>12</v>
      </c>
      <c r="K92">
        <v>0.1</v>
      </c>
      <c r="L92">
        <v>2.5</v>
      </c>
      <c r="M92">
        <v>100</v>
      </c>
      <c r="N92">
        <v>42382</v>
      </c>
      <c r="O92" t="s">
        <v>206</v>
      </c>
      <c r="P92">
        <v>0</v>
      </c>
      <c r="Q92">
        <v>0</v>
      </c>
      <c r="R92">
        <v>0</v>
      </c>
      <c r="S92">
        <v>0</v>
      </c>
      <c r="T92">
        <v>0</v>
      </c>
      <c r="U92">
        <v>0</v>
      </c>
      <c r="V92">
        <v>0</v>
      </c>
      <c r="W92">
        <v>0</v>
      </c>
      <c r="X92">
        <v>0</v>
      </c>
      <c r="Y92">
        <v>0</v>
      </c>
      <c r="Z92">
        <v>0</v>
      </c>
      <c r="AA92">
        <v>0</v>
      </c>
      <c r="AB92">
        <v>0</v>
      </c>
      <c r="AC92">
        <v>0</v>
      </c>
      <c r="AD92">
        <v>334</v>
      </c>
      <c r="AE92">
        <v>134</v>
      </c>
      <c r="AF92">
        <v>11</v>
      </c>
      <c r="AG92">
        <v>3674</v>
      </c>
      <c r="AH92">
        <v>44088</v>
      </c>
      <c r="AI92">
        <v>367</v>
      </c>
      <c r="AJ92">
        <v>4408</v>
      </c>
      <c r="AK92">
        <v>1.5</v>
      </c>
      <c r="AL92">
        <v>0</v>
      </c>
      <c r="AM92">
        <v>0</v>
      </c>
      <c r="AN92">
        <v>0</v>
      </c>
      <c r="AO92">
        <v>0</v>
      </c>
      <c r="AP92">
        <v>0</v>
      </c>
      <c r="AQ92">
        <v>0</v>
      </c>
      <c r="AR92">
        <v>417</v>
      </c>
      <c r="AS92">
        <v>167</v>
      </c>
      <c r="AT92">
        <v>11</v>
      </c>
      <c r="AU92">
        <v>4587</v>
      </c>
      <c r="AV92">
        <v>55044</v>
      </c>
      <c r="AW92">
        <v>458</v>
      </c>
      <c r="AX92">
        <v>5504</v>
      </c>
      <c r="AY92">
        <v>9</v>
      </c>
      <c r="AZ92">
        <v>3200000</v>
      </c>
      <c r="BA92">
        <v>0</v>
      </c>
      <c r="BB92">
        <v>5</v>
      </c>
      <c r="BC92">
        <v>0</v>
      </c>
      <c r="BD92">
        <v>29.368014679165757</v>
      </c>
      <c r="BE92">
        <v>355555</v>
      </c>
      <c r="BF92">
        <v>500</v>
      </c>
      <c r="BG92">
        <v>200</v>
      </c>
      <c r="BH92">
        <v>11</v>
      </c>
      <c r="BI92">
        <v>5500</v>
      </c>
      <c r="BJ92">
        <v>66000</v>
      </c>
      <c r="BK92">
        <v>550</v>
      </c>
      <c r="BL92">
        <v>6600</v>
      </c>
      <c r="BM92">
        <v>18</v>
      </c>
      <c r="BN92">
        <v>4800000</v>
      </c>
      <c r="BO92">
        <v>0</v>
      </c>
      <c r="BP92">
        <v>10</v>
      </c>
      <c r="BQ92">
        <v>0</v>
      </c>
      <c r="BR92">
        <v>36.989136363636362</v>
      </c>
      <c r="BS92">
        <v>266666</v>
      </c>
      <c r="BT92">
        <v>667</v>
      </c>
      <c r="BU92">
        <v>267</v>
      </c>
      <c r="BV92">
        <v>11</v>
      </c>
      <c r="BW92">
        <v>7337</v>
      </c>
      <c r="BX92">
        <v>88044</v>
      </c>
      <c r="BY92">
        <v>733</v>
      </c>
      <c r="BZ92">
        <v>8804</v>
      </c>
      <c r="CA92">
        <v>36</v>
      </c>
      <c r="CB92">
        <v>6400000</v>
      </c>
      <c r="CC92">
        <v>0</v>
      </c>
      <c r="CD92">
        <v>0</v>
      </c>
      <c r="CE92">
        <v>5</v>
      </c>
      <c r="CF92">
        <v>37.4699014129299</v>
      </c>
      <c r="CG92">
        <v>177777</v>
      </c>
      <c r="CH92">
        <v>1000</v>
      </c>
      <c r="CI92">
        <v>400</v>
      </c>
      <c r="CJ92">
        <v>11</v>
      </c>
      <c r="CK92">
        <v>11000</v>
      </c>
      <c r="CL92">
        <v>132000</v>
      </c>
      <c r="CM92">
        <v>1100</v>
      </c>
      <c r="CN92">
        <v>13200</v>
      </c>
      <c r="CO92">
        <v>72</v>
      </c>
      <c r="CP92">
        <v>8000000</v>
      </c>
      <c r="CQ92">
        <v>0</v>
      </c>
      <c r="CR92">
        <v>0</v>
      </c>
      <c r="CS92">
        <v>10</v>
      </c>
      <c r="CT92">
        <v>32.304030303030302</v>
      </c>
      <c r="CU92">
        <v>111111</v>
      </c>
      <c r="CV92">
        <v>136.5</v>
      </c>
      <c r="CW92">
        <v>22400000</v>
      </c>
      <c r="CX92">
        <v>0</v>
      </c>
      <c r="CY92">
        <v>15</v>
      </c>
      <c r="CZ92">
        <v>15</v>
      </c>
      <c r="DA92">
        <v>84.848484848484844</v>
      </c>
      <c r="DB92">
        <v>164102.56410256409</v>
      </c>
      <c r="DD92" t="s">
        <v>854</v>
      </c>
      <c r="DE92">
        <v>532</v>
      </c>
    </row>
    <row r="93" spans="1:109">
      <c r="A93">
        <v>533</v>
      </c>
      <c r="B93" t="s">
        <v>855</v>
      </c>
      <c r="C93" t="s">
        <v>42</v>
      </c>
      <c r="D93" t="s">
        <v>43</v>
      </c>
      <c r="E93" t="s">
        <v>43</v>
      </c>
      <c r="H93">
        <v>7</v>
      </c>
      <c r="I93" t="s">
        <v>271</v>
      </c>
      <c r="J93">
        <v>12</v>
      </c>
      <c r="K93">
        <v>0.1</v>
      </c>
      <c r="L93">
        <v>3.3333333333333335</v>
      </c>
      <c r="M93">
        <v>100</v>
      </c>
      <c r="N93">
        <v>42411</v>
      </c>
      <c r="O93" t="s">
        <v>206</v>
      </c>
      <c r="P93">
        <v>0</v>
      </c>
      <c r="Q93">
        <v>0</v>
      </c>
      <c r="R93">
        <v>0</v>
      </c>
      <c r="S93">
        <v>0</v>
      </c>
      <c r="T93">
        <v>0</v>
      </c>
      <c r="U93">
        <v>0</v>
      </c>
      <c r="V93">
        <v>0</v>
      </c>
      <c r="W93">
        <v>0</v>
      </c>
      <c r="X93">
        <v>0</v>
      </c>
      <c r="Y93">
        <v>0</v>
      </c>
      <c r="Z93">
        <v>0</v>
      </c>
      <c r="AA93">
        <v>0</v>
      </c>
      <c r="AB93">
        <v>0</v>
      </c>
      <c r="AC93">
        <v>0</v>
      </c>
      <c r="AD93">
        <v>667</v>
      </c>
      <c r="AE93">
        <v>200</v>
      </c>
      <c r="AF93">
        <v>12</v>
      </c>
      <c r="AG93">
        <v>8004</v>
      </c>
      <c r="AH93">
        <v>96048</v>
      </c>
      <c r="AI93">
        <v>800</v>
      </c>
      <c r="AJ93">
        <v>9604</v>
      </c>
      <c r="AK93">
        <v>1.5</v>
      </c>
      <c r="AL93">
        <v>0</v>
      </c>
      <c r="AM93">
        <v>0</v>
      </c>
      <c r="AN93">
        <v>0</v>
      </c>
      <c r="AO93">
        <v>0</v>
      </c>
      <c r="AP93">
        <v>0</v>
      </c>
      <c r="AQ93">
        <v>0</v>
      </c>
      <c r="AR93">
        <v>834</v>
      </c>
      <c r="AS93">
        <v>250</v>
      </c>
      <c r="AT93">
        <v>12</v>
      </c>
      <c r="AU93">
        <v>10008</v>
      </c>
      <c r="AV93">
        <v>120096</v>
      </c>
      <c r="AW93">
        <v>1000</v>
      </c>
      <c r="AX93">
        <v>12009</v>
      </c>
      <c r="AY93">
        <v>9</v>
      </c>
      <c r="AZ93">
        <v>6000000</v>
      </c>
      <c r="BA93">
        <v>0</v>
      </c>
      <c r="BB93">
        <v>10</v>
      </c>
      <c r="BC93">
        <v>0</v>
      </c>
      <c r="BD93">
        <v>25.279926059152675</v>
      </c>
      <c r="BE93">
        <v>666666</v>
      </c>
      <c r="BF93">
        <v>1000</v>
      </c>
      <c r="BG93">
        <v>300</v>
      </c>
      <c r="BH93">
        <v>12</v>
      </c>
      <c r="BI93">
        <v>12000</v>
      </c>
      <c r="BJ93">
        <v>144000</v>
      </c>
      <c r="BK93">
        <v>1200</v>
      </c>
      <c r="BL93">
        <v>14400</v>
      </c>
      <c r="BM93">
        <v>18</v>
      </c>
      <c r="BN93">
        <v>9000000</v>
      </c>
      <c r="BO93">
        <v>0</v>
      </c>
      <c r="BP93">
        <v>20</v>
      </c>
      <c r="BQ93">
        <v>0</v>
      </c>
      <c r="BR93">
        <v>31.875499999999999</v>
      </c>
      <c r="BS93">
        <v>500000</v>
      </c>
      <c r="BT93">
        <v>1334</v>
      </c>
      <c r="BU93">
        <v>400</v>
      </c>
      <c r="BV93">
        <v>12</v>
      </c>
      <c r="BW93">
        <v>16008</v>
      </c>
      <c r="BX93">
        <v>192096</v>
      </c>
      <c r="BY93">
        <v>1600</v>
      </c>
      <c r="BZ93">
        <v>19209</v>
      </c>
      <c r="CA93">
        <v>36</v>
      </c>
      <c r="CB93">
        <v>12000000</v>
      </c>
      <c r="CC93">
        <v>0</v>
      </c>
      <c r="CD93">
        <v>0</v>
      </c>
      <c r="CE93">
        <v>10</v>
      </c>
      <c r="CF93">
        <v>32.358820589705147</v>
      </c>
      <c r="CG93">
        <v>333333</v>
      </c>
      <c r="CH93">
        <v>2000</v>
      </c>
      <c r="CI93">
        <v>600</v>
      </c>
      <c r="CJ93">
        <v>12</v>
      </c>
      <c r="CK93">
        <v>24000</v>
      </c>
      <c r="CL93">
        <v>288000</v>
      </c>
      <c r="CM93">
        <v>2400</v>
      </c>
      <c r="CN93">
        <v>28800</v>
      </c>
      <c r="CO93">
        <v>72</v>
      </c>
      <c r="CP93">
        <v>15000000</v>
      </c>
      <c r="CQ93">
        <v>0</v>
      </c>
      <c r="CR93">
        <v>0</v>
      </c>
      <c r="CS93">
        <v>20</v>
      </c>
      <c r="CT93">
        <v>28.042666666666666</v>
      </c>
      <c r="CU93">
        <v>208333</v>
      </c>
      <c r="CV93">
        <v>136.5</v>
      </c>
      <c r="CW93">
        <v>42000000</v>
      </c>
      <c r="CX93">
        <v>0</v>
      </c>
      <c r="CY93">
        <v>30</v>
      </c>
      <c r="CZ93">
        <v>30</v>
      </c>
      <c r="DA93">
        <v>72.916666666666671</v>
      </c>
      <c r="DB93">
        <v>307692.30769230769</v>
      </c>
      <c r="DD93" t="s">
        <v>855</v>
      </c>
      <c r="DE93">
        <v>533</v>
      </c>
    </row>
    <row r="94" spans="1:109">
      <c r="A94">
        <v>534</v>
      </c>
      <c r="B94" t="s">
        <v>856</v>
      </c>
      <c r="C94" t="s">
        <v>48</v>
      </c>
      <c r="G94" t="s">
        <v>43</v>
      </c>
      <c r="H94">
        <v>7</v>
      </c>
      <c r="I94" t="s">
        <v>271</v>
      </c>
      <c r="J94">
        <v>12</v>
      </c>
      <c r="K94">
        <v>2.5000000000000001E-2</v>
      </c>
      <c r="L94">
        <v>5.75</v>
      </c>
      <c r="M94">
        <v>100</v>
      </c>
      <c r="N94">
        <v>42411</v>
      </c>
      <c r="O94" t="s">
        <v>206</v>
      </c>
      <c r="P94">
        <v>0</v>
      </c>
      <c r="Q94">
        <v>0</v>
      </c>
      <c r="R94">
        <v>0</v>
      </c>
      <c r="S94">
        <v>0</v>
      </c>
      <c r="T94">
        <v>0</v>
      </c>
      <c r="U94">
        <v>0</v>
      </c>
      <c r="V94">
        <v>0</v>
      </c>
      <c r="W94">
        <v>0</v>
      </c>
      <c r="X94">
        <v>0</v>
      </c>
      <c r="Y94">
        <v>0</v>
      </c>
      <c r="Z94">
        <v>0</v>
      </c>
      <c r="AA94">
        <v>0</v>
      </c>
      <c r="AB94">
        <v>0</v>
      </c>
      <c r="AC94">
        <v>0</v>
      </c>
      <c r="AD94">
        <v>384</v>
      </c>
      <c r="AE94">
        <v>67</v>
      </c>
      <c r="AF94">
        <v>10</v>
      </c>
      <c r="AG94">
        <v>3840</v>
      </c>
      <c r="AH94">
        <v>46080</v>
      </c>
      <c r="AI94">
        <v>96</v>
      </c>
      <c r="AJ94">
        <v>1152</v>
      </c>
      <c r="AK94">
        <v>1.5</v>
      </c>
      <c r="AL94">
        <v>0</v>
      </c>
      <c r="AM94">
        <v>0</v>
      </c>
      <c r="AN94">
        <v>0</v>
      </c>
      <c r="AO94">
        <v>0</v>
      </c>
      <c r="AP94">
        <v>0</v>
      </c>
      <c r="AQ94">
        <v>0</v>
      </c>
      <c r="AR94">
        <v>480</v>
      </c>
      <c r="AS94">
        <v>84</v>
      </c>
      <c r="AT94">
        <v>10</v>
      </c>
      <c r="AU94">
        <v>4800</v>
      </c>
      <c r="AV94">
        <v>57600</v>
      </c>
      <c r="AW94">
        <v>120</v>
      </c>
      <c r="AX94">
        <v>1440</v>
      </c>
      <c r="AY94">
        <v>9</v>
      </c>
      <c r="AZ94">
        <v>3200000</v>
      </c>
      <c r="BA94">
        <v>0</v>
      </c>
      <c r="BB94">
        <v>5</v>
      </c>
      <c r="BC94">
        <v>0</v>
      </c>
      <c r="BD94">
        <v>28.077777777777779</v>
      </c>
      <c r="BE94">
        <v>355555</v>
      </c>
      <c r="BF94">
        <v>575</v>
      </c>
      <c r="BG94">
        <v>100</v>
      </c>
      <c r="BH94">
        <v>10</v>
      </c>
      <c r="BI94">
        <v>5750</v>
      </c>
      <c r="BJ94">
        <v>69000</v>
      </c>
      <c r="BK94">
        <v>143</v>
      </c>
      <c r="BL94">
        <v>1725</v>
      </c>
      <c r="BM94">
        <v>18</v>
      </c>
      <c r="BN94">
        <v>4800000</v>
      </c>
      <c r="BO94">
        <v>0</v>
      </c>
      <c r="BP94">
        <v>10</v>
      </c>
      <c r="BQ94">
        <v>0</v>
      </c>
      <c r="BR94">
        <v>35.408695652173911</v>
      </c>
      <c r="BS94">
        <v>266666</v>
      </c>
      <c r="BT94">
        <v>767</v>
      </c>
      <c r="BU94">
        <v>134</v>
      </c>
      <c r="BV94">
        <v>10</v>
      </c>
      <c r="BW94">
        <v>7670</v>
      </c>
      <c r="BX94">
        <v>92040</v>
      </c>
      <c r="BY94">
        <v>191</v>
      </c>
      <c r="BZ94">
        <v>2301</v>
      </c>
      <c r="CA94">
        <v>36</v>
      </c>
      <c r="CB94">
        <v>6400000</v>
      </c>
      <c r="CC94">
        <v>0</v>
      </c>
      <c r="CD94">
        <v>0</v>
      </c>
      <c r="CE94">
        <v>5</v>
      </c>
      <c r="CF94">
        <v>35.892003476749238</v>
      </c>
      <c r="CG94">
        <v>177777</v>
      </c>
      <c r="CH94">
        <v>1150</v>
      </c>
      <c r="CI94">
        <v>200</v>
      </c>
      <c r="CJ94">
        <v>10</v>
      </c>
      <c r="CK94">
        <v>11500</v>
      </c>
      <c r="CL94">
        <v>138000</v>
      </c>
      <c r="CM94">
        <v>287</v>
      </c>
      <c r="CN94">
        <v>3450</v>
      </c>
      <c r="CO94">
        <v>72</v>
      </c>
      <c r="CP94">
        <v>8000000</v>
      </c>
      <c r="CQ94">
        <v>0</v>
      </c>
      <c r="CR94">
        <v>0</v>
      </c>
      <c r="CS94">
        <v>10</v>
      </c>
      <c r="CT94">
        <v>30.986376811594202</v>
      </c>
      <c r="CU94">
        <v>111111</v>
      </c>
      <c r="CV94">
        <v>136.5</v>
      </c>
      <c r="CW94">
        <v>22400000</v>
      </c>
      <c r="CX94">
        <v>0</v>
      </c>
      <c r="CY94">
        <v>15</v>
      </c>
      <c r="CZ94">
        <v>15</v>
      </c>
      <c r="DA94">
        <v>81.159420289855078</v>
      </c>
      <c r="DB94">
        <v>164102.56410256409</v>
      </c>
      <c r="DD94" t="s">
        <v>856</v>
      </c>
      <c r="DE94">
        <v>534</v>
      </c>
    </row>
    <row r="95" spans="1:109">
      <c r="A95">
        <v>535</v>
      </c>
      <c r="B95" t="s">
        <v>805</v>
      </c>
      <c r="C95" t="s">
        <v>52</v>
      </c>
      <c r="E95" t="s">
        <v>43</v>
      </c>
      <c r="H95">
        <v>7</v>
      </c>
      <c r="I95" t="s">
        <v>271</v>
      </c>
      <c r="J95">
        <v>12</v>
      </c>
      <c r="K95">
        <v>0.15</v>
      </c>
      <c r="L95">
        <v>3.5</v>
      </c>
      <c r="M95">
        <v>100</v>
      </c>
      <c r="N95">
        <v>42411</v>
      </c>
      <c r="O95" t="s">
        <v>206</v>
      </c>
      <c r="P95">
        <v>0</v>
      </c>
      <c r="Q95">
        <v>0</v>
      </c>
      <c r="R95">
        <v>0</v>
      </c>
      <c r="S95">
        <v>0</v>
      </c>
      <c r="T95">
        <v>0</v>
      </c>
      <c r="U95">
        <v>0</v>
      </c>
      <c r="V95">
        <v>0</v>
      </c>
      <c r="W95">
        <v>0</v>
      </c>
      <c r="X95">
        <v>0</v>
      </c>
      <c r="Y95">
        <v>0</v>
      </c>
      <c r="Z95">
        <v>0</v>
      </c>
      <c r="AA95">
        <v>0</v>
      </c>
      <c r="AB95">
        <v>0</v>
      </c>
      <c r="AC95">
        <v>0</v>
      </c>
      <c r="AD95">
        <v>350</v>
      </c>
      <c r="AE95">
        <v>100</v>
      </c>
      <c r="AF95">
        <v>12</v>
      </c>
      <c r="AG95">
        <v>4200</v>
      </c>
      <c r="AH95">
        <v>50400</v>
      </c>
      <c r="AI95">
        <v>630</v>
      </c>
      <c r="AJ95">
        <v>7560</v>
      </c>
      <c r="AK95">
        <v>1.5</v>
      </c>
      <c r="AL95">
        <v>0</v>
      </c>
      <c r="AM95">
        <v>0</v>
      </c>
      <c r="AN95">
        <v>0</v>
      </c>
      <c r="AO95">
        <v>0</v>
      </c>
      <c r="AP95">
        <v>0</v>
      </c>
      <c r="AQ95">
        <v>0</v>
      </c>
      <c r="AR95">
        <v>438</v>
      </c>
      <c r="AS95">
        <v>125</v>
      </c>
      <c r="AT95">
        <v>12</v>
      </c>
      <c r="AU95">
        <v>5256</v>
      </c>
      <c r="AV95">
        <v>63072</v>
      </c>
      <c r="AW95">
        <v>788</v>
      </c>
      <c r="AX95">
        <v>9460</v>
      </c>
      <c r="AY95">
        <v>9</v>
      </c>
      <c r="AZ95">
        <v>3600000</v>
      </c>
      <c r="BA95">
        <v>0</v>
      </c>
      <c r="BB95">
        <v>5</v>
      </c>
      <c r="BC95">
        <v>0</v>
      </c>
      <c r="BD95">
        <v>28.838470319634705</v>
      </c>
      <c r="BE95">
        <v>400000</v>
      </c>
      <c r="BF95">
        <v>525</v>
      </c>
      <c r="BG95">
        <v>150</v>
      </c>
      <c r="BH95">
        <v>12</v>
      </c>
      <c r="BI95">
        <v>6300</v>
      </c>
      <c r="BJ95">
        <v>75600</v>
      </c>
      <c r="BK95">
        <v>945</v>
      </c>
      <c r="BL95">
        <v>11340</v>
      </c>
      <c r="BM95">
        <v>18</v>
      </c>
      <c r="BN95">
        <v>5400000</v>
      </c>
      <c r="BO95">
        <v>0</v>
      </c>
      <c r="BP95">
        <v>10</v>
      </c>
      <c r="BQ95">
        <v>0</v>
      </c>
      <c r="BR95">
        <v>36.339999999999996</v>
      </c>
      <c r="BS95">
        <v>300000</v>
      </c>
      <c r="BT95">
        <v>700</v>
      </c>
      <c r="BU95">
        <v>200</v>
      </c>
      <c r="BV95">
        <v>12</v>
      </c>
      <c r="BW95">
        <v>8400</v>
      </c>
      <c r="BX95">
        <v>100800</v>
      </c>
      <c r="BY95">
        <v>1260</v>
      </c>
      <c r="BZ95">
        <v>15120</v>
      </c>
      <c r="CA95">
        <v>36</v>
      </c>
      <c r="CB95">
        <v>7200000</v>
      </c>
      <c r="CC95">
        <v>0</v>
      </c>
      <c r="CD95">
        <v>0</v>
      </c>
      <c r="CE95">
        <v>5</v>
      </c>
      <c r="CF95">
        <v>36.839285714285715</v>
      </c>
      <c r="CG95">
        <v>200000</v>
      </c>
      <c r="CH95">
        <v>1050</v>
      </c>
      <c r="CI95">
        <v>300</v>
      </c>
      <c r="CJ95">
        <v>12</v>
      </c>
      <c r="CK95">
        <v>12600</v>
      </c>
      <c r="CL95">
        <v>151200</v>
      </c>
      <c r="CM95">
        <v>1890</v>
      </c>
      <c r="CN95">
        <v>22680</v>
      </c>
      <c r="CO95">
        <v>72</v>
      </c>
      <c r="CP95">
        <v>9000000</v>
      </c>
      <c r="CQ95">
        <v>0</v>
      </c>
      <c r="CR95">
        <v>0</v>
      </c>
      <c r="CS95">
        <v>10</v>
      </c>
      <c r="CT95">
        <v>31.761904761904763</v>
      </c>
      <c r="CU95">
        <v>125000</v>
      </c>
      <c r="CV95">
        <v>136.5</v>
      </c>
      <c r="CW95">
        <v>25200000</v>
      </c>
      <c r="CX95">
        <v>0</v>
      </c>
      <c r="CY95">
        <v>15</v>
      </c>
      <c r="CZ95">
        <v>15</v>
      </c>
      <c r="DA95">
        <v>83.333333333333329</v>
      </c>
      <c r="DB95">
        <v>184615.38461538462</v>
      </c>
      <c r="DD95" t="s">
        <v>805</v>
      </c>
      <c r="DE95">
        <v>535</v>
      </c>
    </row>
    <row r="96" spans="1:109">
      <c r="A96">
        <v>6001</v>
      </c>
      <c r="B96" t="s">
        <v>777</v>
      </c>
      <c r="C96" t="s">
        <v>48</v>
      </c>
      <c r="E96" t="s">
        <v>43</v>
      </c>
      <c r="H96">
        <v>6</v>
      </c>
      <c r="I96" t="s">
        <v>270</v>
      </c>
      <c r="J96">
        <v>4.5</v>
      </c>
      <c r="K96">
        <v>2.5000000000000001E-2</v>
      </c>
      <c r="L96">
        <v>4.5132743362831862</v>
      </c>
      <c r="M96">
        <v>30</v>
      </c>
      <c r="N96">
        <v>42224</v>
      </c>
      <c r="O96" t="s">
        <v>98</v>
      </c>
      <c r="P96">
        <v>0</v>
      </c>
      <c r="Q96">
        <v>0</v>
      </c>
      <c r="R96">
        <v>0</v>
      </c>
      <c r="S96">
        <v>0</v>
      </c>
      <c r="T96">
        <v>0</v>
      </c>
      <c r="U96">
        <v>0</v>
      </c>
      <c r="V96">
        <v>0</v>
      </c>
      <c r="W96">
        <v>0</v>
      </c>
      <c r="X96">
        <v>0</v>
      </c>
      <c r="Y96">
        <v>0</v>
      </c>
      <c r="Z96">
        <v>0</v>
      </c>
      <c r="AA96">
        <v>0</v>
      </c>
      <c r="AB96">
        <v>0</v>
      </c>
      <c r="AC96">
        <v>0</v>
      </c>
      <c r="AD96">
        <v>510</v>
      </c>
      <c r="AE96">
        <v>113</v>
      </c>
      <c r="AF96">
        <v>5</v>
      </c>
      <c r="AG96">
        <v>2550</v>
      </c>
      <c r="AH96">
        <v>11475</v>
      </c>
      <c r="AI96">
        <v>63</v>
      </c>
      <c r="AJ96">
        <v>286</v>
      </c>
      <c r="AK96">
        <v>132</v>
      </c>
      <c r="AL96">
        <v>0</v>
      </c>
      <c r="AM96">
        <v>0</v>
      </c>
      <c r="AN96">
        <v>0</v>
      </c>
      <c r="AO96">
        <v>0</v>
      </c>
      <c r="AP96">
        <v>0</v>
      </c>
      <c r="AQ96">
        <v>0</v>
      </c>
      <c r="AR96">
        <v>600</v>
      </c>
      <c r="AS96">
        <v>169</v>
      </c>
      <c r="AT96">
        <v>5</v>
      </c>
      <c r="AU96">
        <v>3000</v>
      </c>
      <c r="AV96">
        <v>13500</v>
      </c>
      <c r="AW96">
        <v>75</v>
      </c>
      <c r="AX96">
        <v>337</v>
      </c>
      <c r="AY96">
        <v>33</v>
      </c>
      <c r="AZ96">
        <v>3000000</v>
      </c>
      <c r="BA96">
        <v>0</v>
      </c>
      <c r="BB96">
        <v>1</v>
      </c>
      <c r="BC96">
        <v>0</v>
      </c>
      <c r="BD96">
        <v>42.835416666666667</v>
      </c>
      <c r="BE96">
        <v>90909</v>
      </c>
      <c r="BF96">
        <v>892</v>
      </c>
      <c r="BG96">
        <v>197</v>
      </c>
      <c r="BH96">
        <v>5</v>
      </c>
      <c r="BI96">
        <v>4460</v>
      </c>
      <c r="BJ96">
        <v>20070</v>
      </c>
      <c r="BK96">
        <v>111</v>
      </c>
      <c r="BL96">
        <v>501</v>
      </c>
      <c r="BM96">
        <v>66</v>
      </c>
      <c r="BN96">
        <v>4500000</v>
      </c>
      <c r="BO96">
        <v>0</v>
      </c>
      <c r="BP96">
        <v>2</v>
      </c>
      <c r="BQ96">
        <v>0</v>
      </c>
      <c r="BR96">
        <v>43.890134529147986</v>
      </c>
      <c r="BS96">
        <v>68181</v>
      </c>
      <c r="BT96">
        <v>969</v>
      </c>
      <c r="BU96">
        <v>214</v>
      </c>
      <c r="BV96">
        <v>5</v>
      </c>
      <c r="BW96">
        <v>4845</v>
      </c>
      <c r="BX96">
        <v>21802</v>
      </c>
      <c r="BY96">
        <v>121</v>
      </c>
      <c r="BZ96">
        <v>545</v>
      </c>
      <c r="CA96">
        <v>99</v>
      </c>
      <c r="CB96">
        <v>6000000</v>
      </c>
      <c r="CC96">
        <v>0</v>
      </c>
      <c r="CD96">
        <v>3</v>
      </c>
      <c r="CE96">
        <v>0</v>
      </c>
      <c r="CF96">
        <v>55.396800825593395</v>
      </c>
      <c r="CG96">
        <v>60606</v>
      </c>
      <c r="CH96">
        <v>1020</v>
      </c>
      <c r="CI96">
        <v>226</v>
      </c>
      <c r="CJ96">
        <v>5</v>
      </c>
      <c r="CK96">
        <v>5100</v>
      </c>
      <c r="CL96">
        <v>22950</v>
      </c>
      <c r="CM96">
        <v>127</v>
      </c>
      <c r="CN96">
        <v>573</v>
      </c>
      <c r="CO96">
        <v>132</v>
      </c>
      <c r="CP96">
        <v>7500000</v>
      </c>
      <c r="CQ96">
        <v>0</v>
      </c>
      <c r="CR96">
        <v>5</v>
      </c>
      <c r="CS96">
        <v>0</v>
      </c>
      <c r="CT96">
        <v>66.499509803921569</v>
      </c>
      <c r="CU96">
        <v>56818</v>
      </c>
      <c r="CV96">
        <v>462</v>
      </c>
      <c r="CW96">
        <v>21000000</v>
      </c>
      <c r="CX96">
        <v>0</v>
      </c>
      <c r="CY96">
        <v>11</v>
      </c>
      <c r="CZ96">
        <v>0</v>
      </c>
      <c r="DA96">
        <v>171.56862745098042</v>
      </c>
      <c r="DB96">
        <v>45454.545454545456</v>
      </c>
      <c r="DD96" t="s">
        <v>777</v>
      </c>
      <c r="DE96">
        <v>6001</v>
      </c>
    </row>
    <row r="97" spans="1:109">
      <c r="A97">
        <v>6002</v>
      </c>
      <c r="B97" t="s">
        <v>757</v>
      </c>
      <c r="C97" t="s">
        <v>54</v>
      </c>
      <c r="E97" t="s">
        <v>43</v>
      </c>
      <c r="F97" t="s">
        <v>43</v>
      </c>
      <c r="H97">
        <v>6</v>
      </c>
      <c r="I97" t="s">
        <v>270</v>
      </c>
      <c r="J97">
        <v>5</v>
      </c>
      <c r="K97">
        <v>7.4999999999999997E-2</v>
      </c>
      <c r="L97">
        <v>3.6809815950920246</v>
      </c>
      <c r="M97">
        <v>30</v>
      </c>
      <c r="N97">
        <v>42238</v>
      </c>
      <c r="O97" t="s">
        <v>98</v>
      </c>
      <c r="P97">
        <v>0</v>
      </c>
      <c r="Q97">
        <v>0</v>
      </c>
      <c r="R97">
        <v>0</v>
      </c>
      <c r="S97">
        <v>0</v>
      </c>
      <c r="T97">
        <v>0</v>
      </c>
      <c r="U97">
        <v>0</v>
      </c>
      <c r="V97">
        <v>0</v>
      </c>
      <c r="W97">
        <v>0</v>
      </c>
      <c r="X97">
        <v>0</v>
      </c>
      <c r="Y97">
        <v>0</v>
      </c>
      <c r="Z97">
        <v>0</v>
      </c>
      <c r="AA97">
        <v>0</v>
      </c>
      <c r="AB97">
        <v>0</v>
      </c>
      <c r="AC97">
        <v>0</v>
      </c>
      <c r="AD97">
        <v>600</v>
      </c>
      <c r="AE97">
        <v>163</v>
      </c>
      <c r="AF97">
        <v>6</v>
      </c>
      <c r="AG97">
        <v>3600</v>
      </c>
      <c r="AH97">
        <v>18000</v>
      </c>
      <c r="AI97">
        <v>270</v>
      </c>
      <c r="AJ97">
        <v>1350</v>
      </c>
      <c r="AK97">
        <v>6</v>
      </c>
      <c r="AL97">
        <v>0</v>
      </c>
      <c r="AM97">
        <v>0</v>
      </c>
      <c r="AN97">
        <v>0</v>
      </c>
      <c r="AO97">
        <v>0</v>
      </c>
      <c r="AP97">
        <v>0</v>
      </c>
      <c r="AQ97">
        <v>0</v>
      </c>
      <c r="AR97">
        <v>900</v>
      </c>
      <c r="AS97">
        <v>244</v>
      </c>
      <c r="AT97">
        <v>6</v>
      </c>
      <c r="AU97">
        <v>5400</v>
      </c>
      <c r="AV97">
        <v>27000</v>
      </c>
      <c r="AW97">
        <v>405</v>
      </c>
      <c r="AX97">
        <v>2025</v>
      </c>
      <c r="AY97">
        <v>18</v>
      </c>
      <c r="AZ97">
        <v>2000000</v>
      </c>
      <c r="BA97">
        <v>0</v>
      </c>
      <c r="BB97">
        <v>1</v>
      </c>
      <c r="BC97">
        <v>0</v>
      </c>
      <c r="BD97">
        <v>15.9320987654321</v>
      </c>
      <c r="BE97">
        <v>111111</v>
      </c>
      <c r="BF97">
        <v>1048</v>
      </c>
      <c r="BG97">
        <v>284</v>
      </c>
      <c r="BH97">
        <v>7</v>
      </c>
      <c r="BI97">
        <v>7336</v>
      </c>
      <c r="BJ97">
        <v>36680</v>
      </c>
      <c r="BK97">
        <v>550</v>
      </c>
      <c r="BL97">
        <v>2751</v>
      </c>
      <c r="BM97">
        <v>48</v>
      </c>
      <c r="BN97">
        <v>3000000</v>
      </c>
      <c r="BO97">
        <v>0</v>
      </c>
      <c r="BP97">
        <v>3</v>
      </c>
      <c r="BQ97">
        <v>0</v>
      </c>
      <c r="BR97">
        <v>18.511450381679388</v>
      </c>
      <c r="BS97">
        <v>62500</v>
      </c>
      <c r="BT97">
        <v>1140</v>
      </c>
      <c r="BU97">
        <v>309</v>
      </c>
      <c r="BV97">
        <v>7</v>
      </c>
      <c r="BW97">
        <v>7980</v>
      </c>
      <c r="BX97">
        <v>39900</v>
      </c>
      <c r="BY97">
        <v>598</v>
      </c>
      <c r="BZ97">
        <v>2992</v>
      </c>
      <c r="CA97">
        <v>96</v>
      </c>
      <c r="CB97">
        <v>4000000</v>
      </c>
      <c r="CC97">
        <v>0</v>
      </c>
      <c r="CD97">
        <v>5</v>
      </c>
      <c r="CE97">
        <v>0</v>
      </c>
      <c r="CF97">
        <v>24.562740183792815</v>
      </c>
      <c r="CG97">
        <v>41666</v>
      </c>
      <c r="CH97">
        <v>1200</v>
      </c>
      <c r="CI97">
        <v>326</v>
      </c>
      <c r="CJ97">
        <v>7</v>
      </c>
      <c r="CK97">
        <v>8400</v>
      </c>
      <c r="CL97">
        <v>42000</v>
      </c>
      <c r="CM97">
        <v>630</v>
      </c>
      <c r="CN97">
        <v>3150</v>
      </c>
      <c r="CO97">
        <v>168</v>
      </c>
      <c r="CP97">
        <v>5000000</v>
      </c>
      <c r="CQ97">
        <v>0</v>
      </c>
      <c r="CR97">
        <v>10</v>
      </c>
      <c r="CS97">
        <v>0</v>
      </c>
      <c r="CT97">
        <v>31.451587301587299</v>
      </c>
      <c r="CU97">
        <v>29761</v>
      </c>
      <c r="CV97">
        <v>336</v>
      </c>
      <c r="CW97">
        <v>14000000</v>
      </c>
      <c r="CX97">
        <v>0</v>
      </c>
      <c r="CY97">
        <v>19</v>
      </c>
      <c r="CZ97">
        <v>0</v>
      </c>
      <c r="DA97">
        <v>69.444444444444443</v>
      </c>
      <c r="DB97">
        <v>41666.666666666664</v>
      </c>
      <c r="DD97" t="s">
        <v>757</v>
      </c>
      <c r="DE97">
        <v>6002</v>
      </c>
    </row>
    <row r="98" spans="1:109">
      <c r="A98">
        <v>6003</v>
      </c>
      <c r="B98" t="s">
        <v>857</v>
      </c>
      <c r="C98" t="s">
        <v>42</v>
      </c>
      <c r="E98" t="s">
        <v>43</v>
      </c>
      <c r="F98" t="s">
        <v>43</v>
      </c>
      <c r="H98">
        <v>6</v>
      </c>
      <c r="I98" t="s">
        <v>270</v>
      </c>
      <c r="J98">
        <v>7</v>
      </c>
      <c r="K98">
        <v>0.1</v>
      </c>
      <c r="L98">
        <v>1.3157894736842106</v>
      </c>
      <c r="M98">
        <v>30</v>
      </c>
      <c r="N98">
        <v>42245</v>
      </c>
      <c r="O98" t="s">
        <v>98</v>
      </c>
      <c r="P98">
        <v>0</v>
      </c>
      <c r="Q98">
        <v>0</v>
      </c>
      <c r="R98">
        <v>0</v>
      </c>
      <c r="S98">
        <v>0</v>
      </c>
      <c r="T98">
        <v>0</v>
      </c>
      <c r="U98">
        <v>0</v>
      </c>
      <c r="V98">
        <v>0</v>
      </c>
      <c r="W98">
        <v>0</v>
      </c>
      <c r="X98">
        <v>0</v>
      </c>
      <c r="Y98">
        <v>0</v>
      </c>
      <c r="Z98">
        <v>0</v>
      </c>
      <c r="AA98">
        <v>0</v>
      </c>
      <c r="AB98">
        <v>0</v>
      </c>
      <c r="AC98">
        <v>0</v>
      </c>
      <c r="AD98">
        <v>500</v>
      </c>
      <c r="AE98">
        <v>380</v>
      </c>
      <c r="AF98">
        <v>6</v>
      </c>
      <c r="AG98">
        <v>3000</v>
      </c>
      <c r="AH98">
        <v>21000</v>
      </c>
      <c r="AI98">
        <v>300</v>
      </c>
      <c r="AJ98">
        <v>2100</v>
      </c>
      <c r="AK98">
        <v>6</v>
      </c>
      <c r="AL98">
        <v>0</v>
      </c>
      <c r="AM98">
        <v>0</v>
      </c>
      <c r="AN98">
        <v>0</v>
      </c>
      <c r="AO98">
        <v>0</v>
      </c>
      <c r="AP98">
        <v>0</v>
      </c>
      <c r="AQ98">
        <v>0</v>
      </c>
      <c r="AR98">
        <v>750</v>
      </c>
      <c r="AS98">
        <v>570</v>
      </c>
      <c r="AT98">
        <v>6</v>
      </c>
      <c r="AU98">
        <v>4500</v>
      </c>
      <c r="AV98">
        <v>31500</v>
      </c>
      <c r="AW98">
        <v>450</v>
      </c>
      <c r="AX98">
        <v>3150</v>
      </c>
      <c r="AY98">
        <v>20</v>
      </c>
      <c r="AZ98">
        <v>2100000</v>
      </c>
      <c r="BA98">
        <v>0</v>
      </c>
      <c r="BB98">
        <v>1</v>
      </c>
      <c r="BC98">
        <v>0</v>
      </c>
      <c r="BD98">
        <v>20</v>
      </c>
      <c r="BE98">
        <v>105000</v>
      </c>
      <c r="BF98">
        <v>873</v>
      </c>
      <c r="BG98">
        <v>663</v>
      </c>
      <c r="BH98">
        <v>6</v>
      </c>
      <c r="BI98">
        <v>5238</v>
      </c>
      <c r="BJ98">
        <v>36666</v>
      </c>
      <c r="BK98">
        <v>523</v>
      </c>
      <c r="BL98">
        <v>3666</v>
      </c>
      <c r="BM98">
        <v>50</v>
      </c>
      <c r="BN98">
        <v>3100000</v>
      </c>
      <c r="BO98">
        <v>0</v>
      </c>
      <c r="BP98">
        <v>3</v>
      </c>
      <c r="BQ98">
        <v>0</v>
      </c>
      <c r="BR98">
        <v>26.449344533536973</v>
      </c>
      <c r="BS98">
        <v>62000</v>
      </c>
      <c r="BT98">
        <v>950</v>
      </c>
      <c r="BU98">
        <v>722</v>
      </c>
      <c r="BV98">
        <v>6</v>
      </c>
      <c r="BW98">
        <v>5700</v>
      </c>
      <c r="BX98">
        <v>39900</v>
      </c>
      <c r="BY98">
        <v>570</v>
      </c>
      <c r="BZ98">
        <v>3990</v>
      </c>
      <c r="CA98">
        <v>98</v>
      </c>
      <c r="CB98">
        <v>4100000</v>
      </c>
      <c r="CC98">
        <v>0</v>
      </c>
      <c r="CD98">
        <v>5</v>
      </c>
      <c r="CE98">
        <v>0</v>
      </c>
      <c r="CF98">
        <v>33.723128654970758</v>
      </c>
      <c r="CG98">
        <v>41836</v>
      </c>
      <c r="CH98">
        <v>1000</v>
      </c>
      <c r="CI98">
        <v>760</v>
      </c>
      <c r="CJ98">
        <v>6</v>
      </c>
      <c r="CK98">
        <v>6000</v>
      </c>
      <c r="CL98">
        <v>42000</v>
      </c>
      <c r="CM98">
        <v>600</v>
      </c>
      <c r="CN98">
        <v>4200</v>
      </c>
      <c r="CO98">
        <v>170</v>
      </c>
      <c r="CP98">
        <v>5100000</v>
      </c>
      <c r="CQ98">
        <v>0</v>
      </c>
      <c r="CR98">
        <v>10</v>
      </c>
      <c r="CS98">
        <v>0</v>
      </c>
      <c r="CT98">
        <v>42.145833333333336</v>
      </c>
      <c r="CU98">
        <v>30000</v>
      </c>
      <c r="CV98">
        <v>344</v>
      </c>
      <c r="CW98">
        <v>14400000</v>
      </c>
      <c r="CX98">
        <v>0</v>
      </c>
      <c r="CY98">
        <v>19</v>
      </c>
      <c r="CZ98">
        <v>0</v>
      </c>
      <c r="DA98">
        <v>100</v>
      </c>
      <c r="DB98">
        <v>41860.465116279069</v>
      </c>
      <c r="DD98" t="s">
        <v>857</v>
      </c>
      <c r="DE98">
        <v>6003</v>
      </c>
    </row>
    <row r="99" spans="1:109">
      <c r="A99">
        <v>6004</v>
      </c>
      <c r="B99" t="s">
        <v>796</v>
      </c>
      <c r="C99" t="s">
        <v>52</v>
      </c>
      <c r="E99" t="s">
        <v>43</v>
      </c>
      <c r="H99">
        <v>6</v>
      </c>
      <c r="I99" t="s">
        <v>270</v>
      </c>
      <c r="J99">
        <v>6</v>
      </c>
      <c r="K99">
        <v>0.15</v>
      </c>
      <c r="L99">
        <v>1.3333333333333333</v>
      </c>
      <c r="M99">
        <v>30</v>
      </c>
      <c r="N99">
        <v>42252</v>
      </c>
      <c r="O99" t="s">
        <v>98</v>
      </c>
      <c r="P99">
        <v>0</v>
      </c>
      <c r="Q99">
        <v>0</v>
      </c>
      <c r="R99">
        <v>0</v>
      </c>
      <c r="S99">
        <v>0</v>
      </c>
      <c r="T99">
        <v>0</v>
      </c>
      <c r="U99">
        <v>0</v>
      </c>
      <c r="V99">
        <v>0</v>
      </c>
      <c r="W99">
        <v>0</v>
      </c>
      <c r="X99">
        <v>0</v>
      </c>
      <c r="Y99">
        <v>0</v>
      </c>
      <c r="Z99">
        <v>0</v>
      </c>
      <c r="AA99">
        <v>0</v>
      </c>
      <c r="AB99">
        <v>0</v>
      </c>
      <c r="AC99">
        <v>0</v>
      </c>
      <c r="AD99">
        <v>400</v>
      </c>
      <c r="AE99">
        <v>300</v>
      </c>
      <c r="AF99">
        <v>9</v>
      </c>
      <c r="AG99">
        <v>3600</v>
      </c>
      <c r="AH99">
        <v>21600</v>
      </c>
      <c r="AI99">
        <v>540</v>
      </c>
      <c r="AJ99">
        <v>3240</v>
      </c>
      <c r="AK99">
        <v>6</v>
      </c>
      <c r="AL99">
        <v>0</v>
      </c>
      <c r="AM99">
        <v>0</v>
      </c>
      <c r="AN99">
        <v>0</v>
      </c>
      <c r="AO99">
        <v>0</v>
      </c>
      <c r="AP99">
        <v>0</v>
      </c>
      <c r="AQ99">
        <v>0</v>
      </c>
      <c r="AR99">
        <v>600</v>
      </c>
      <c r="AS99">
        <v>450</v>
      </c>
      <c r="AT99">
        <v>9</v>
      </c>
      <c r="AU99">
        <v>5400</v>
      </c>
      <c r="AV99">
        <v>32400</v>
      </c>
      <c r="AW99">
        <v>810</v>
      </c>
      <c r="AX99">
        <v>4860</v>
      </c>
      <c r="AY99">
        <v>22</v>
      </c>
      <c r="AZ99">
        <v>2200000</v>
      </c>
      <c r="BA99">
        <v>0</v>
      </c>
      <c r="BB99">
        <v>1</v>
      </c>
      <c r="BC99">
        <v>0</v>
      </c>
      <c r="BD99">
        <v>17.586419753086421</v>
      </c>
      <c r="BE99">
        <v>100000</v>
      </c>
      <c r="BF99">
        <v>697</v>
      </c>
      <c r="BG99">
        <v>523</v>
      </c>
      <c r="BH99">
        <v>9</v>
      </c>
      <c r="BI99">
        <v>6273</v>
      </c>
      <c r="BJ99">
        <v>37638</v>
      </c>
      <c r="BK99">
        <v>940</v>
      </c>
      <c r="BL99">
        <v>5645</v>
      </c>
      <c r="BM99">
        <v>52</v>
      </c>
      <c r="BN99">
        <v>3200000</v>
      </c>
      <c r="BO99">
        <v>0</v>
      </c>
      <c r="BP99">
        <v>3</v>
      </c>
      <c r="BQ99">
        <v>0</v>
      </c>
      <c r="BR99">
        <v>23.120250810351241</v>
      </c>
      <c r="BS99">
        <v>61538</v>
      </c>
      <c r="BT99">
        <v>760</v>
      </c>
      <c r="BU99">
        <v>570</v>
      </c>
      <c r="BV99">
        <v>9</v>
      </c>
      <c r="BW99">
        <v>6840</v>
      </c>
      <c r="BX99">
        <v>41040</v>
      </c>
      <c r="BY99">
        <v>1026</v>
      </c>
      <c r="BZ99">
        <v>6156</v>
      </c>
      <c r="CA99">
        <v>100</v>
      </c>
      <c r="CB99">
        <v>4200000</v>
      </c>
      <c r="CC99">
        <v>0</v>
      </c>
      <c r="CD99">
        <v>5</v>
      </c>
      <c r="CE99">
        <v>0</v>
      </c>
      <c r="CF99">
        <v>29.406067251461987</v>
      </c>
      <c r="CG99">
        <v>42000</v>
      </c>
      <c r="CH99">
        <v>800</v>
      </c>
      <c r="CI99">
        <v>600</v>
      </c>
      <c r="CJ99">
        <v>9</v>
      </c>
      <c r="CK99">
        <v>7200</v>
      </c>
      <c r="CL99">
        <v>43200</v>
      </c>
      <c r="CM99">
        <v>1080</v>
      </c>
      <c r="CN99">
        <v>6480</v>
      </c>
      <c r="CO99">
        <v>172</v>
      </c>
      <c r="CP99">
        <v>5200000</v>
      </c>
      <c r="CQ99">
        <v>0</v>
      </c>
      <c r="CR99">
        <v>10</v>
      </c>
      <c r="CS99">
        <v>0</v>
      </c>
      <c r="CT99">
        <v>36.900925925925925</v>
      </c>
      <c r="CU99">
        <v>30232</v>
      </c>
      <c r="CV99">
        <v>352</v>
      </c>
      <c r="CW99">
        <v>14800000</v>
      </c>
      <c r="CX99">
        <v>0</v>
      </c>
      <c r="CY99">
        <v>19</v>
      </c>
      <c r="CZ99">
        <v>0</v>
      </c>
      <c r="DA99">
        <v>85.648148148148152</v>
      </c>
      <c r="DB99">
        <v>42045.454545454544</v>
      </c>
      <c r="DD99" t="s">
        <v>796</v>
      </c>
      <c r="DE99">
        <v>6004</v>
      </c>
    </row>
    <row r="100" spans="1:109">
      <c r="A100">
        <v>6005</v>
      </c>
      <c r="B100" t="s">
        <v>858</v>
      </c>
      <c r="C100" t="s">
        <v>77</v>
      </c>
      <c r="E100" t="s">
        <v>43</v>
      </c>
      <c r="H100">
        <v>6</v>
      </c>
      <c r="I100" t="s">
        <v>270</v>
      </c>
      <c r="J100">
        <v>7</v>
      </c>
      <c r="K100">
        <v>0.2</v>
      </c>
      <c r="L100">
        <v>1.4285714285714286</v>
      </c>
      <c r="M100">
        <v>30</v>
      </c>
      <c r="N100">
        <v>42259</v>
      </c>
      <c r="O100" t="s">
        <v>98</v>
      </c>
      <c r="P100">
        <v>0</v>
      </c>
      <c r="Q100">
        <v>0</v>
      </c>
      <c r="R100">
        <v>0</v>
      </c>
      <c r="S100">
        <v>0</v>
      </c>
      <c r="T100">
        <v>0</v>
      </c>
      <c r="U100">
        <v>0</v>
      </c>
      <c r="V100">
        <v>0</v>
      </c>
      <c r="W100">
        <v>0</v>
      </c>
      <c r="X100">
        <v>0</v>
      </c>
      <c r="Y100">
        <v>0</v>
      </c>
      <c r="Z100">
        <v>0</v>
      </c>
      <c r="AA100">
        <v>0</v>
      </c>
      <c r="AB100">
        <v>0</v>
      </c>
      <c r="AC100">
        <v>0</v>
      </c>
      <c r="AD100">
        <v>500</v>
      </c>
      <c r="AE100">
        <v>350</v>
      </c>
      <c r="AF100">
        <v>5</v>
      </c>
      <c r="AG100">
        <v>2500</v>
      </c>
      <c r="AH100">
        <v>17500</v>
      </c>
      <c r="AI100">
        <v>500</v>
      </c>
      <c r="AJ100">
        <v>3500</v>
      </c>
      <c r="AK100">
        <v>6</v>
      </c>
      <c r="AL100">
        <v>0</v>
      </c>
      <c r="AM100">
        <v>0</v>
      </c>
      <c r="AN100">
        <v>0</v>
      </c>
      <c r="AO100">
        <v>0</v>
      </c>
      <c r="AP100">
        <v>0</v>
      </c>
      <c r="AQ100">
        <v>0</v>
      </c>
      <c r="AR100">
        <v>750</v>
      </c>
      <c r="AS100">
        <v>525</v>
      </c>
      <c r="AT100">
        <v>5</v>
      </c>
      <c r="AU100">
        <v>3750</v>
      </c>
      <c r="AV100">
        <v>26250</v>
      </c>
      <c r="AW100">
        <v>750</v>
      </c>
      <c r="AX100">
        <v>5250</v>
      </c>
      <c r="AY100">
        <v>22</v>
      </c>
      <c r="AZ100">
        <v>2200000</v>
      </c>
      <c r="BA100">
        <v>0</v>
      </c>
      <c r="BB100">
        <v>1</v>
      </c>
      <c r="BC100">
        <v>0</v>
      </c>
      <c r="BD100">
        <v>25.055555555555557</v>
      </c>
      <c r="BE100">
        <v>100000</v>
      </c>
      <c r="BF100">
        <v>873</v>
      </c>
      <c r="BG100">
        <v>610</v>
      </c>
      <c r="BH100">
        <v>5</v>
      </c>
      <c r="BI100">
        <v>4365</v>
      </c>
      <c r="BJ100">
        <v>30555</v>
      </c>
      <c r="BK100">
        <v>873</v>
      </c>
      <c r="BL100">
        <v>6111</v>
      </c>
      <c r="BM100">
        <v>52</v>
      </c>
      <c r="BN100">
        <v>3200000</v>
      </c>
      <c r="BO100">
        <v>0</v>
      </c>
      <c r="BP100">
        <v>3</v>
      </c>
      <c r="BQ100">
        <v>0</v>
      </c>
      <c r="BR100">
        <v>32.407407407407412</v>
      </c>
      <c r="BS100">
        <v>61538</v>
      </c>
      <c r="BT100">
        <v>950</v>
      </c>
      <c r="BU100">
        <v>665</v>
      </c>
      <c r="BV100">
        <v>5</v>
      </c>
      <c r="BW100">
        <v>4750</v>
      </c>
      <c r="BX100">
        <v>33250</v>
      </c>
      <c r="BY100">
        <v>950</v>
      </c>
      <c r="BZ100">
        <v>6650</v>
      </c>
      <c r="CA100">
        <v>100</v>
      </c>
      <c r="CB100">
        <v>4200000</v>
      </c>
      <c r="CC100">
        <v>0</v>
      </c>
      <c r="CD100">
        <v>5</v>
      </c>
      <c r="CE100">
        <v>0</v>
      </c>
      <c r="CF100">
        <v>40.671052631578945</v>
      </c>
      <c r="CG100">
        <v>42000</v>
      </c>
      <c r="CH100">
        <v>1000</v>
      </c>
      <c r="CI100">
        <v>700</v>
      </c>
      <c r="CJ100">
        <v>5</v>
      </c>
      <c r="CK100">
        <v>5000</v>
      </c>
      <c r="CL100">
        <v>35000</v>
      </c>
      <c r="CM100">
        <v>1000</v>
      </c>
      <c r="CN100">
        <v>7000</v>
      </c>
      <c r="CO100">
        <v>172</v>
      </c>
      <c r="CP100">
        <v>5200000</v>
      </c>
      <c r="CQ100">
        <v>0</v>
      </c>
      <c r="CR100">
        <v>10</v>
      </c>
      <c r="CS100">
        <v>0</v>
      </c>
      <c r="CT100">
        <v>50.141666666666673</v>
      </c>
      <c r="CU100">
        <v>30232</v>
      </c>
      <c r="CV100">
        <v>352</v>
      </c>
      <c r="CW100">
        <v>14800000</v>
      </c>
      <c r="CX100">
        <v>0</v>
      </c>
      <c r="CY100">
        <v>19</v>
      </c>
      <c r="CZ100">
        <v>0</v>
      </c>
      <c r="DA100">
        <v>123.33333333333333</v>
      </c>
      <c r="DB100">
        <v>42045.454545454544</v>
      </c>
      <c r="DD100" t="s">
        <v>858</v>
      </c>
      <c r="DE100">
        <v>6005</v>
      </c>
    </row>
    <row r="101" spans="1:109">
      <c r="A101">
        <v>6006</v>
      </c>
      <c r="B101" t="s">
        <v>778</v>
      </c>
      <c r="C101" t="s">
        <v>48</v>
      </c>
      <c r="G101" t="s">
        <v>43</v>
      </c>
      <c r="H101">
        <v>6</v>
      </c>
      <c r="I101" t="s">
        <v>270</v>
      </c>
      <c r="J101">
        <v>9</v>
      </c>
      <c r="K101">
        <v>2.5000000000000001E-2</v>
      </c>
      <c r="L101">
        <v>4.5217391304347823</v>
      </c>
      <c r="M101">
        <v>30</v>
      </c>
      <c r="N101">
        <v>42266</v>
      </c>
      <c r="O101" t="s">
        <v>98</v>
      </c>
      <c r="P101">
        <v>0</v>
      </c>
      <c r="Q101">
        <v>0</v>
      </c>
      <c r="R101">
        <v>0</v>
      </c>
      <c r="S101">
        <v>0</v>
      </c>
      <c r="T101">
        <v>0</v>
      </c>
      <c r="U101">
        <v>0</v>
      </c>
      <c r="V101">
        <v>0</v>
      </c>
      <c r="W101">
        <v>0</v>
      </c>
      <c r="X101">
        <v>0</v>
      </c>
      <c r="Y101">
        <v>0</v>
      </c>
      <c r="Z101">
        <v>0</v>
      </c>
      <c r="AA101">
        <v>0</v>
      </c>
      <c r="AB101">
        <v>0</v>
      </c>
      <c r="AC101">
        <v>0</v>
      </c>
      <c r="AD101">
        <v>520</v>
      </c>
      <c r="AE101">
        <v>115</v>
      </c>
      <c r="AF101">
        <v>5</v>
      </c>
      <c r="AG101">
        <v>2600</v>
      </c>
      <c r="AH101">
        <v>23400</v>
      </c>
      <c r="AI101">
        <v>65</v>
      </c>
      <c r="AJ101">
        <v>585</v>
      </c>
      <c r="AK101">
        <v>4</v>
      </c>
      <c r="AL101">
        <v>0</v>
      </c>
      <c r="AM101">
        <v>0</v>
      </c>
      <c r="AN101">
        <v>0</v>
      </c>
      <c r="AO101">
        <v>0</v>
      </c>
      <c r="AP101">
        <v>0</v>
      </c>
      <c r="AQ101">
        <v>0</v>
      </c>
      <c r="AR101">
        <v>780</v>
      </c>
      <c r="AS101">
        <v>172</v>
      </c>
      <c r="AT101">
        <v>5</v>
      </c>
      <c r="AU101">
        <v>3900</v>
      </c>
      <c r="AV101">
        <v>35100</v>
      </c>
      <c r="AW101">
        <v>97</v>
      </c>
      <c r="AX101">
        <v>877</v>
      </c>
      <c r="AY101">
        <v>24</v>
      </c>
      <c r="AZ101">
        <v>2160000</v>
      </c>
      <c r="BA101">
        <v>0</v>
      </c>
      <c r="BB101">
        <v>2</v>
      </c>
      <c r="BC101">
        <v>0</v>
      </c>
      <c r="BD101">
        <v>23.743589743589741</v>
      </c>
      <c r="BE101">
        <v>90000</v>
      </c>
      <c r="BF101">
        <v>907</v>
      </c>
      <c r="BG101">
        <v>200</v>
      </c>
      <c r="BH101">
        <v>5</v>
      </c>
      <c r="BI101">
        <v>4535</v>
      </c>
      <c r="BJ101">
        <v>40815</v>
      </c>
      <c r="BK101">
        <v>113</v>
      </c>
      <c r="BL101">
        <v>1020</v>
      </c>
      <c r="BM101">
        <v>54</v>
      </c>
      <c r="BN101">
        <v>3240000</v>
      </c>
      <c r="BO101">
        <v>0</v>
      </c>
      <c r="BP101">
        <v>4</v>
      </c>
      <c r="BQ101">
        <v>0</v>
      </c>
      <c r="BR101">
        <v>31.703417861080485</v>
      </c>
      <c r="BS101">
        <v>60000</v>
      </c>
      <c r="BT101">
        <v>988</v>
      </c>
      <c r="BU101">
        <v>218</v>
      </c>
      <c r="BV101">
        <v>5</v>
      </c>
      <c r="BW101">
        <v>4940</v>
      </c>
      <c r="BX101">
        <v>44460</v>
      </c>
      <c r="BY101">
        <v>123</v>
      </c>
      <c r="BZ101">
        <v>1111</v>
      </c>
      <c r="CA101">
        <v>102</v>
      </c>
      <c r="CB101">
        <v>4320000</v>
      </c>
      <c r="CC101">
        <v>0</v>
      </c>
      <c r="CD101">
        <v>6</v>
      </c>
      <c r="CE101">
        <v>0</v>
      </c>
      <c r="CF101">
        <v>40.338815789473685</v>
      </c>
      <c r="CG101">
        <v>42352</v>
      </c>
      <c r="CH101">
        <v>1040</v>
      </c>
      <c r="CI101">
        <v>230</v>
      </c>
      <c r="CJ101">
        <v>5</v>
      </c>
      <c r="CK101">
        <v>5200</v>
      </c>
      <c r="CL101">
        <v>46800</v>
      </c>
      <c r="CM101">
        <v>130</v>
      </c>
      <c r="CN101">
        <v>1170</v>
      </c>
      <c r="CO101">
        <v>192</v>
      </c>
      <c r="CP101">
        <v>5400000</v>
      </c>
      <c r="CQ101">
        <v>0</v>
      </c>
      <c r="CR101">
        <v>12</v>
      </c>
      <c r="CS101">
        <v>0</v>
      </c>
      <c r="CT101">
        <v>50.869230769230768</v>
      </c>
      <c r="CU101">
        <v>28125</v>
      </c>
      <c r="CV101">
        <v>376</v>
      </c>
      <c r="CW101">
        <v>15120000</v>
      </c>
      <c r="CX101">
        <v>0</v>
      </c>
      <c r="CY101">
        <v>24</v>
      </c>
      <c r="CZ101">
        <v>0</v>
      </c>
      <c r="DA101">
        <v>121.15384615384615</v>
      </c>
      <c r="DB101">
        <v>40212.765957446805</v>
      </c>
      <c r="DD101" t="s">
        <v>778</v>
      </c>
      <c r="DE101">
        <v>6006</v>
      </c>
    </row>
    <row r="102" spans="1:109">
      <c r="A102">
        <v>6007</v>
      </c>
      <c r="B102" t="s">
        <v>797</v>
      </c>
      <c r="C102" t="s">
        <v>52</v>
      </c>
      <c r="D102" t="s">
        <v>43</v>
      </c>
      <c r="E102" t="s">
        <v>43</v>
      </c>
      <c r="H102">
        <v>6</v>
      </c>
      <c r="I102" t="s">
        <v>270</v>
      </c>
      <c r="J102">
        <v>4</v>
      </c>
      <c r="K102">
        <v>0.15</v>
      </c>
      <c r="L102">
        <v>1</v>
      </c>
      <c r="M102">
        <v>30</v>
      </c>
      <c r="N102">
        <v>42267</v>
      </c>
      <c r="O102" t="s">
        <v>98</v>
      </c>
      <c r="P102">
        <v>0</v>
      </c>
      <c r="Q102">
        <v>0</v>
      </c>
      <c r="R102">
        <v>0</v>
      </c>
      <c r="S102">
        <v>0</v>
      </c>
      <c r="T102">
        <v>0</v>
      </c>
      <c r="U102">
        <v>0</v>
      </c>
      <c r="V102">
        <v>0</v>
      </c>
      <c r="W102">
        <v>0</v>
      </c>
      <c r="X102">
        <v>0</v>
      </c>
      <c r="Y102">
        <v>0</v>
      </c>
      <c r="Z102">
        <v>0</v>
      </c>
      <c r="AA102">
        <v>0</v>
      </c>
      <c r="AB102">
        <v>0</v>
      </c>
      <c r="AC102">
        <v>0</v>
      </c>
      <c r="AD102">
        <v>600</v>
      </c>
      <c r="AE102">
        <v>600</v>
      </c>
      <c r="AF102">
        <v>18</v>
      </c>
      <c r="AG102">
        <v>10800</v>
      </c>
      <c r="AH102">
        <v>43200</v>
      </c>
      <c r="AI102">
        <v>1620</v>
      </c>
      <c r="AJ102">
        <v>6480</v>
      </c>
      <c r="AK102">
        <v>4</v>
      </c>
      <c r="AL102">
        <v>0</v>
      </c>
      <c r="AM102">
        <v>0</v>
      </c>
      <c r="AN102">
        <v>0</v>
      </c>
      <c r="AO102">
        <v>0</v>
      </c>
      <c r="AP102">
        <v>0</v>
      </c>
      <c r="AQ102">
        <v>0</v>
      </c>
      <c r="AR102">
        <v>900</v>
      </c>
      <c r="AS102">
        <v>900</v>
      </c>
      <c r="AT102">
        <v>18</v>
      </c>
      <c r="AU102">
        <v>16200</v>
      </c>
      <c r="AV102">
        <v>64800</v>
      </c>
      <c r="AW102">
        <v>2430</v>
      </c>
      <c r="AX102">
        <v>9720</v>
      </c>
      <c r="AY102">
        <v>24</v>
      </c>
      <c r="AZ102">
        <v>3000000</v>
      </c>
      <c r="BA102">
        <v>0</v>
      </c>
      <c r="BB102">
        <v>3</v>
      </c>
      <c r="BC102">
        <v>0</v>
      </c>
      <c r="BD102">
        <v>8.3827160493827169</v>
      </c>
      <c r="BE102">
        <v>125000</v>
      </c>
      <c r="BF102">
        <v>1046</v>
      </c>
      <c r="BG102">
        <v>1046</v>
      </c>
      <c r="BH102">
        <v>19</v>
      </c>
      <c r="BI102">
        <v>19874</v>
      </c>
      <c r="BJ102">
        <v>79496</v>
      </c>
      <c r="BK102">
        <v>2981</v>
      </c>
      <c r="BL102">
        <v>11924</v>
      </c>
      <c r="BM102">
        <v>54</v>
      </c>
      <c r="BN102">
        <v>4500000</v>
      </c>
      <c r="BO102">
        <v>0</v>
      </c>
      <c r="BP102">
        <v>5</v>
      </c>
      <c r="BQ102">
        <v>0</v>
      </c>
      <c r="BR102">
        <v>11.268491496427494</v>
      </c>
      <c r="BS102">
        <v>83333</v>
      </c>
      <c r="BT102">
        <v>1140</v>
      </c>
      <c r="BU102">
        <v>1140</v>
      </c>
      <c r="BV102">
        <v>19</v>
      </c>
      <c r="BW102">
        <v>21660</v>
      </c>
      <c r="BX102">
        <v>86640</v>
      </c>
      <c r="BY102">
        <v>3249</v>
      </c>
      <c r="BZ102">
        <v>12996</v>
      </c>
      <c r="CA102">
        <v>102</v>
      </c>
      <c r="CB102">
        <v>6000000</v>
      </c>
      <c r="CC102">
        <v>0</v>
      </c>
      <c r="CD102">
        <v>10</v>
      </c>
      <c r="CE102">
        <v>0</v>
      </c>
      <c r="CF102">
        <v>15.441574330563251</v>
      </c>
      <c r="CG102">
        <v>58823</v>
      </c>
      <c r="CH102">
        <v>1200</v>
      </c>
      <c r="CI102">
        <v>1200</v>
      </c>
      <c r="CJ102">
        <v>20</v>
      </c>
      <c r="CK102">
        <v>24000</v>
      </c>
      <c r="CL102">
        <v>96000</v>
      </c>
      <c r="CM102">
        <v>3600</v>
      </c>
      <c r="CN102">
        <v>14400</v>
      </c>
      <c r="CO102">
        <v>192</v>
      </c>
      <c r="CP102">
        <v>7500000</v>
      </c>
      <c r="CQ102">
        <v>0</v>
      </c>
      <c r="CR102">
        <v>15</v>
      </c>
      <c r="CS102">
        <v>0</v>
      </c>
      <c r="CT102">
        <v>20.240833333333331</v>
      </c>
      <c r="CU102">
        <v>39062</v>
      </c>
      <c r="CV102">
        <v>376</v>
      </c>
      <c r="CW102">
        <v>21000000</v>
      </c>
      <c r="CX102">
        <v>0</v>
      </c>
      <c r="CY102">
        <v>33</v>
      </c>
      <c r="CZ102">
        <v>0</v>
      </c>
      <c r="DA102">
        <v>36.458333333333336</v>
      </c>
      <c r="DB102">
        <v>55851.063829787236</v>
      </c>
      <c r="DD102" t="s">
        <v>797</v>
      </c>
      <c r="DE102">
        <v>6007</v>
      </c>
    </row>
    <row r="103" spans="1:109">
      <c r="A103">
        <v>6008</v>
      </c>
      <c r="B103" t="s">
        <v>859</v>
      </c>
      <c r="C103" t="s">
        <v>42</v>
      </c>
      <c r="E103" t="s">
        <v>43</v>
      </c>
      <c r="H103">
        <v>6</v>
      </c>
      <c r="I103" t="s">
        <v>270</v>
      </c>
      <c r="J103">
        <v>7</v>
      </c>
      <c r="K103">
        <v>0.1</v>
      </c>
      <c r="L103">
        <v>1.3144329896907216</v>
      </c>
      <c r="M103">
        <v>30</v>
      </c>
      <c r="N103">
        <v>42268</v>
      </c>
      <c r="O103" t="s">
        <v>98</v>
      </c>
      <c r="P103">
        <v>0</v>
      </c>
      <c r="Q103">
        <v>0</v>
      </c>
      <c r="R103">
        <v>0</v>
      </c>
      <c r="S103">
        <v>0</v>
      </c>
      <c r="T103">
        <v>0</v>
      </c>
      <c r="U103">
        <v>0</v>
      </c>
      <c r="V103">
        <v>0</v>
      </c>
      <c r="W103">
        <v>0</v>
      </c>
      <c r="X103">
        <v>0</v>
      </c>
      <c r="Y103">
        <v>0</v>
      </c>
      <c r="Z103">
        <v>0</v>
      </c>
      <c r="AA103">
        <v>0</v>
      </c>
      <c r="AB103">
        <v>0</v>
      </c>
      <c r="AC103">
        <v>0</v>
      </c>
      <c r="AD103">
        <v>510</v>
      </c>
      <c r="AE103">
        <v>388</v>
      </c>
      <c r="AF103">
        <v>6</v>
      </c>
      <c r="AG103">
        <v>3060</v>
      </c>
      <c r="AH103">
        <v>21420</v>
      </c>
      <c r="AI103">
        <v>306</v>
      </c>
      <c r="AJ103">
        <v>2142</v>
      </c>
      <c r="AK103">
        <v>4</v>
      </c>
      <c r="AL103">
        <v>0</v>
      </c>
      <c r="AM103">
        <v>0</v>
      </c>
      <c r="AN103">
        <v>0</v>
      </c>
      <c r="AO103">
        <v>0</v>
      </c>
      <c r="AP103">
        <v>0</v>
      </c>
      <c r="AQ103">
        <v>0</v>
      </c>
      <c r="AR103">
        <v>765</v>
      </c>
      <c r="AS103">
        <v>582</v>
      </c>
      <c r="AT103">
        <v>6</v>
      </c>
      <c r="AU103">
        <v>4590</v>
      </c>
      <c r="AV103">
        <v>32130</v>
      </c>
      <c r="AW103">
        <v>459</v>
      </c>
      <c r="AX103">
        <v>3213</v>
      </c>
      <c r="AY103">
        <v>24</v>
      </c>
      <c r="AZ103">
        <v>2200000</v>
      </c>
      <c r="BA103">
        <v>0</v>
      </c>
      <c r="BB103">
        <v>2</v>
      </c>
      <c r="BC103">
        <v>0</v>
      </c>
      <c r="BD103">
        <v>20.637618010167028</v>
      </c>
      <c r="BE103">
        <v>91666</v>
      </c>
      <c r="BF103">
        <v>889</v>
      </c>
      <c r="BG103">
        <v>676</v>
      </c>
      <c r="BH103">
        <v>6</v>
      </c>
      <c r="BI103">
        <v>5334</v>
      </c>
      <c r="BJ103">
        <v>37338</v>
      </c>
      <c r="BK103">
        <v>533</v>
      </c>
      <c r="BL103">
        <v>3733</v>
      </c>
      <c r="BM103">
        <v>54</v>
      </c>
      <c r="BN103">
        <v>3300000</v>
      </c>
      <c r="BO103">
        <v>0</v>
      </c>
      <c r="BP103">
        <v>4</v>
      </c>
      <c r="BQ103">
        <v>0</v>
      </c>
      <c r="BR103">
        <v>27.714191976002997</v>
      </c>
      <c r="BS103">
        <v>61111</v>
      </c>
      <c r="BT103">
        <v>969</v>
      </c>
      <c r="BU103">
        <v>737</v>
      </c>
      <c r="BV103">
        <v>6</v>
      </c>
      <c r="BW103">
        <v>5814</v>
      </c>
      <c r="BX103">
        <v>40698</v>
      </c>
      <c r="BY103">
        <v>581</v>
      </c>
      <c r="BZ103">
        <v>4069</v>
      </c>
      <c r="CA103">
        <v>102</v>
      </c>
      <c r="CB103">
        <v>4400000</v>
      </c>
      <c r="CC103">
        <v>0</v>
      </c>
      <c r="CD103">
        <v>6</v>
      </c>
      <c r="CE103">
        <v>0</v>
      </c>
      <c r="CF103">
        <v>35.432203875702328</v>
      </c>
      <c r="CG103">
        <v>43137</v>
      </c>
      <c r="CH103">
        <v>1020</v>
      </c>
      <c r="CI103">
        <v>776</v>
      </c>
      <c r="CJ103">
        <v>6</v>
      </c>
      <c r="CK103">
        <v>6120</v>
      </c>
      <c r="CL103">
        <v>42840</v>
      </c>
      <c r="CM103">
        <v>612</v>
      </c>
      <c r="CN103">
        <v>4284</v>
      </c>
      <c r="CO103">
        <v>192</v>
      </c>
      <c r="CP103">
        <v>5500000</v>
      </c>
      <c r="CQ103">
        <v>0</v>
      </c>
      <c r="CR103">
        <v>12</v>
      </c>
      <c r="CS103">
        <v>0</v>
      </c>
      <c r="CT103">
        <v>45.045533769063184</v>
      </c>
      <c r="CU103">
        <v>28645</v>
      </c>
      <c r="CV103">
        <v>376</v>
      </c>
      <c r="CW103">
        <v>15400000</v>
      </c>
      <c r="CX103">
        <v>0</v>
      </c>
      <c r="CY103">
        <v>24</v>
      </c>
      <c r="CZ103">
        <v>0</v>
      </c>
      <c r="DA103">
        <v>104.8474945533769</v>
      </c>
      <c r="DB103">
        <v>40957.446808510642</v>
      </c>
      <c r="DD103" t="s">
        <v>859</v>
      </c>
      <c r="DE103">
        <v>6008</v>
      </c>
    </row>
    <row r="104" spans="1:109">
      <c r="A104">
        <v>6009</v>
      </c>
      <c r="B104" t="s">
        <v>758</v>
      </c>
      <c r="C104" t="s">
        <v>54</v>
      </c>
      <c r="E104" t="s">
        <v>43</v>
      </c>
      <c r="H104">
        <v>6</v>
      </c>
      <c r="I104" t="s">
        <v>270</v>
      </c>
      <c r="J104">
        <v>5</v>
      </c>
      <c r="K104">
        <v>7.4999999999999997E-2</v>
      </c>
      <c r="L104">
        <v>3.6904761904761907</v>
      </c>
      <c r="M104">
        <v>30</v>
      </c>
      <c r="N104">
        <v>42269</v>
      </c>
      <c r="O104" t="s">
        <v>98</v>
      </c>
      <c r="P104">
        <v>0</v>
      </c>
      <c r="Q104">
        <v>0</v>
      </c>
      <c r="R104">
        <v>0</v>
      </c>
      <c r="S104">
        <v>0</v>
      </c>
      <c r="T104">
        <v>0</v>
      </c>
      <c r="U104">
        <v>0</v>
      </c>
      <c r="V104">
        <v>0</v>
      </c>
      <c r="W104">
        <v>0</v>
      </c>
      <c r="X104">
        <v>0</v>
      </c>
      <c r="Y104">
        <v>0</v>
      </c>
      <c r="Z104">
        <v>0</v>
      </c>
      <c r="AA104">
        <v>0</v>
      </c>
      <c r="AB104">
        <v>0</v>
      </c>
      <c r="AC104">
        <v>0</v>
      </c>
      <c r="AD104">
        <v>620</v>
      </c>
      <c r="AE104">
        <v>168</v>
      </c>
      <c r="AF104">
        <v>7</v>
      </c>
      <c r="AG104">
        <v>4340</v>
      </c>
      <c r="AH104">
        <v>21700</v>
      </c>
      <c r="AI104">
        <v>325</v>
      </c>
      <c r="AJ104">
        <v>1627</v>
      </c>
      <c r="AK104">
        <v>4</v>
      </c>
      <c r="AL104">
        <v>0</v>
      </c>
      <c r="AM104">
        <v>0</v>
      </c>
      <c r="AN104">
        <v>0</v>
      </c>
      <c r="AO104">
        <v>0</v>
      </c>
      <c r="AP104">
        <v>0</v>
      </c>
      <c r="AQ104">
        <v>0</v>
      </c>
      <c r="AR104">
        <v>930</v>
      </c>
      <c r="AS104">
        <v>252</v>
      </c>
      <c r="AT104">
        <v>7</v>
      </c>
      <c r="AU104">
        <v>6510</v>
      </c>
      <c r="AV104">
        <v>32550</v>
      </c>
      <c r="AW104">
        <v>488</v>
      </c>
      <c r="AX104">
        <v>2441</v>
      </c>
      <c r="AY104">
        <v>24</v>
      </c>
      <c r="AZ104">
        <v>2240000</v>
      </c>
      <c r="BA104">
        <v>0</v>
      </c>
      <c r="BB104">
        <v>2</v>
      </c>
      <c r="BC104">
        <v>0</v>
      </c>
      <c r="BD104">
        <v>15.003584229390681</v>
      </c>
      <c r="BE104">
        <v>93333</v>
      </c>
      <c r="BF104">
        <v>1081</v>
      </c>
      <c r="BG104">
        <v>293</v>
      </c>
      <c r="BH104">
        <v>7</v>
      </c>
      <c r="BI104">
        <v>7567</v>
      </c>
      <c r="BJ104">
        <v>37835</v>
      </c>
      <c r="BK104">
        <v>567</v>
      </c>
      <c r="BL104">
        <v>2837</v>
      </c>
      <c r="BM104">
        <v>54</v>
      </c>
      <c r="BN104">
        <v>3360000</v>
      </c>
      <c r="BO104">
        <v>0</v>
      </c>
      <c r="BP104">
        <v>4</v>
      </c>
      <c r="BQ104">
        <v>0</v>
      </c>
      <c r="BR104">
        <v>20.43709528214616</v>
      </c>
      <c r="BS104">
        <v>62222</v>
      </c>
      <c r="BT104">
        <v>1178</v>
      </c>
      <c r="BU104">
        <v>319</v>
      </c>
      <c r="BV104">
        <v>7</v>
      </c>
      <c r="BW104">
        <v>8246</v>
      </c>
      <c r="BX104">
        <v>41230</v>
      </c>
      <c r="BY104">
        <v>618</v>
      </c>
      <c r="BZ104">
        <v>3092</v>
      </c>
      <c r="CA104">
        <v>102</v>
      </c>
      <c r="CB104">
        <v>4480000</v>
      </c>
      <c r="CC104">
        <v>0</v>
      </c>
      <c r="CD104">
        <v>6</v>
      </c>
      <c r="CE104">
        <v>0</v>
      </c>
      <c r="CF104">
        <v>26.537280701754387</v>
      </c>
      <c r="CG104">
        <v>43921</v>
      </c>
      <c r="CH104">
        <v>1240</v>
      </c>
      <c r="CI104">
        <v>336</v>
      </c>
      <c r="CJ104">
        <v>7</v>
      </c>
      <c r="CK104">
        <v>8680</v>
      </c>
      <c r="CL104">
        <v>43400</v>
      </c>
      <c r="CM104">
        <v>651</v>
      </c>
      <c r="CN104">
        <v>3255</v>
      </c>
      <c r="CO104">
        <v>192</v>
      </c>
      <c r="CP104">
        <v>5600000</v>
      </c>
      <c r="CQ104">
        <v>0</v>
      </c>
      <c r="CR104">
        <v>12</v>
      </c>
      <c r="CS104">
        <v>0</v>
      </c>
      <c r="CT104">
        <v>34.481720430107522</v>
      </c>
      <c r="CU104">
        <v>29166</v>
      </c>
      <c r="CV104">
        <v>376</v>
      </c>
      <c r="CW104">
        <v>15680000</v>
      </c>
      <c r="CX104">
        <v>0</v>
      </c>
      <c r="CY104">
        <v>24</v>
      </c>
      <c r="CZ104">
        <v>0</v>
      </c>
      <c r="DA104">
        <v>75.268817204301072</v>
      </c>
      <c r="DB104">
        <v>41702.127659574471</v>
      </c>
      <c r="DD104" t="s">
        <v>758</v>
      </c>
      <c r="DE104">
        <v>6009</v>
      </c>
    </row>
    <row r="105" spans="1:109">
      <c r="A105">
        <v>6010</v>
      </c>
      <c r="B105" t="s">
        <v>860</v>
      </c>
      <c r="C105" t="s">
        <v>77</v>
      </c>
      <c r="E105" t="s">
        <v>43</v>
      </c>
      <c r="H105">
        <v>6</v>
      </c>
      <c r="I105" t="s">
        <v>270</v>
      </c>
      <c r="J105">
        <v>7</v>
      </c>
      <c r="K105">
        <v>0.2</v>
      </c>
      <c r="L105">
        <v>1.4285714285714286</v>
      </c>
      <c r="M105">
        <v>30</v>
      </c>
      <c r="N105">
        <v>42273</v>
      </c>
      <c r="O105" t="s">
        <v>98</v>
      </c>
      <c r="P105">
        <v>0</v>
      </c>
      <c r="Q105">
        <v>0</v>
      </c>
      <c r="R105">
        <v>0</v>
      </c>
      <c r="S105">
        <v>0</v>
      </c>
      <c r="T105">
        <v>0</v>
      </c>
      <c r="U105">
        <v>0</v>
      </c>
      <c r="V105">
        <v>0</v>
      </c>
      <c r="W105">
        <v>0</v>
      </c>
      <c r="X105">
        <v>0</v>
      </c>
      <c r="Y105">
        <v>0</v>
      </c>
      <c r="Z105">
        <v>0</v>
      </c>
      <c r="AA105">
        <v>0</v>
      </c>
      <c r="AB105">
        <v>0</v>
      </c>
      <c r="AC105">
        <v>0</v>
      </c>
      <c r="AD105">
        <v>510</v>
      </c>
      <c r="AE105">
        <v>357</v>
      </c>
      <c r="AF105">
        <v>5</v>
      </c>
      <c r="AG105">
        <v>2550</v>
      </c>
      <c r="AH105">
        <v>17850</v>
      </c>
      <c r="AI105">
        <v>510</v>
      </c>
      <c r="AJ105">
        <v>3570</v>
      </c>
      <c r="AK105">
        <v>2</v>
      </c>
      <c r="AL105">
        <v>0</v>
      </c>
      <c r="AM105">
        <v>0</v>
      </c>
      <c r="AN105">
        <v>0</v>
      </c>
      <c r="AO105">
        <v>0</v>
      </c>
      <c r="AP105">
        <v>0</v>
      </c>
      <c r="AQ105">
        <v>0</v>
      </c>
      <c r="AR105">
        <v>765</v>
      </c>
      <c r="AS105">
        <v>535</v>
      </c>
      <c r="AT105">
        <v>5</v>
      </c>
      <c r="AU105">
        <v>3825</v>
      </c>
      <c r="AV105">
        <v>26775</v>
      </c>
      <c r="AW105">
        <v>765</v>
      </c>
      <c r="AX105">
        <v>5355</v>
      </c>
      <c r="AY105">
        <v>24</v>
      </c>
      <c r="AZ105">
        <v>2120000</v>
      </c>
      <c r="BA105">
        <v>0</v>
      </c>
      <c r="BB105">
        <v>1</v>
      </c>
      <c r="BC105">
        <v>0</v>
      </c>
      <c r="BD105">
        <v>23.760348583877995</v>
      </c>
      <c r="BE105">
        <v>88333</v>
      </c>
      <c r="BF105">
        <v>889</v>
      </c>
      <c r="BG105">
        <v>622</v>
      </c>
      <c r="BH105">
        <v>5</v>
      </c>
      <c r="BI105">
        <v>4445</v>
      </c>
      <c r="BJ105">
        <v>31115</v>
      </c>
      <c r="BK105">
        <v>889</v>
      </c>
      <c r="BL105">
        <v>6223</v>
      </c>
      <c r="BM105">
        <v>56</v>
      </c>
      <c r="BN105">
        <v>3180000</v>
      </c>
      <c r="BO105">
        <v>0</v>
      </c>
      <c r="BP105">
        <v>3</v>
      </c>
      <c r="BQ105">
        <v>0</v>
      </c>
      <c r="BR105">
        <v>31.816647919010123</v>
      </c>
      <c r="BS105">
        <v>56785</v>
      </c>
      <c r="BT105">
        <v>969</v>
      </c>
      <c r="BU105">
        <v>678</v>
      </c>
      <c r="BV105">
        <v>5</v>
      </c>
      <c r="BW105">
        <v>4845</v>
      </c>
      <c r="BX105">
        <v>33915</v>
      </c>
      <c r="BY105">
        <v>969</v>
      </c>
      <c r="BZ105">
        <v>6783</v>
      </c>
      <c r="CA105">
        <v>102</v>
      </c>
      <c r="CB105">
        <v>4240000</v>
      </c>
      <c r="CC105">
        <v>0</v>
      </c>
      <c r="CD105">
        <v>5</v>
      </c>
      <c r="CE105">
        <v>0</v>
      </c>
      <c r="CF105">
        <v>40.362831097351226</v>
      </c>
      <c r="CG105">
        <v>41568</v>
      </c>
      <c r="CH105">
        <v>1020</v>
      </c>
      <c r="CI105">
        <v>714</v>
      </c>
      <c r="CJ105">
        <v>5</v>
      </c>
      <c r="CK105">
        <v>5100</v>
      </c>
      <c r="CL105">
        <v>35700</v>
      </c>
      <c r="CM105">
        <v>1020</v>
      </c>
      <c r="CN105">
        <v>7140</v>
      </c>
      <c r="CO105">
        <v>192</v>
      </c>
      <c r="CP105">
        <v>5300000</v>
      </c>
      <c r="CQ105">
        <v>0</v>
      </c>
      <c r="CR105">
        <v>10</v>
      </c>
      <c r="CS105">
        <v>0</v>
      </c>
      <c r="CT105">
        <v>50.900653594771235</v>
      </c>
      <c r="CU105">
        <v>27604</v>
      </c>
      <c r="CV105">
        <v>376</v>
      </c>
      <c r="CW105">
        <v>14840000</v>
      </c>
      <c r="CX105">
        <v>0</v>
      </c>
      <c r="CY105">
        <v>19</v>
      </c>
      <c r="CZ105">
        <v>0</v>
      </c>
      <c r="DA105">
        <v>121.24183006535948</v>
      </c>
      <c r="DB105">
        <v>39468.085106382976</v>
      </c>
      <c r="DD105" t="s">
        <v>860</v>
      </c>
      <c r="DE105">
        <v>6010</v>
      </c>
    </row>
    <row r="106" spans="1:109">
      <c r="A106">
        <v>6011</v>
      </c>
      <c r="B106" t="s">
        <v>779</v>
      </c>
      <c r="C106" t="s">
        <v>48</v>
      </c>
      <c r="E106" t="s">
        <v>43</v>
      </c>
      <c r="H106">
        <v>6</v>
      </c>
      <c r="I106" t="s">
        <v>270</v>
      </c>
      <c r="J106">
        <v>9</v>
      </c>
      <c r="K106">
        <v>2.5000000000000001E-2</v>
      </c>
      <c r="L106">
        <v>4.615384615384615</v>
      </c>
      <c r="M106">
        <v>30</v>
      </c>
      <c r="N106">
        <v>42280</v>
      </c>
      <c r="O106" t="s">
        <v>98</v>
      </c>
      <c r="P106">
        <v>0</v>
      </c>
      <c r="Q106">
        <v>0</v>
      </c>
      <c r="R106">
        <v>0</v>
      </c>
      <c r="S106">
        <v>0</v>
      </c>
      <c r="T106">
        <v>0</v>
      </c>
      <c r="U106">
        <v>0</v>
      </c>
      <c r="V106">
        <v>0</v>
      </c>
      <c r="W106">
        <v>0</v>
      </c>
      <c r="X106">
        <v>0</v>
      </c>
      <c r="Y106">
        <v>0</v>
      </c>
      <c r="Z106">
        <v>0</v>
      </c>
      <c r="AA106">
        <v>0</v>
      </c>
      <c r="AB106">
        <v>0</v>
      </c>
      <c r="AC106">
        <v>0</v>
      </c>
      <c r="AD106">
        <v>540</v>
      </c>
      <c r="AE106">
        <v>117</v>
      </c>
      <c r="AF106">
        <v>5</v>
      </c>
      <c r="AG106">
        <v>2700</v>
      </c>
      <c r="AH106">
        <v>24300</v>
      </c>
      <c r="AI106">
        <v>67</v>
      </c>
      <c r="AJ106">
        <v>607</v>
      </c>
      <c r="AK106">
        <v>2</v>
      </c>
      <c r="AL106">
        <v>0</v>
      </c>
      <c r="AM106">
        <v>0</v>
      </c>
      <c r="AN106">
        <v>0</v>
      </c>
      <c r="AO106">
        <v>0</v>
      </c>
      <c r="AP106">
        <v>0</v>
      </c>
      <c r="AQ106">
        <v>0</v>
      </c>
      <c r="AR106">
        <v>810</v>
      </c>
      <c r="AS106">
        <v>176</v>
      </c>
      <c r="AT106">
        <v>5</v>
      </c>
      <c r="AU106">
        <v>4050</v>
      </c>
      <c r="AV106">
        <v>36450</v>
      </c>
      <c r="AW106">
        <v>101</v>
      </c>
      <c r="AX106">
        <v>911</v>
      </c>
      <c r="AY106">
        <v>24</v>
      </c>
      <c r="AZ106">
        <v>2200000</v>
      </c>
      <c r="BA106">
        <v>0</v>
      </c>
      <c r="BB106">
        <v>2</v>
      </c>
      <c r="BC106">
        <v>0</v>
      </c>
      <c r="BD106">
        <v>23.300411522633748</v>
      </c>
      <c r="BE106">
        <v>91666</v>
      </c>
      <c r="BF106">
        <v>943</v>
      </c>
      <c r="BG106">
        <v>205</v>
      </c>
      <c r="BH106">
        <v>5</v>
      </c>
      <c r="BI106">
        <v>4715</v>
      </c>
      <c r="BJ106">
        <v>42435</v>
      </c>
      <c r="BK106">
        <v>117</v>
      </c>
      <c r="BL106">
        <v>1060</v>
      </c>
      <c r="BM106">
        <v>56</v>
      </c>
      <c r="BN106">
        <v>3300000</v>
      </c>
      <c r="BO106">
        <v>0</v>
      </c>
      <c r="BP106">
        <v>4</v>
      </c>
      <c r="BQ106">
        <v>0</v>
      </c>
      <c r="BR106">
        <v>31.166489925768825</v>
      </c>
      <c r="BS106">
        <v>58928</v>
      </c>
      <c r="BT106">
        <v>1026</v>
      </c>
      <c r="BU106">
        <v>223</v>
      </c>
      <c r="BV106">
        <v>5</v>
      </c>
      <c r="BW106">
        <v>5130</v>
      </c>
      <c r="BX106">
        <v>46170</v>
      </c>
      <c r="BY106">
        <v>128</v>
      </c>
      <c r="BZ106">
        <v>1154</v>
      </c>
      <c r="CA106">
        <v>102</v>
      </c>
      <c r="CB106">
        <v>4400000</v>
      </c>
      <c r="CC106">
        <v>0</v>
      </c>
      <c r="CD106">
        <v>6</v>
      </c>
      <c r="CE106">
        <v>0</v>
      </c>
      <c r="CF106">
        <v>39.643680961663414</v>
      </c>
      <c r="CG106">
        <v>43137</v>
      </c>
      <c r="CH106">
        <v>1080</v>
      </c>
      <c r="CI106">
        <v>234</v>
      </c>
      <c r="CJ106">
        <v>5</v>
      </c>
      <c r="CK106">
        <v>5400</v>
      </c>
      <c r="CL106">
        <v>48600</v>
      </c>
      <c r="CM106">
        <v>135</v>
      </c>
      <c r="CN106">
        <v>1215</v>
      </c>
      <c r="CO106">
        <v>192</v>
      </c>
      <c r="CP106">
        <v>5500000</v>
      </c>
      <c r="CQ106">
        <v>0</v>
      </c>
      <c r="CR106">
        <v>12</v>
      </c>
      <c r="CS106">
        <v>0</v>
      </c>
      <c r="CT106">
        <v>50.038271604938274</v>
      </c>
      <c r="CU106">
        <v>28645</v>
      </c>
      <c r="CV106">
        <v>376</v>
      </c>
      <c r="CW106">
        <v>15400000</v>
      </c>
      <c r="CX106">
        <v>0</v>
      </c>
      <c r="CY106">
        <v>24</v>
      </c>
      <c r="CZ106">
        <v>0</v>
      </c>
      <c r="DA106">
        <v>118.82716049382715</v>
      </c>
      <c r="DB106">
        <v>40957.446808510642</v>
      </c>
      <c r="DD106" t="s">
        <v>779</v>
      </c>
      <c r="DE106">
        <v>6011</v>
      </c>
    </row>
    <row r="107" spans="1:109">
      <c r="A107">
        <v>6012</v>
      </c>
      <c r="B107" t="s">
        <v>759</v>
      </c>
      <c r="C107" t="s">
        <v>54</v>
      </c>
      <c r="E107" t="s">
        <v>43</v>
      </c>
      <c r="H107">
        <v>6</v>
      </c>
      <c r="I107" t="s">
        <v>270</v>
      </c>
      <c r="J107">
        <v>6</v>
      </c>
      <c r="K107">
        <v>7.4999999999999997E-2</v>
      </c>
      <c r="L107">
        <v>3.7058823529411766</v>
      </c>
      <c r="M107">
        <v>30</v>
      </c>
      <c r="N107">
        <v>42287</v>
      </c>
      <c r="O107" t="s">
        <v>98</v>
      </c>
      <c r="P107">
        <v>0</v>
      </c>
      <c r="Q107">
        <v>0</v>
      </c>
      <c r="R107">
        <v>0</v>
      </c>
      <c r="S107">
        <v>0</v>
      </c>
      <c r="T107">
        <v>0</v>
      </c>
      <c r="U107">
        <v>0</v>
      </c>
      <c r="V107">
        <v>0</v>
      </c>
      <c r="W107">
        <v>0</v>
      </c>
      <c r="X107">
        <v>0</v>
      </c>
      <c r="Y107">
        <v>0</v>
      </c>
      <c r="Z107">
        <v>0</v>
      </c>
      <c r="AA107">
        <v>0</v>
      </c>
      <c r="AB107">
        <v>0</v>
      </c>
      <c r="AC107">
        <v>0</v>
      </c>
      <c r="AD107">
        <v>630</v>
      </c>
      <c r="AE107">
        <v>170</v>
      </c>
      <c r="AF107">
        <v>7</v>
      </c>
      <c r="AG107">
        <v>4410</v>
      </c>
      <c r="AH107">
        <v>26460</v>
      </c>
      <c r="AI107">
        <v>330</v>
      </c>
      <c r="AJ107">
        <v>1984</v>
      </c>
      <c r="AK107">
        <v>2</v>
      </c>
      <c r="AL107">
        <v>0</v>
      </c>
      <c r="AM107">
        <v>0</v>
      </c>
      <c r="AN107">
        <v>0</v>
      </c>
      <c r="AO107">
        <v>0</v>
      </c>
      <c r="AP107">
        <v>0</v>
      </c>
      <c r="AQ107">
        <v>0</v>
      </c>
      <c r="AR107">
        <v>945</v>
      </c>
      <c r="AS107">
        <v>255</v>
      </c>
      <c r="AT107">
        <v>7</v>
      </c>
      <c r="AU107">
        <v>6615</v>
      </c>
      <c r="AV107">
        <v>39690</v>
      </c>
      <c r="AW107">
        <v>496</v>
      </c>
      <c r="AX107">
        <v>2976</v>
      </c>
      <c r="AY107">
        <v>24</v>
      </c>
      <c r="AZ107">
        <v>2280000</v>
      </c>
      <c r="BA107">
        <v>0</v>
      </c>
      <c r="BB107">
        <v>2</v>
      </c>
      <c r="BC107">
        <v>0</v>
      </c>
      <c r="BD107">
        <v>15.027966742252458</v>
      </c>
      <c r="BE107">
        <v>95000</v>
      </c>
      <c r="BF107">
        <v>1102</v>
      </c>
      <c r="BG107">
        <v>297</v>
      </c>
      <c r="BH107">
        <v>7</v>
      </c>
      <c r="BI107">
        <v>7714</v>
      </c>
      <c r="BJ107">
        <v>46284</v>
      </c>
      <c r="BK107">
        <v>578</v>
      </c>
      <c r="BL107">
        <v>3471</v>
      </c>
      <c r="BM107">
        <v>56</v>
      </c>
      <c r="BN107">
        <v>3420000</v>
      </c>
      <c r="BO107">
        <v>0</v>
      </c>
      <c r="BP107">
        <v>4</v>
      </c>
      <c r="BQ107">
        <v>0</v>
      </c>
      <c r="BR107">
        <v>20.47381384495722</v>
      </c>
      <c r="BS107">
        <v>61071</v>
      </c>
      <c r="BT107">
        <v>1197</v>
      </c>
      <c r="BU107">
        <v>323</v>
      </c>
      <c r="BV107">
        <v>7</v>
      </c>
      <c r="BW107">
        <v>8379</v>
      </c>
      <c r="BX107">
        <v>50274</v>
      </c>
      <c r="BY107">
        <v>628</v>
      </c>
      <c r="BZ107">
        <v>3770</v>
      </c>
      <c r="CA107">
        <v>102</v>
      </c>
      <c r="CB107">
        <v>4560000</v>
      </c>
      <c r="CC107">
        <v>0</v>
      </c>
      <c r="CD107">
        <v>6</v>
      </c>
      <c r="CE107">
        <v>0</v>
      </c>
      <c r="CF107">
        <v>26.588435374149658</v>
      </c>
      <c r="CG107">
        <v>44705</v>
      </c>
      <c r="CH107">
        <v>1260</v>
      </c>
      <c r="CI107">
        <v>340</v>
      </c>
      <c r="CJ107">
        <v>7</v>
      </c>
      <c r="CK107">
        <v>8820</v>
      </c>
      <c r="CL107">
        <v>52920</v>
      </c>
      <c r="CM107">
        <v>661</v>
      </c>
      <c r="CN107">
        <v>3969</v>
      </c>
      <c r="CO107">
        <v>192</v>
      </c>
      <c r="CP107">
        <v>5700000</v>
      </c>
      <c r="CQ107">
        <v>0</v>
      </c>
      <c r="CR107">
        <v>12</v>
      </c>
      <c r="CS107">
        <v>0</v>
      </c>
      <c r="CT107">
        <v>34.52743764172336</v>
      </c>
      <c r="CU107">
        <v>29687</v>
      </c>
      <c r="CV107">
        <v>376</v>
      </c>
      <c r="CW107">
        <v>15960000</v>
      </c>
      <c r="CX107">
        <v>0</v>
      </c>
      <c r="CY107">
        <v>24</v>
      </c>
      <c r="CZ107">
        <v>0</v>
      </c>
      <c r="DA107">
        <v>75.396825396825406</v>
      </c>
      <c r="DB107">
        <v>42446.808510638301</v>
      </c>
      <c r="DD107" t="s">
        <v>759</v>
      </c>
      <c r="DE107">
        <v>6012</v>
      </c>
    </row>
    <row r="108" spans="1:109">
      <c r="A108">
        <v>6013</v>
      </c>
      <c r="B108" t="s">
        <v>798</v>
      </c>
      <c r="C108" t="s">
        <v>52</v>
      </c>
      <c r="E108" t="s">
        <v>43</v>
      </c>
      <c r="H108">
        <v>6</v>
      </c>
      <c r="I108" t="s">
        <v>270</v>
      </c>
      <c r="J108">
        <v>6</v>
      </c>
      <c r="K108">
        <v>0.15</v>
      </c>
      <c r="L108">
        <v>1.3442622950819672</v>
      </c>
      <c r="M108">
        <v>30</v>
      </c>
      <c r="N108">
        <v>42288</v>
      </c>
      <c r="O108" t="s">
        <v>98</v>
      </c>
      <c r="P108">
        <v>0</v>
      </c>
      <c r="Q108">
        <v>0</v>
      </c>
      <c r="R108">
        <v>0</v>
      </c>
      <c r="S108">
        <v>0</v>
      </c>
      <c r="T108">
        <v>0</v>
      </c>
      <c r="U108">
        <v>0</v>
      </c>
      <c r="V108">
        <v>0</v>
      </c>
      <c r="W108">
        <v>0</v>
      </c>
      <c r="X108">
        <v>0</v>
      </c>
      <c r="Y108">
        <v>0</v>
      </c>
      <c r="Z108">
        <v>0</v>
      </c>
      <c r="AA108">
        <v>0</v>
      </c>
      <c r="AB108">
        <v>0</v>
      </c>
      <c r="AC108">
        <v>0</v>
      </c>
      <c r="AD108">
        <v>410</v>
      </c>
      <c r="AE108">
        <v>305</v>
      </c>
      <c r="AF108">
        <v>9</v>
      </c>
      <c r="AG108">
        <v>3690</v>
      </c>
      <c r="AH108">
        <v>22140</v>
      </c>
      <c r="AI108">
        <v>553</v>
      </c>
      <c r="AJ108">
        <v>3321</v>
      </c>
      <c r="AK108">
        <v>2</v>
      </c>
      <c r="AL108">
        <v>0</v>
      </c>
      <c r="AM108">
        <v>0</v>
      </c>
      <c r="AN108">
        <v>0</v>
      </c>
      <c r="AO108">
        <v>0</v>
      </c>
      <c r="AP108">
        <v>0</v>
      </c>
      <c r="AQ108">
        <v>0</v>
      </c>
      <c r="AR108">
        <v>615</v>
      </c>
      <c r="AS108">
        <v>458</v>
      </c>
      <c r="AT108">
        <v>9</v>
      </c>
      <c r="AU108">
        <v>5535</v>
      </c>
      <c r="AV108">
        <v>33210</v>
      </c>
      <c r="AW108">
        <v>830</v>
      </c>
      <c r="AX108">
        <v>4981</v>
      </c>
      <c r="AY108">
        <v>24</v>
      </c>
      <c r="AZ108">
        <v>2200000</v>
      </c>
      <c r="BA108">
        <v>0</v>
      </c>
      <c r="BB108">
        <v>2</v>
      </c>
      <c r="BC108">
        <v>0</v>
      </c>
      <c r="BD108">
        <v>17.227943390545018</v>
      </c>
      <c r="BE108">
        <v>91666</v>
      </c>
      <c r="BF108">
        <v>717</v>
      </c>
      <c r="BG108">
        <v>533</v>
      </c>
      <c r="BH108">
        <v>9</v>
      </c>
      <c r="BI108">
        <v>6453</v>
      </c>
      <c r="BJ108">
        <v>38718</v>
      </c>
      <c r="BK108">
        <v>967</v>
      </c>
      <c r="BL108">
        <v>5807</v>
      </c>
      <c r="BM108">
        <v>56</v>
      </c>
      <c r="BN108">
        <v>3300000</v>
      </c>
      <c r="BO108">
        <v>0</v>
      </c>
      <c r="BP108">
        <v>4</v>
      </c>
      <c r="BQ108">
        <v>0</v>
      </c>
      <c r="BR108">
        <v>23.309313497598016</v>
      </c>
      <c r="BS108">
        <v>58928</v>
      </c>
      <c r="BT108">
        <v>779</v>
      </c>
      <c r="BU108">
        <v>580</v>
      </c>
      <c r="BV108">
        <v>9</v>
      </c>
      <c r="BW108">
        <v>7011</v>
      </c>
      <c r="BX108">
        <v>42066</v>
      </c>
      <c r="BY108">
        <v>1051</v>
      </c>
      <c r="BZ108">
        <v>6309</v>
      </c>
      <c r="CA108">
        <v>102</v>
      </c>
      <c r="CB108">
        <v>4400000</v>
      </c>
      <c r="CC108">
        <v>0</v>
      </c>
      <c r="CD108">
        <v>6</v>
      </c>
      <c r="CE108">
        <v>0</v>
      </c>
      <c r="CF108">
        <v>30.06113012884515</v>
      </c>
      <c r="CG108">
        <v>43137</v>
      </c>
      <c r="CH108">
        <v>820</v>
      </c>
      <c r="CI108">
        <v>610</v>
      </c>
      <c r="CJ108">
        <v>9</v>
      </c>
      <c r="CK108">
        <v>7380</v>
      </c>
      <c r="CL108">
        <v>44280</v>
      </c>
      <c r="CM108">
        <v>1107</v>
      </c>
      <c r="CN108">
        <v>6642</v>
      </c>
      <c r="CO108">
        <v>192</v>
      </c>
      <c r="CP108">
        <v>5500000</v>
      </c>
      <c r="CQ108">
        <v>0</v>
      </c>
      <c r="CR108">
        <v>12</v>
      </c>
      <c r="CS108">
        <v>0</v>
      </c>
      <c r="CT108">
        <v>38.65239385727191</v>
      </c>
      <c r="CU108">
        <v>28645</v>
      </c>
      <c r="CV108">
        <v>376</v>
      </c>
      <c r="CW108">
        <v>15400000</v>
      </c>
      <c r="CX108">
        <v>0</v>
      </c>
      <c r="CY108">
        <v>24</v>
      </c>
      <c r="CZ108">
        <v>0</v>
      </c>
      <c r="DA108">
        <v>86.946702800361336</v>
      </c>
      <c r="DB108">
        <v>40957.446808510642</v>
      </c>
      <c r="DD108" t="s">
        <v>798</v>
      </c>
      <c r="DE108">
        <v>6013</v>
      </c>
    </row>
    <row r="109" spans="1:109">
      <c r="A109">
        <v>6014</v>
      </c>
      <c r="B109" t="s">
        <v>861</v>
      </c>
      <c r="C109" t="s">
        <v>42</v>
      </c>
      <c r="E109" t="s">
        <v>43</v>
      </c>
      <c r="H109">
        <v>6</v>
      </c>
      <c r="I109" t="s">
        <v>270</v>
      </c>
      <c r="J109">
        <v>7</v>
      </c>
      <c r="K109">
        <v>0.1</v>
      </c>
      <c r="L109">
        <v>1.3231552162849873</v>
      </c>
      <c r="M109">
        <v>30</v>
      </c>
      <c r="N109">
        <v>42294</v>
      </c>
      <c r="O109" t="s">
        <v>98</v>
      </c>
      <c r="P109">
        <v>0</v>
      </c>
      <c r="Q109">
        <v>0</v>
      </c>
      <c r="R109">
        <v>0</v>
      </c>
      <c r="S109">
        <v>0</v>
      </c>
      <c r="T109">
        <v>0</v>
      </c>
      <c r="U109">
        <v>0</v>
      </c>
      <c r="V109">
        <v>0</v>
      </c>
      <c r="W109">
        <v>0</v>
      </c>
      <c r="X109">
        <v>0</v>
      </c>
      <c r="Y109">
        <v>0</v>
      </c>
      <c r="Z109">
        <v>0</v>
      </c>
      <c r="AA109">
        <v>0</v>
      </c>
      <c r="AB109">
        <v>0</v>
      </c>
      <c r="AC109">
        <v>0</v>
      </c>
      <c r="AD109">
        <v>520</v>
      </c>
      <c r="AE109">
        <v>393</v>
      </c>
      <c r="AF109">
        <v>6</v>
      </c>
      <c r="AG109">
        <v>3120</v>
      </c>
      <c r="AH109">
        <v>21840</v>
      </c>
      <c r="AI109">
        <v>312</v>
      </c>
      <c r="AJ109">
        <v>2184</v>
      </c>
      <c r="AK109">
        <v>2</v>
      </c>
      <c r="AL109">
        <v>0</v>
      </c>
      <c r="AM109">
        <v>0</v>
      </c>
      <c r="AN109">
        <v>0</v>
      </c>
      <c r="AO109">
        <v>0</v>
      </c>
      <c r="AP109">
        <v>0</v>
      </c>
      <c r="AQ109">
        <v>0</v>
      </c>
      <c r="AR109">
        <v>780</v>
      </c>
      <c r="AS109">
        <v>590</v>
      </c>
      <c r="AT109">
        <v>6</v>
      </c>
      <c r="AU109">
        <v>4680</v>
      </c>
      <c r="AV109">
        <v>32760</v>
      </c>
      <c r="AW109">
        <v>468</v>
      </c>
      <c r="AX109">
        <v>3276</v>
      </c>
      <c r="AY109">
        <v>24</v>
      </c>
      <c r="AZ109">
        <v>2240000</v>
      </c>
      <c r="BA109">
        <v>0</v>
      </c>
      <c r="BB109">
        <v>2</v>
      </c>
      <c r="BC109">
        <v>0</v>
      </c>
      <c r="BD109">
        <v>20.609686609686609</v>
      </c>
      <c r="BE109">
        <v>93333</v>
      </c>
      <c r="BF109">
        <v>908</v>
      </c>
      <c r="BG109">
        <v>686</v>
      </c>
      <c r="BH109">
        <v>6</v>
      </c>
      <c r="BI109">
        <v>5448</v>
      </c>
      <c r="BJ109">
        <v>38136</v>
      </c>
      <c r="BK109">
        <v>544</v>
      </c>
      <c r="BL109">
        <v>3813</v>
      </c>
      <c r="BM109">
        <v>56</v>
      </c>
      <c r="BN109">
        <v>3360000</v>
      </c>
      <c r="BO109">
        <v>0</v>
      </c>
      <c r="BP109">
        <v>4</v>
      </c>
      <c r="BQ109">
        <v>0</v>
      </c>
      <c r="BR109">
        <v>27.701908957415565</v>
      </c>
      <c r="BS109">
        <v>60000</v>
      </c>
      <c r="BT109">
        <v>988</v>
      </c>
      <c r="BU109">
        <v>747</v>
      </c>
      <c r="BV109">
        <v>6</v>
      </c>
      <c r="BW109">
        <v>5928</v>
      </c>
      <c r="BX109">
        <v>41496</v>
      </c>
      <c r="BY109">
        <v>592</v>
      </c>
      <c r="BZ109">
        <v>4149</v>
      </c>
      <c r="CA109">
        <v>102</v>
      </c>
      <c r="CB109">
        <v>4480000</v>
      </c>
      <c r="CC109">
        <v>0</v>
      </c>
      <c r="CD109">
        <v>6</v>
      </c>
      <c r="CE109">
        <v>0</v>
      </c>
      <c r="CF109">
        <v>35.394849302744042</v>
      </c>
      <c r="CG109">
        <v>43921</v>
      </c>
      <c r="CH109">
        <v>1040</v>
      </c>
      <c r="CI109">
        <v>786</v>
      </c>
      <c r="CJ109">
        <v>6</v>
      </c>
      <c r="CK109">
        <v>6240</v>
      </c>
      <c r="CL109">
        <v>43680</v>
      </c>
      <c r="CM109">
        <v>624</v>
      </c>
      <c r="CN109">
        <v>4368</v>
      </c>
      <c r="CO109">
        <v>192</v>
      </c>
      <c r="CP109">
        <v>5600000</v>
      </c>
      <c r="CQ109">
        <v>0</v>
      </c>
      <c r="CR109">
        <v>12</v>
      </c>
      <c r="CS109">
        <v>0</v>
      </c>
      <c r="CT109">
        <v>44.993162393162386</v>
      </c>
      <c r="CU109">
        <v>29166</v>
      </c>
      <c r="CV109">
        <v>376</v>
      </c>
      <c r="CW109">
        <v>15680000</v>
      </c>
      <c r="CX109">
        <v>0</v>
      </c>
      <c r="CY109">
        <v>24</v>
      </c>
      <c r="CZ109">
        <v>0</v>
      </c>
      <c r="DA109">
        <v>104.70085470085469</v>
      </c>
      <c r="DB109">
        <v>41702.127659574471</v>
      </c>
      <c r="DD109" t="s">
        <v>861</v>
      </c>
      <c r="DE109">
        <v>6014</v>
      </c>
    </row>
    <row r="110" spans="1:109">
      <c r="A110">
        <v>6015</v>
      </c>
      <c r="B110" t="s">
        <v>862</v>
      </c>
      <c r="C110" t="s">
        <v>77</v>
      </c>
      <c r="E110" t="s">
        <v>43</v>
      </c>
      <c r="F110" t="s">
        <v>43</v>
      </c>
      <c r="H110">
        <v>6</v>
      </c>
      <c r="I110" t="s">
        <v>270</v>
      </c>
      <c r="J110">
        <v>7</v>
      </c>
      <c r="K110">
        <v>0.2</v>
      </c>
      <c r="L110">
        <v>1.4246575342465753</v>
      </c>
      <c r="M110">
        <v>30</v>
      </c>
      <c r="N110">
        <v>42301</v>
      </c>
      <c r="O110" t="s">
        <v>98</v>
      </c>
      <c r="P110">
        <v>0</v>
      </c>
      <c r="Q110">
        <v>0</v>
      </c>
      <c r="R110">
        <v>0</v>
      </c>
      <c r="S110">
        <v>0</v>
      </c>
      <c r="T110">
        <v>0</v>
      </c>
      <c r="U110">
        <v>0</v>
      </c>
      <c r="V110">
        <v>0</v>
      </c>
      <c r="W110">
        <v>0</v>
      </c>
      <c r="X110">
        <v>0</v>
      </c>
      <c r="Y110">
        <v>0</v>
      </c>
      <c r="Z110">
        <v>0</v>
      </c>
      <c r="AA110">
        <v>0</v>
      </c>
      <c r="AB110">
        <v>0</v>
      </c>
      <c r="AC110">
        <v>0</v>
      </c>
      <c r="AD110">
        <v>520</v>
      </c>
      <c r="AE110">
        <v>365</v>
      </c>
      <c r="AF110">
        <v>5</v>
      </c>
      <c r="AG110">
        <v>2600</v>
      </c>
      <c r="AH110">
        <v>18200</v>
      </c>
      <c r="AI110">
        <v>520</v>
      </c>
      <c r="AJ110">
        <v>3640</v>
      </c>
      <c r="AK110">
        <v>2</v>
      </c>
      <c r="AL110">
        <v>0</v>
      </c>
      <c r="AM110">
        <v>0</v>
      </c>
      <c r="AN110">
        <v>0</v>
      </c>
      <c r="AO110">
        <v>0</v>
      </c>
      <c r="AP110">
        <v>0</v>
      </c>
      <c r="AQ110">
        <v>0</v>
      </c>
      <c r="AR110">
        <v>780</v>
      </c>
      <c r="AS110">
        <v>548</v>
      </c>
      <c r="AT110">
        <v>5</v>
      </c>
      <c r="AU110">
        <v>3900</v>
      </c>
      <c r="AV110">
        <v>27300</v>
      </c>
      <c r="AW110">
        <v>780</v>
      </c>
      <c r="AX110">
        <v>5460</v>
      </c>
      <c r="AY110">
        <v>24</v>
      </c>
      <c r="AZ110">
        <v>2160000</v>
      </c>
      <c r="BA110">
        <v>0</v>
      </c>
      <c r="BB110">
        <v>1</v>
      </c>
      <c r="BC110">
        <v>0</v>
      </c>
      <c r="BD110">
        <v>23.743589743589741</v>
      </c>
      <c r="BE110">
        <v>90000</v>
      </c>
      <c r="BF110">
        <v>908</v>
      </c>
      <c r="BG110">
        <v>637</v>
      </c>
      <c r="BH110">
        <v>5</v>
      </c>
      <c r="BI110">
        <v>4540</v>
      </c>
      <c r="BJ110">
        <v>31780</v>
      </c>
      <c r="BK110">
        <v>908</v>
      </c>
      <c r="BL110">
        <v>6356</v>
      </c>
      <c r="BM110">
        <v>56</v>
      </c>
      <c r="BN110">
        <v>3240000</v>
      </c>
      <c r="BO110">
        <v>0</v>
      </c>
      <c r="BP110">
        <v>3</v>
      </c>
      <c r="BQ110">
        <v>0</v>
      </c>
      <c r="BR110">
        <v>31.740088105726873</v>
      </c>
      <c r="BS110">
        <v>57857</v>
      </c>
      <c r="BT110">
        <v>988</v>
      </c>
      <c r="BU110">
        <v>694</v>
      </c>
      <c r="BV110">
        <v>5</v>
      </c>
      <c r="BW110">
        <v>4940</v>
      </c>
      <c r="BX110">
        <v>34580</v>
      </c>
      <c r="BY110">
        <v>988</v>
      </c>
      <c r="BZ110">
        <v>6916</v>
      </c>
      <c r="CA110">
        <v>102</v>
      </c>
      <c r="CB110">
        <v>4320000</v>
      </c>
      <c r="CC110">
        <v>0</v>
      </c>
      <c r="CD110">
        <v>5</v>
      </c>
      <c r="CE110">
        <v>0</v>
      </c>
      <c r="CF110">
        <v>40.343117408906885</v>
      </c>
      <c r="CG110">
        <v>42352</v>
      </c>
      <c r="CH110">
        <v>1040</v>
      </c>
      <c r="CI110">
        <v>730</v>
      </c>
      <c r="CJ110">
        <v>5</v>
      </c>
      <c r="CK110">
        <v>5200</v>
      </c>
      <c r="CL110">
        <v>36400</v>
      </c>
      <c r="CM110">
        <v>1040</v>
      </c>
      <c r="CN110">
        <v>7280</v>
      </c>
      <c r="CO110">
        <v>192</v>
      </c>
      <c r="CP110">
        <v>5400000</v>
      </c>
      <c r="CQ110">
        <v>0</v>
      </c>
      <c r="CR110">
        <v>10</v>
      </c>
      <c r="CS110">
        <v>0</v>
      </c>
      <c r="CT110">
        <v>50.869230769230768</v>
      </c>
      <c r="CU110">
        <v>28125</v>
      </c>
      <c r="CV110">
        <v>376</v>
      </c>
      <c r="CW110">
        <v>15120000</v>
      </c>
      <c r="CX110">
        <v>0</v>
      </c>
      <c r="CY110">
        <v>19</v>
      </c>
      <c r="CZ110">
        <v>0</v>
      </c>
      <c r="DA110">
        <v>121.15384615384615</v>
      </c>
      <c r="DB110">
        <v>40212.765957446805</v>
      </c>
      <c r="DD110" t="s">
        <v>862</v>
      </c>
      <c r="DE110">
        <v>6015</v>
      </c>
    </row>
    <row r="111" spans="1:109">
      <c r="A111">
        <v>6016</v>
      </c>
      <c r="B111" t="s">
        <v>189</v>
      </c>
      <c r="C111" t="s">
        <v>48</v>
      </c>
      <c r="F111" t="s">
        <v>43</v>
      </c>
      <c r="G111" t="s">
        <v>43</v>
      </c>
      <c r="H111">
        <v>6</v>
      </c>
      <c r="I111" t="s">
        <v>270</v>
      </c>
      <c r="J111">
        <v>9</v>
      </c>
      <c r="K111">
        <v>2.5000000000000001E-2</v>
      </c>
      <c r="L111">
        <v>4.7457627118644066</v>
      </c>
      <c r="M111">
        <v>30</v>
      </c>
      <c r="N111">
        <v>42315</v>
      </c>
      <c r="O111" t="s">
        <v>206</v>
      </c>
      <c r="P111">
        <v>0</v>
      </c>
      <c r="Q111">
        <v>0</v>
      </c>
      <c r="R111">
        <v>0</v>
      </c>
      <c r="S111">
        <v>0</v>
      </c>
      <c r="T111">
        <v>0</v>
      </c>
      <c r="U111">
        <v>0</v>
      </c>
      <c r="V111">
        <v>0</v>
      </c>
      <c r="W111">
        <v>0</v>
      </c>
      <c r="X111">
        <v>0</v>
      </c>
      <c r="Y111">
        <v>0</v>
      </c>
      <c r="Z111">
        <v>0</v>
      </c>
      <c r="AA111">
        <v>0</v>
      </c>
      <c r="AB111">
        <v>0</v>
      </c>
      <c r="AC111">
        <v>0</v>
      </c>
      <c r="AD111">
        <v>374</v>
      </c>
      <c r="AE111">
        <v>79</v>
      </c>
      <c r="AF111">
        <v>5</v>
      </c>
      <c r="AG111">
        <v>1870</v>
      </c>
      <c r="AH111">
        <v>16830</v>
      </c>
      <c r="AI111">
        <v>46</v>
      </c>
      <c r="AJ111">
        <v>420</v>
      </c>
      <c r="AK111">
        <v>2.5</v>
      </c>
      <c r="AL111">
        <v>0</v>
      </c>
      <c r="AM111">
        <v>0</v>
      </c>
      <c r="AN111">
        <v>0</v>
      </c>
      <c r="AO111">
        <v>0</v>
      </c>
      <c r="AP111">
        <v>0</v>
      </c>
      <c r="AQ111">
        <v>0</v>
      </c>
      <c r="AR111">
        <v>467</v>
      </c>
      <c r="AS111">
        <v>99</v>
      </c>
      <c r="AT111">
        <v>5</v>
      </c>
      <c r="AU111">
        <v>2335</v>
      </c>
      <c r="AV111">
        <v>21015</v>
      </c>
      <c r="AW111">
        <v>58</v>
      </c>
      <c r="AX111">
        <v>525</v>
      </c>
      <c r="AY111">
        <v>32</v>
      </c>
      <c r="AZ111">
        <v>2240000</v>
      </c>
      <c r="BA111">
        <v>0</v>
      </c>
      <c r="BB111">
        <v>2</v>
      </c>
      <c r="BC111">
        <v>0</v>
      </c>
      <c r="BD111">
        <v>41.039257673090653</v>
      </c>
      <c r="BE111">
        <v>70000</v>
      </c>
      <c r="BF111">
        <v>560</v>
      </c>
      <c r="BG111">
        <v>118</v>
      </c>
      <c r="BH111">
        <v>5</v>
      </c>
      <c r="BI111">
        <v>2800</v>
      </c>
      <c r="BJ111">
        <v>25200</v>
      </c>
      <c r="BK111">
        <v>70</v>
      </c>
      <c r="BL111">
        <v>630</v>
      </c>
      <c r="BM111">
        <v>72</v>
      </c>
      <c r="BN111">
        <v>3360000</v>
      </c>
      <c r="BO111">
        <v>0</v>
      </c>
      <c r="BP111">
        <v>4</v>
      </c>
      <c r="BQ111">
        <v>0</v>
      </c>
      <c r="BR111">
        <v>52.501785714285717</v>
      </c>
      <c r="BS111">
        <v>46666</v>
      </c>
      <c r="BT111">
        <v>747</v>
      </c>
      <c r="BU111">
        <v>158</v>
      </c>
      <c r="BV111">
        <v>5</v>
      </c>
      <c r="BW111">
        <v>3735</v>
      </c>
      <c r="BX111">
        <v>33615</v>
      </c>
      <c r="BY111">
        <v>93</v>
      </c>
      <c r="BZ111">
        <v>840</v>
      </c>
      <c r="CA111">
        <v>120</v>
      </c>
      <c r="CB111">
        <v>4480000</v>
      </c>
      <c r="CC111">
        <v>0</v>
      </c>
      <c r="CD111">
        <v>6</v>
      </c>
      <c r="CE111">
        <v>0</v>
      </c>
      <c r="CF111">
        <v>53.726015171798302</v>
      </c>
      <c r="CG111">
        <v>37333</v>
      </c>
      <c r="CH111">
        <v>1120</v>
      </c>
      <c r="CI111">
        <v>236</v>
      </c>
      <c r="CJ111">
        <v>6</v>
      </c>
      <c r="CK111">
        <v>6720</v>
      </c>
      <c r="CL111">
        <v>60480</v>
      </c>
      <c r="CM111">
        <v>168</v>
      </c>
      <c r="CN111">
        <v>1512</v>
      </c>
      <c r="CO111">
        <v>216</v>
      </c>
      <c r="CP111">
        <v>5600000</v>
      </c>
      <c r="CQ111">
        <v>0</v>
      </c>
      <c r="CR111">
        <v>12</v>
      </c>
      <c r="CS111">
        <v>0</v>
      </c>
      <c r="CT111">
        <v>39.724454365079367</v>
      </c>
      <c r="CU111">
        <v>25925</v>
      </c>
      <c r="CV111">
        <v>442.5</v>
      </c>
      <c r="CW111">
        <v>15680000</v>
      </c>
      <c r="CX111">
        <v>0</v>
      </c>
      <c r="CY111">
        <v>24</v>
      </c>
      <c r="CZ111">
        <v>0</v>
      </c>
      <c r="DA111">
        <v>97.222222222222229</v>
      </c>
      <c r="DB111">
        <v>35435.028248587572</v>
      </c>
      <c r="DD111" t="s">
        <v>189</v>
      </c>
      <c r="DE111">
        <v>6016</v>
      </c>
    </row>
    <row r="112" spans="1:109">
      <c r="A112">
        <v>6017</v>
      </c>
      <c r="B112" t="s">
        <v>760</v>
      </c>
      <c r="C112" t="s">
        <v>54</v>
      </c>
      <c r="E112" t="s">
        <v>43</v>
      </c>
      <c r="H112">
        <v>6</v>
      </c>
      <c r="I112" t="s">
        <v>270</v>
      </c>
      <c r="J112">
        <v>6</v>
      </c>
      <c r="K112">
        <v>7.4999999999999997E-2</v>
      </c>
      <c r="L112">
        <v>3.657142857142857</v>
      </c>
      <c r="M112">
        <v>30</v>
      </c>
      <c r="N112">
        <v>42322</v>
      </c>
      <c r="O112" t="s">
        <v>206</v>
      </c>
      <c r="P112">
        <v>0</v>
      </c>
      <c r="Q112">
        <v>0</v>
      </c>
      <c r="R112">
        <v>0</v>
      </c>
      <c r="S112">
        <v>0</v>
      </c>
      <c r="T112">
        <v>0</v>
      </c>
      <c r="U112">
        <v>0</v>
      </c>
      <c r="V112">
        <v>0</v>
      </c>
      <c r="W112">
        <v>0</v>
      </c>
      <c r="X112">
        <v>0</v>
      </c>
      <c r="Y112">
        <v>0</v>
      </c>
      <c r="Z112">
        <v>0</v>
      </c>
      <c r="AA112">
        <v>0</v>
      </c>
      <c r="AB112">
        <v>0</v>
      </c>
      <c r="AC112">
        <v>0</v>
      </c>
      <c r="AD112">
        <v>427</v>
      </c>
      <c r="AE112">
        <v>117</v>
      </c>
      <c r="AF112">
        <v>7</v>
      </c>
      <c r="AG112">
        <v>2989</v>
      </c>
      <c r="AH112">
        <v>17934</v>
      </c>
      <c r="AI112">
        <v>224</v>
      </c>
      <c r="AJ112">
        <v>1345</v>
      </c>
      <c r="AK112">
        <v>2.5</v>
      </c>
      <c r="AL112">
        <v>0</v>
      </c>
      <c r="AM112">
        <v>0</v>
      </c>
      <c r="AN112">
        <v>0</v>
      </c>
      <c r="AO112">
        <v>0</v>
      </c>
      <c r="AP112">
        <v>0</v>
      </c>
      <c r="AQ112">
        <v>0</v>
      </c>
      <c r="AR112">
        <v>534</v>
      </c>
      <c r="AS112">
        <v>146</v>
      </c>
      <c r="AT112">
        <v>7</v>
      </c>
      <c r="AU112">
        <v>3738</v>
      </c>
      <c r="AV112">
        <v>22428</v>
      </c>
      <c r="AW112">
        <v>280</v>
      </c>
      <c r="AX112">
        <v>1682</v>
      </c>
      <c r="AY112">
        <v>32</v>
      </c>
      <c r="AZ112">
        <v>2320000</v>
      </c>
      <c r="BA112">
        <v>0</v>
      </c>
      <c r="BB112">
        <v>2</v>
      </c>
      <c r="BC112">
        <v>0</v>
      </c>
      <c r="BD112">
        <v>26.926698769395401</v>
      </c>
      <c r="BE112">
        <v>72500</v>
      </c>
      <c r="BF112">
        <v>640</v>
      </c>
      <c r="BG112">
        <v>175</v>
      </c>
      <c r="BH112">
        <v>7</v>
      </c>
      <c r="BI112">
        <v>4480</v>
      </c>
      <c r="BJ112">
        <v>26880</v>
      </c>
      <c r="BK112">
        <v>336</v>
      </c>
      <c r="BL112">
        <v>2016</v>
      </c>
      <c r="BM112">
        <v>72</v>
      </c>
      <c r="BN112">
        <v>3480000</v>
      </c>
      <c r="BO112">
        <v>0</v>
      </c>
      <c r="BP112">
        <v>4</v>
      </c>
      <c r="BQ112">
        <v>0</v>
      </c>
      <c r="BR112">
        <v>34.869196428571428</v>
      </c>
      <c r="BS112">
        <v>48333</v>
      </c>
      <c r="BT112">
        <v>854</v>
      </c>
      <c r="BU112">
        <v>234</v>
      </c>
      <c r="BV112">
        <v>7</v>
      </c>
      <c r="BW112">
        <v>5978</v>
      </c>
      <c r="BX112">
        <v>35868</v>
      </c>
      <c r="BY112">
        <v>448</v>
      </c>
      <c r="BZ112">
        <v>2690</v>
      </c>
      <c r="CA112">
        <v>120</v>
      </c>
      <c r="CB112">
        <v>4640000</v>
      </c>
      <c r="CC112">
        <v>0</v>
      </c>
      <c r="CD112">
        <v>6</v>
      </c>
      <c r="CE112">
        <v>0</v>
      </c>
      <c r="CF112">
        <v>36.087877774060445</v>
      </c>
      <c r="CG112">
        <v>38666</v>
      </c>
      <c r="CH112">
        <v>1280</v>
      </c>
      <c r="CI112">
        <v>350</v>
      </c>
      <c r="CJ112">
        <v>8</v>
      </c>
      <c r="CK112">
        <v>10240</v>
      </c>
      <c r="CL112">
        <v>61440</v>
      </c>
      <c r="CM112">
        <v>768</v>
      </c>
      <c r="CN112">
        <v>4608</v>
      </c>
      <c r="CO112">
        <v>216</v>
      </c>
      <c r="CP112">
        <v>5800000</v>
      </c>
      <c r="CQ112">
        <v>0</v>
      </c>
      <c r="CR112">
        <v>12</v>
      </c>
      <c r="CS112">
        <v>0</v>
      </c>
      <c r="CT112">
        <v>28.854361979166669</v>
      </c>
      <c r="CU112">
        <v>26851</v>
      </c>
      <c r="CV112">
        <v>442.5</v>
      </c>
      <c r="CW112">
        <v>16240000</v>
      </c>
      <c r="CX112">
        <v>0</v>
      </c>
      <c r="CY112">
        <v>24</v>
      </c>
      <c r="CZ112">
        <v>0</v>
      </c>
      <c r="DA112">
        <v>66.080729166666671</v>
      </c>
      <c r="DB112">
        <v>36700.56497175141</v>
      </c>
      <c r="DD112" t="s">
        <v>760</v>
      </c>
      <c r="DE112">
        <v>6017</v>
      </c>
    </row>
    <row r="113" spans="1:109">
      <c r="A113">
        <v>6018</v>
      </c>
      <c r="B113" t="s">
        <v>863</v>
      </c>
      <c r="C113" t="s">
        <v>42</v>
      </c>
      <c r="E113" t="s">
        <v>43</v>
      </c>
      <c r="F113" t="s">
        <v>43</v>
      </c>
      <c r="H113">
        <v>6</v>
      </c>
      <c r="I113" t="s">
        <v>270</v>
      </c>
      <c r="J113">
        <v>7</v>
      </c>
      <c r="K113">
        <v>0.1</v>
      </c>
      <c r="L113">
        <v>1.3417721518987342</v>
      </c>
      <c r="M113">
        <v>30</v>
      </c>
      <c r="N113">
        <v>42329</v>
      </c>
      <c r="O113" t="s">
        <v>206</v>
      </c>
      <c r="P113">
        <v>0</v>
      </c>
      <c r="Q113">
        <v>0</v>
      </c>
      <c r="R113">
        <v>0</v>
      </c>
      <c r="S113">
        <v>0</v>
      </c>
      <c r="T113">
        <v>0</v>
      </c>
      <c r="U113">
        <v>0</v>
      </c>
      <c r="V113">
        <v>0</v>
      </c>
      <c r="W113">
        <v>0</v>
      </c>
      <c r="X113">
        <v>0</v>
      </c>
      <c r="Y113">
        <v>0</v>
      </c>
      <c r="Z113">
        <v>0</v>
      </c>
      <c r="AA113">
        <v>0</v>
      </c>
      <c r="AB113">
        <v>0</v>
      </c>
      <c r="AC113">
        <v>0</v>
      </c>
      <c r="AD113">
        <v>354</v>
      </c>
      <c r="AE113">
        <v>264</v>
      </c>
      <c r="AF113">
        <v>6</v>
      </c>
      <c r="AG113">
        <v>2124</v>
      </c>
      <c r="AH113">
        <v>14868</v>
      </c>
      <c r="AI113">
        <v>212</v>
      </c>
      <c r="AJ113">
        <v>1486</v>
      </c>
      <c r="AK113">
        <v>2.5</v>
      </c>
      <c r="AL113">
        <v>0</v>
      </c>
      <c r="AM113">
        <v>0</v>
      </c>
      <c r="AN113">
        <v>0</v>
      </c>
      <c r="AO113">
        <v>0</v>
      </c>
      <c r="AP113">
        <v>0</v>
      </c>
      <c r="AQ113">
        <v>0</v>
      </c>
      <c r="AR113">
        <v>442</v>
      </c>
      <c r="AS113">
        <v>330</v>
      </c>
      <c r="AT113">
        <v>6</v>
      </c>
      <c r="AU113">
        <v>2652</v>
      </c>
      <c r="AV113">
        <v>18564</v>
      </c>
      <c r="AW113">
        <v>265</v>
      </c>
      <c r="AX113">
        <v>1856</v>
      </c>
      <c r="AY113">
        <v>32</v>
      </c>
      <c r="AZ113">
        <v>2280000</v>
      </c>
      <c r="BA113">
        <v>0</v>
      </c>
      <c r="BB113">
        <v>2</v>
      </c>
      <c r="BC113">
        <v>0</v>
      </c>
      <c r="BD113">
        <v>36.889894419306181</v>
      </c>
      <c r="BE113">
        <v>71250</v>
      </c>
      <c r="BF113">
        <v>530</v>
      </c>
      <c r="BG113">
        <v>395</v>
      </c>
      <c r="BH113">
        <v>6</v>
      </c>
      <c r="BI113">
        <v>3180</v>
      </c>
      <c r="BJ113">
        <v>22260</v>
      </c>
      <c r="BK113">
        <v>318</v>
      </c>
      <c r="BL113">
        <v>2226</v>
      </c>
      <c r="BM113">
        <v>72</v>
      </c>
      <c r="BN113">
        <v>3420000</v>
      </c>
      <c r="BO113">
        <v>0</v>
      </c>
      <c r="BP113">
        <v>4</v>
      </c>
      <c r="BQ113">
        <v>0</v>
      </c>
      <c r="BR113">
        <v>47.31320754716981</v>
      </c>
      <c r="BS113">
        <v>47500</v>
      </c>
      <c r="BT113">
        <v>707</v>
      </c>
      <c r="BU113">
        <v>527</v>
      </c>
      <c r="BV113">
        <v>6</v>
      </c>
      <c r="BW113">
        <v>4242</v>
      </c>
      <c r="BX113">
        <v>29694</v>
      </c>
      <c r="BY113">
        <v>424</v>
      </c>
      <c r="BZ113">
        <v>2969</v>
      </c>
      <c r="CA113">
        <v>120</v>
      </c>
      <c r="CB113">
        <v>4560000</v>
      </c>
      <c r="CC113">
        <v>0</v>
      </c>
      <c r="CD113">
        <v>6</v>
      </c>
      <c r="CE113">
        <v>0</v>
      </c>
      <c r="CF113">
        <v>48.538425271098539</v>
      </c>
      <c r="CG113">
        <v>38000</v>
      </c>
      <c r="CH113">
        <v>1060</v>
      </c>
      <c r="CI113">
        <v>790</v>
      </c>
      <c r="CJ113">
        <v>7</v>
      </c>
      <c r="CK113">
        <v>7420</v>
      </c>
      <c r="CL113">
        <v>51940</v>
      </c>
      <c r="CM113">
        <v>742</v>
      </c>
      <c r="CN113">
        <v>5194</v>
      </c>
      <c r="CO113">
        <v>216</v>
      </c>
      <c r="CP113">
        <v>5700000</v>
      </c>
      <c r="CQ113">
        <v>0</v>
      </c>
      <c r="CR113">
        <v>12</v>
      </c>
      <c r="CS113">
        <v>0</v>
      </c>
      <c r="CT113">
        <v>37.153369272237192</v>
      </c>
      <c r="CU113">
        <v>26388</v>
      </c>
      <c r="CV113">
        <v>442.5</v>
      </c>
      <c r="CW113">
        <v>15960000</v>
      </c>
      <c r="CX113">
        <v>0</v>
      </c>
      <c r="CY113">
        <v>24</v>
      </c>
      <c r="CZ113">
        <v>0</v>
      </c>
      <c r="DA113">
        <v>89.622641509433961</v>
      </c>
      <c r="DB113">
        <v>36067.796610169491</v>
      </c>
      <c r="DD113" t="s">
        <v>863</v>
      </c>
      <c r="DE113">
        <v>6018</v>
      </c>
    </row>
    <row r="114" spans="1:109">
      <c r="A114">
        <v>6019</v>
      </c>
      <c r="B114" t="s">
        <v>864</v>
      </c>
      <c r="C114" t="s">
        <v>52</v>
      </c>
      <c r="F114" t="s">
        <v>43</v>
      </c>
      <c r="H114">
        <v>6</v>
      </c>
      <c r="I114" t="s">
        <v>270</v>
      </c>
      <c r="J114">
        <v>6</v>
      </c>
      <c r="K114">
        <v>0.15</v>
      </c>
      <c r="L114">
        <v>1.3440000000000001</v>
      </c>
      <c r="M114">
        <v>30</v>
      </c>
      <c r="N114">
        <v>42330</v>
      </c>
      <c r="O114" t="s">
        <v>206</v>
      </c>
      <c r="P114">
        <v>0</v>
      </c>
      <c r="Q114">
        <v>0</v>
      </c>
      <c r="R114">
        <v>0</v>
      </c>
      <c r="S114">
        <v>0</v>
      </c>
      <c r="T114">
        <v>0</v>
      </c>
      <c r="U114">
        <v>0</v>
      </c>
      <c r="V114">
        <v>0</v>
      </c>
      <c r="W114">
        <v>0</v>
      </c>
      <c r="X114">
        <v>0</v>
      </c>
      <c r="Y114">
        <v>0</v>
      </c>
      <c r="Z114">
        <v>0</v>
      </c>
      <c r="AA114">
        <v>0</v>
      </c>
      <c r="AB114">
        <v>0</v>
      </c>
      <c r="AC114">
        <v>0</v>
      </c>
      <c r="AD114">
        <v>280</v>
      </c>
      <c r="AE114">
        <v>209</v>
      </c>
      <c r="AF114">
        <v>9</v>
      </c>
      <c r="AG114">
        <v>2520</v>
      </c>
      <c r="AH114">
        <v>15120</v>
      </c>
      <c r="AI114">
        <v>378</v>
      </c>
      <c r="AJ114">
        <v>2268</v>
      </c>
      <c r="AK114">
        <v>2.5</v>
      </c>
      <c r="AL114">
        <v>0</v>
      </c>
      <c r="AM114">
        <v>0</v>
      </c>
      <c r="AN114">
        <v>0</v>
      </c>
      <c r="AO114">
        <v>0</v>
      </c>
      <c r="AP114">
        <v>0</v>
      </c>
      <c r="AQ114">
        <v>0</v>
      </c>
      <c r="AR114">
        <v>350</v>
      </c>
      <c r="AS114">
        <v>261</v>
      </c>
      <c r="AT114">
        <v>9</v>
      </c>
      <c r="AU114">
        <v>3150</v>
      </c>
      <c r="AV114">
        <v>18900</v>
      </c>
      <c r="AW114">
        <v>472</v>
      </c>
      <c r="AX114">
        <v>2835</v>
      </c>
      <c r="AY114">
        <v>32</v>
      </c>
      <c r="AZ114">
        <v>2240000</v>
      </c>
      <c r="BA114">
        <v>0</v>
      </c>
      <c r="BB114">
        <v>2</v>
      </c>
      <c r="BC114">
        <v>0</v>
      </c>
      <c r="BD114">
        <v>30.696296296296296</v>
      </c>
      <c r="BE114">
        <v>70000</v>
      </c>
      <c r="BF114">
        <v>420</v>
      </c>
      <c r="BG114">
        <v>313</v>
      </c>
      <c r="BH114">
        <v>9</v>
      </c>
      <c r="BI114">
        <v>3780</v>
      </c>
      <c r="BJ114">
        <v>22680</v>
      </c>
      <c r="BK114">
        <v>567</v>
      </c>
      <c r="BL114">
        <v>3402</v>
      </c>
      <c r="BM114">
        <v>72</v>
      </c>
      <c r="BN114">
        <v>3360000</v>
      </c>
      <c r="BO114">
        <v>0</v>
      </c>
      <c r="BP114">
        <v>4</v>
      </c>
      <c r="BQ114">
        <v>0</v>
      </c>
      <c r="BR114">
        <v>39.537037037037038</v>
      </c>
      <c r="BS114">
        <v>46666</v>
      </c>
      <c r="BT114">
        <v>560</v>
      </c>
      <c r="BU114">
        <v>417</v>
      </c>
      <c r="BV114">
        <v>9</v>
      </c>
      <c r="BW114">
        <v>5040</v>
      </c>
      <c r="BX114">
        <v>30240</v>
      </c>
      <c r="BY114">
        <v>756</v>
      </c>
      <c r="BZ114">
        <v>4536</v>
      </c>
      <c r="CA114">
        <v>120</v>
      </c>
      <c r="CB114">
        <v>4480000</v>
      </c>
      <c r="CC114">
        <v>0</v>
      </c>
      <c r="CD114">
        <v>6</v>
      </c>
      <c r="CE114">
        <v>0</v>
      </c>
      <c r="CF114">
        <v>40.787037037037038</v>
      </c>
      <c r="CG114">
        <v>37333</v>
      </c>
      <c r="CH114">
        <v>840</v>
      </c>
      <c r="CI114">
        <v>625</v>
      </c>
      <c r="CJ114">
        <v>10</v>
      </c>
      <c r="CK114">
        <v>8400</v>
      </c>
      <c r="CL114">
        <v>50400</v>
      </c>
      <c r="CM114">
        <v>1260</v>
      </c>
      <c r="CN114">
        <v>7560</v>
      </c>
      <c r="CO114">
        <v>216</v>
      </c>
      <c r="CP114">
        <v>5600000</v>
      </c>
      <c r="CQ114">
        <v>0</v>
      </c>
      <c r="CR114">
        <v>12</v>
      </c>
      <c r="CS114">
        <v>0</v>
      </c>
      <c r="CT114">
        <v>33.177777777777777</v>
      </c>
      <c r="CU114">
        <v>25925</v>
      </c>
      <c r="CV114">
        <v>442.5</v>
      </c>
      <c r="CW114">
        <v>15680000</v>
      </c>
      <c r="CX114">
        <v>0</v>
      </c>
      <c r="CY114">
        <v>24</v>
      </c>
      <c r="CZ114">
        <v>0</v>
      </c>
      <c r="DA114">
        <v>77.777777777777786</v>
      </c>
      <c r="DB114">
        <v>35435.028248587572</v>
      </c>
      <c r="DD114" t="s">
        <v>864</v>
      </c>
      <c r="DE114">
        <v>6019</v>
      </c>
    </row>
    <row r="115" spans="1:109">
      <c r="A115">
        <v>6020</v>
      </c>
      <c r="B115" t="s">
        <v>865</v>
      </c>
      <c r="C115" t="s">
        <v>77</v>
      </c>
      <c r="E115" t="s">
        <v>43</v>
      </c>
      <c r="H115">
        <v>6</v>
      </c>
      <c r="I115" t="s">
        <v>270</v>
      </c>
      <c r="J115">
        <v>7</v>
      </c>
      <c r="K115">
        <v>0.2</v>
      </c>
      <c r="L115">
        <v>1.44</v>
      </c>
      <c r="M115">
        <v>30</v>
      </c>
      <c r="N115">
        <v>42336</v>
      </c>
      <c r="O115" t="s">
        <v>206</v>
      </c>
      <c r="P115">
        <v>0</v>
      </c>
      <c r="Q115">
        <v>0</v>
      </c>
      <c r="R115">
        <v>0</v>
      </c>
      <c r="S115">
        <v>0</v>
      </c>
      <c r="T115">
        <v>0</v>
      </c>
      <c r="U115">
        <v>0</v>
      </c>
      <c r="V115">
        <v>0</v>
      </c>
      <c r="W115">
        <v>0</v>
      </c>
      <c r="X115">
        <v>0</v>
      </c>
      <c r="Y115">
        <v>0</v>
      </c>
      <c r="Z115">
        <v>0</v>
      </c>
      <c r="AA115">
        <v>0</v>
      </c>
      <c r="AB115">
        <v>0</v>
      </c>
      <c r="AC115">
        <v>0</v>
      </c>
      <c r="AD115">
        <v>360</v>
      </c>
      <c r="AE115">
        <v>250</v>
      </c>
      <c r="AF115">
        <v>5</v>
      </c>
      <c r="AG115">
        <v>1800</v>
      </c>
      <c r="AH115">
        <v>12600</v>
      </c>
      <c r="AI115">
        <v>360</v>
      </c>
      <c r="AJ115">
        <v>2520</v>
      </c>
      <c r="AK115">
        <v>2.5</v>
      </c>
      <c r="AL115">
        <v>0</v>
      </c>
      <c r="AM115">
        <v>0</v>
      </c>
      <c r="AN115">
        <v>0</v>
      </c>
      <c r="AO115">
        <v>0</v>
      </c>
      <c r="AP115">
        <v>0</v>
      </c>
      <c r="AQ115">
        <v>0</v>
      </c>
      <c r="AR115">
        <v>450</v>
      </c>
      <c r="AS115">
        <v>313</v>
      </c>
      <c r="AT115">
        <v>5</v>
      </c>
      <c r="AU115">
        <v>2250</v>
      </c>
      <c r="AV115">
        <v>15750</v>
      </c>
      <c r="AW115">
        <v>450</v>
      </c>
      <c r="AX115">
        <v>3150</v>
      </c>
      <c r="AY115">
        <v>32</v>
      </c>
      <c r="AZ115">
        <v>2200000</v>
      </c>
      <c r="BA115">
        <v>0</v>
      </c>
      <c r="BB115">
        <v>2</v>
      </c>
      <c r="BC115">
        <v>0</v>
      </c>
      <c r="BD115">
        <v>41.807407407407403</v>
      </c>
      <c r="BE115">
        <v>68750</v>
      </c>
      <c r="BF115">
        <v>540</v>
      </c>
      <c r="BG115">
        <v>375</v>
      </c>
      <c r="BH115">
        <v>5</v>
      </c>
      <c r="BI115">
        <v>2700</v>
      </c>
      <c r="BJ115">
        <v>18900</v>
      </c>
      <c r="BK115">
        <v>540</v>
      </c>
      <c r="BL115">
        <v>3780</v>
      </c>
      <c r="BM115">
        <v>72</v>
      </c>
      <c r="BN115">
        <v>3300000</v>
      </c>
      <c r="BO115">
        <v>0</v>
      </c>
      <c r="BP115">
        <v>4</v>
      </c>
      <c r="BQ115">
        <v>0</v>
      </c>
      <c r="BR115">
        <v>53.425925925925924</v>
      </c>
      <c r="BS115">
        <v>45833</v>
      </c>
      <c r="BT115">
        <v>720</v>
      </c>
      <c r="BU115">
        <v>500</v>
      </c>
      <c r="BV115">
        <v>5</v>
      </c>
      <c r="BW115">
        <v>3600</v>
      </c>
      <c r="BX115">
        <v>25200</v>
      </c>
      <c r="BY115">
        <v>720</v>
      </c>
      <c r="BZ115">
        <v>5040</v>
      </c>
      <c r="CA115">
        <v>120</v>
      </c>
      <c r="CB115">
        <v>4400000</v>
      </c>
      <c r="CC115">
        <v>0</v>
      </c>
      <c r="CD115">
        <v>6</v>
      </c>
      <c r="CE115">
        <v>0</v>
      </c>
      <c r="CF115">
        <v>54.675925925925924</v>
      </c>
      <c r="CG115">
        <v>36666</v>
      </c>
      <c r="CH115">
        <v>1080</v>
      </c>
      <c r="CI115">
        <v>750</v>
      </c>
      <c r="CJ115">
        <v>6</v>
      </c>
      <c r="CK115">
        <v>6480</v>
      </c>
      <c r="CL115">
        <v>45360</v>
      </c>
      <c r="CM115">
        <v>1296</v>
      </c>
      <c r="CN115">
        <v>9072</v>
      </c>
      <c r="CO115">
        <v>216</v>
      </c>
      <c r="CP115">
        <v>5500000</v>
      </c>
      <c r="CQ115">
        <v>0</v>
      </c>
      <c r="CR115">
        <v>12</v>
      </c>
      <c r="CS115">
        <v>0</v>
      </c>
      <c r="CT115">
        <v>40.365226337448561</v>
      </c>
      <c r="CU115">
        <v>25462</v>
      </c>
      <c r="CV115">
        <v>442.5</v>
      </c>
      <c r="CW115">
        <v>15400000</v>
      </c>
      <c r="CX115">
        <v>0</v>
      </c>
      <c r="CY115">
        <v>24</v>
      </c>
      <c r="CZ115">
        <v>0</v>
      </c>
      <c r="DA115">
        <v>99.022633744855966</v>
      </c>
      <c r="DB115">
        <v>34802.259887005646</v>
      </c>
      <c r="DD115" t="s">
        <v>865</v>
      </c>
      <c r="DE115">
        <v>6020</v>
      </c>
    </row>
    <row r="116" spans="1:109">
      <c r="A116">
        <v>6021</v>
      </c>
      <c r="B116" t="s">
        <v>866</v>
      </c>
      <c r="C116" t="s">
        <v>48</v>
      </c>
      <c r="E116" t="s">
        <v>43</v>
      </c>
      <c r="H116">
        <v>6</v>
      </c>
      <c r="I116" t="s">
        <v>270</v>
      </c>
      <c r="J116">
        <v>9</v>
      </c>
      <c r="K116">
        <v>2.5000000000000001E-2</v>
      </c>
      <c r="L116">
        <v>4.7029288702928866</v>
      </c>
      <c r="M116">
        <v>30</v>
      </c>
      <c r="N116">
        <v>42343</v>
      </c>
      <c r="O116" t="s">
        <v>206</v>
      </c>
      <c r="P116">
        <v>0</v>
      </c>
      <c r="Q116">
        <v>0</v>
      </c>
      <c r="R116">
        <v>0</v>
      </c>
      <c r="S116">
        <v>0</v>
      </c>
      <c r="T116">
        <v>0</v>
      </c>
      <c r="U116">
        <v>0</v>
      </c>
      <c r="V116">
        <v>0</v>
      </c>
      <c r="W116">
        <v>0</v>
      </c>
      <c r="X116">
        <v>0</v>
      </c>
      <c r="Y116">
        <v>0</v>
      </c>
      <c r="Z116">
        <v>0</v>
      </c>
      <c r="AA116">
        <v>0</v>
      </c>
      <c r="AB116">
        <v>0</v>
      </c>
      <c r="AC116">
        <v>0</v>
      </c>
      <c r="AD116">
        <v>375</v>
      </c>
      <c r="AE116">
        <v>80</v>
      </c>
      <c r="AF116">
        <v>6</v>
      </c>
      <c r="AG116">
        <v>2250</v>
      </c>
      <c r="AH116">
        <v>20250</v>
      </c>
      <c r="AI116">
        <v>56</v>
      </c>
      <c r="AJ116">
        <v>506</v>
      </c>
      <c r="AK116">
        <v>3</v>
      </c>
      <c r="AL116">
        <v>0</v>
      </c>
      <c r="AM116">
        <v>0</v>
      </c>
      <c r="AN116">
        <v>0</v>
      </c>
      <c r="AO116">
        <v>0</v>
      </c>
      <c r="AP116">
        <v>0</v>
      </c>
      <c r="AQ116">
        <v>0</v>
      </c>
      <c r="AR116">
        <v>469</v>
      </c>
      <c r="AS116">
        <v>100</v>
      </c>
      <c r="AT116">
        <v>6</v>
      </c>
      <c r="AU116">
        <v>2814</v>
      </c>
      <c r="AV116">
        <v>25326</v>
      </c>
      <c r="AW116">
        <v>70</v>
      </c>
      <c r="AX116">
        <v>633</v>
      </c>
      <c r="AY116">
        <v>36</v>
      </c>
      <c r="AZ116">
        <v>2280000</v>
      </c>
      <c r="BA116">
        <v>0</v>
      </c>
      <c r="BB116">
        <v>3</v>
      </c>
      <c r="BC116">
        <v>0</v>
      </c>
      <c r="BD116">
        <v>34.959132906894105</v>
      </c>
      <c r="BE116">
        <v>63333</v>
      </c>
      <c r="BF116">
        <v>562</v>
      </c>
      <c r="BG116">
        <v>120</v>
      </c>
      <c r="BH116">
        <v>6</v>
      </c>
      <c r="BI116">
        <v>3372</v>
      </c>
      <c r="BJ116">
        <v>30348</v>
      </c>
      <c r="BK116">
        <v>84</v>
      </c>
      <c r="BL116">
        <v>758</v>
      </c>
      <c r="BM116">
        <v>96</v>
      </c>
      <c r="BN116">
        <v>3420000</v>
      </c>
      <c r="BO116">
        <v>0</v>
      </c>
      <c r="BP116">
        <v>5</v>
      </c>
      <c r="BQ116">
        <v>0</v>
      </c>
      <c r="BR116">
        <v>45.597864768683273</v>
      </c>
      <c r="BS116">
        <v>35625</v>
      </c>
      <c r="BT116">
        <v>750</v>
      </c>
      <c r="BU116">
        <v>160</v>
      </c>
      <c r="BV116">
        <v>6</v>
      </c>
      <c r="BW116">
        <v>4500</v>
      </c>
      <c r="BX116">
        <v>40500</v>
      </c>
      <c r="BY116">
        <v>112</v>
      </c>
      <c r="BZ116">
        <v>1012</v>
      </c>
      <c r="CA116">
        <v>144</v>
      </c>
      <c r="CB116">
        <v>4560000</v>
      </c>
      <c r="CC116">
        <v>0</v>
      </c>
      <c r="CD116">
        <v>8</v>
      </c>
      <c r="CE116">
        <v>0</v>
      </c>
      <c r="CF116">
        <v>46.718222222222217</v>
      </c>
      <c r="CG116">
        <v>31666</v>
      </c>
      <c r="CH116">
        <v>1124</v>
      </c>
      <c r="CI116">
        <v>239</v>
      </c>
      <c r="CJ116">
        <v>6</v>
      </c>
      <c r="CK116">
        <v>6744</v>
      </c>
      <c r="CL116">
        <v>60696</v>
      </c>
      <c r="CM116">
        <v>168</v>
      </c>
      <c r="CN116">
        <v>1517</v>
      </c>
      <c r="CO116">
        <v>216</v>
      </c>
      <c r="CP116">
        <v>5700000</v>
      </c>
      <c r="CQ116">
        <v>0</v>
      </c>
      <c r="CR116">
        <v>10</v>
      </c>
      <c r="CS116">
        <v>0</v>
      </c>
      <c r="CT116">
        <v>41.221826809015418</v>
      </c>
      <c r="CU116">
        <v>26388</v>
      </c>
      <c r="CV116">
        <v>495</v>
      </c>
      <c r="CW116">
        <v>15960000</v>
      </c>
      <c r="CX116">
        <v>0</v>
      </c>
      <c r="CY116">
        <v>26</v>
      </c>
      <c r="CZ116">
        <v>0</v>
      </c>
      <c r="DA116">
        <v>98.606168446026103</v>
      </c>
      <c r="DB116">
        <v>32242.424242424244</v>
      </c>
      <c r="DD116" t="s">
        <v>866</v>
      </c>
      <c r="DE116">
        <v>6021</v>
      </c>
    </row>
    <row r="117" spans="1:109">
      <c r="A117">
        <v>6022</v>
      </c>
      <c r="B117" t="s">
        <v>867</v>
      </c>
      <c r="C117" t="s">
        <v>42</v>
      </c>
      <c r="F117" t="s">
        <v>43</v>
      </c>
      <c r="H117">
        <v>6</v>
      </c>
      <c r="I117" t="s">
        <v>270</v>
      </c>
      <c r="J117">
        <v>7</v>
      </c>
      <c r="K117">
        <v>0.1</v>
      </c>
      <c r="L117">
        <v>1.3417721518987342</v>
      </c>
      <c r="M117">
        <v>30</v>
      </c>
      <c r="N117">
        <v>42350</v>
      </c>
      <c r="O117" t="s">
        <v>206</v>
      </c>
      <c r="P117">
        <v>0</v>
      </c>
      <c r="Q117">
        <v>0</v>
      </c>
      <c r="R117">
        <v>0</v>
      </c>
      <c r="S117">
        <v>0</v>
      </c>
      <c r="T117">
        <v>0</v>
      </c>
      <c r="U117">
        <v>0</v>
      </c>
      <c r="V117">
        <v>0</v>
      </c>
      <c r="W117">
        <v>0</v>
      </c>
      <c r="X117">
        <v>0</v>
      </c>
      <c r="Y117">
        <v>0</v>
      </c>
      <c r="Z117">
        <v>0</v>
      </c>
      <c r="AA117">
        <v>0</v>
      </c>
      <c r="AB117">
        <v>0</v>
      </c>
      <c r="AC117">
        <v>0</v>
      </c>
      <c r="AD117">
        <v>357</v>
      </c>
      <c r="AE117">
        <v>265</v>
      </c>
      <c r="AF117">
        <v>7</v>
      </c>
      <c r="AG117">
        <v>2499</v>
      </c>
      <c r="AH117">
        <v>17493</v>
      </c>
      <c r="AI117">
        <v>249</v>
      </c>
      <c r="AJ117">
        <v>1749</v>
      </c>
      <c r="AK117">
        <v>3</v>
      </c>
      <c r="AL117">
        <v>0</v>
      </c>
      <c r="AM117">
        <v>0</v>
      </c>
      <c r="AN117">
        <v>0</v>
      </c>
      <c r="AO117">
        <v>0</v>
      </c>
      <c r="AP117">
        <v>0</v>
      </c>
      <c r="AQ117">
        <v>0</v>
      </c>
      <c r="AR117">
        <v>446</v>
      </c>
      <c r="AS117">
        <v>332</v>
      </c>
      <c r="AT117">
        <v>7</v>
      </c>
      <c r="AU117">
        <v>3122</v>
      </c>
      <c r="AV117">
        <v>21854</v>
      </c>
      <c r="AW117">
        <v>312</v>
      </c>
      <c r="AX117">
        <v>2185</v>
      </c>
      <c r="AY117">
        <v>36</v>
      </c>
      <c r="AZ117">
        <v>2320000</v>
      </c>
      <c r="BA117">
        <v>0</v>
      </c>
      <c r="BB117">
        <v>3</v>
      </c>
      <c r="BC117">
        <v>0</v>
      </c>
      <c r="BD117">
        <v>32.163730514627375</v>
      </c>
      <c r="BE117">
        <v>64444</v>
      </c>
      <c r="BF117">
        <v>535</v>
      </c>
      <c r="BG117">
        <v>398</v>
      </c>
      <c r="BH117">
        <v>7</v>
      </c>
      <c r="BI117">
        <v>3745</v>
      </c>
      <c r="BJ117">
        <v>26215</v>
      </c>
      <c r="BK117">
        <v>374</v>
      </c>
      <c r="BL117">
        <v>2621</v>
      </c>
      <c r="BM117">
        <v>96</v>
      </c>
      <c r="BN117">
        <v>3480000</v>
      </c>
      <c r="BO117">
        <v>0</v>
      </c>
      <c r="BP117">
        <v>5</v>
      </c>
      <c r="BQ117">
        <v>0</v>
      </c>
      <c r="BR117">
        <v>42.052870493991989</v>
      </c>
      <c r="BS117">
        <v>36250</v>
      </c>
      <c r="BT117">
        <v>714</v>
      </c>
      <c r="BU117">
        <v>530</v>
      </c>
      <c r="BV117">
        <v>7</v>
      </c>
      <c r="BW117">
        <v>4998</v>
      </c>
      <c r="BX117">
        <v>34986</v>
      </c>
      <c r="BY117">
        <v>499</v>
      </c>
      <c r="BZ117">
        <v>3498</v>
      </c>
      <c r="CA117">
        <v>144</v>
      </c>
      <c r="CB117">
        <v>4640000</v>
      </c>
      <c r="CC117">
        <v>0</v>
      </c>
      <c r="CD117">
        <v>8</v>
      </c>
      <c r="CE117">
        <v>0</v>
      </c>
      <c r="CF117">
        <v>43.177937841803384</v>
      </c>
      <c r="CG117">
        <v>32222</v>
      </c>
      <c r="CH117">
        <v>1070</v>
      </c>
      <c r="CI117">
        <v>795</v>
      </c>
      <c r="CJ117">
        <v>7</v>
      </c>
      <c r="CK117">
        <v>7490</v>
      </c>
      <c r="CL117">
        <v>52430</v>
      </c>
      <c r="CM117">
        <v>749</v>
      </c>
      <c r="CN117">
        <v>5243</v>
      </c>
      <c r="CO117">
        <v>216</v>
      </c>
      <c r="CP117">
        <v>5800000</v>
      </c>
      <c r="CQ117">
        <v>0</v>
      </c>
      <c r="CR117">
        <v>10</v>
      </c>
      <c r="CS117">
        <v>0</v>
      </c>
      <c r="CT117">
        <v>38.270850022251892</v>
      </c>
      <c r="CU117">
        <v>26851</v>
      </c>
      <c r="CV117">
        <v>495</v>
      </c>
      <c r="CW117">
        <v>16240000</v>
      </c>
      <c r="CX117">
        <v>0</v>
      </c>
      <c r="CY117">
        <v>26</v>
      </c>
      <c r="CZ117">
        <v>0</v>
      </c>
      <c r="DA117">
        <v>90.342679127725845</v>
      </c>
      <c r="DB117">
        <v>32808.080808080806</v>
      </c>
      <c r="DD117" t="s">
        <v>867</v>
      </c>
      <c r="DE117">
        <v>6022</v>
      </c>
    </row>
    <row r="118" spans="1:109">
      <c r="A118">
        <v>6023</v>
      </c>
      <c r="B118" t="s">
        <v>799</v>
      </c>
      <c r="C118" t="s">
        <v>52</v>
      </c>
      <c r="E118" t="s">
        <v>43</v>
      </c>
      <c r="H118">
        <v>6</v>
      </c>
      <c r="I118" t="s">
        <v>270</v>
      </c>
      <c r="J118">
        <v>6</v>
      </c>
      <c r="K118">
        <v>0.15</v>
      </c>
      <c r="L118">
        <v>1.3481717011128775</v>
      </c>
      <c r="M118">
        <v>30</v>
      </c>
      <c r="N118">
        <v>42357</v>
      </c>
      <c r="O118" t="s">
        <v>206</v>
      </c>
      <c r="P118">
        <v>0</v>
      </c>
      <c r="Q118">
        <v>0</v>
      </c>
      <c r="R118">
        <v>0</v>
      </c>
      <c r="S118">
        <v>0</v>
      </c>
      <c r="T118">
        <v>0</v>
      </c>
      <c r="U118">
        <v>0</v>
      </c>
      <c r="V118">
        <v>0</v>
      </c>
      <c r="W118">
        <v>0</v>
      </c>
      <c r="X118">
        <v>0</v>
      </c>
      <c r="Y118">
        <v>0</v>
      </c>
      <c r="Z118">
        <v>0</v>
      </c>
      <c r="AA118">
        <v>0</v>
      </c>
      <c r="AB118">
        <v>0</v>
      </c>
      <c r="AC118">
        <v>0</v>
      </c>
      <c r="AD118">
        <v>283</v>
      </c>
      <c r="AE118">
        <v>210</v>
      </c>
      <c r="AF118">
        <v>10</v>
      </c>
      <c r="AG118">
        <v>2830</v>
      </c>
      <c r="AH118">
        <v>16980</v>
      </c>
      <c r="AI118">
        <v>424</v>
      </c>
      <c r="AJ118">
        <v>2547</v>
      </c>
      <c r="AK118">
        <v>3</v>
      </c>
      <c r="AL118">
        <v>0</v>
      </c>
      <c r="AM118">
        <v>0</v>
      </c>
      <c r="AN118">
        <v>0</v>
      </c>
      <c r="AO118">
        <v>0</v>
      </c>
      <c r="AP118">
        <v>0</v>
      </c>
      <c r="AQ118">
        <v>0</v>
      </c>
      <c r="AR118">
        <v>354</v>
      </c>
      <c r="AS118">
        <v>263</v>
      </c>
      <c r="AT118">
        <v>10</v>
      </c>
      <c r="AU118">
        <v>3540</v>
      </c>
      <c r="AV118">
        <v>21240</v>
      </c>
      <c r="AW118">
        <v>531</v>
      </c>
      <c r="AX118">
        <v>3186</v>
      </c>
      <c r="AY118">
        <v>36</v>
      </c>
      <c r="AZ118">
        <v>2280000</v>
      </c>
      <c r="BA118">
        <v>0</v>
      </c>
      <c r="BB118">
        <v>3</v>
      </c>
      <c r="BC118">
        <v>0</v>
      </c>
      <c r="BD118">
        <v>28.035310734463277</v>
      </c>
      <c r="BE118">
        <v>63333</v>
      </c>
      <c r="BF118">
        <v>424</v>
      </c>
      <c r="BG118">
        <v>315</v>
      </c>
      <c r="BH118">
        <v>10</v>
      </c>
      <c r="BI118">
        <v>4240</v>
      </c>
      <c r="BJ118">
        <v>25440</v>
      </c>
      <c r="BK118">
        <v>636</v>
      </c>
      <c r="BL118">
        <v>3816</v>
      </c>
      <c r="BM118">
        <v>96</v>
      </c>
      <c r="BN118">
        <v>3420000</v>
      </c>
      <c r="BO118">
        <v>0</v>
      </c>
      <c r="BP118">
        <v>5</v>
      </c>
      <c r="BQ118">
        <v>0</v>
      </c>
      <c r="BR118">
        <v>36.948113207547173</v>
      </c>
      <c r="BS118">
        <v>35625</v>
      </c>
      <c r="BT118">
        <v>566</v>
      </c>
      <c r="BU118">
        <v>420</v>
      </c>
      <c r="BV118">
        <v>10</v>
      </c>
      <c r="BW118">
        <v>5660</v>
      </c>
      <c r="BX118">
        <v>33960</v>
      </c>
      <c r="BY118">
        <v>849</v>
      </c>
      <c r="BZ118">
        <v>5094</v>
      </c>
      <c r="CA118">
        <v>144</v>
      </c>
      <c r="CB118">
        <v>4560000</v>
      </c>
      <c r="CC118">
        <v>0</v>
      </c>
      <c r="CD118">
        <v>8</v>
      </c>
      <c r="CE118">
        <v>0</v>
      </c>
      <c r="CF118">
        <v>38.063604240282686</v>
      </c>
      <c r="CG118">
        <v>31666</v>
      </c>
      <c r="CH118">
        <v>848</v>
      </c>
      <c r="CI118">
        <v>629</v>
      </c>
      <c r="CJ118">
        <v>10</v>
      </c>
      <c r="CK118">
        <v>8480</v>
      </c>
      <c r="CL118">
        <v>50880</v>
      </c>
      <c r="CM118">
        <v>1272</v>
      </c>
      <c r="CN118">
        <v>7632</v>
      </c>
      <c r="CO118">
        <v>216</v>
      </c>
      <c r="CP118">
        <v>5700000</v>
      </c>
      <c r="CQ118">
        <v>0</v>
      </c>
      <c r="CR118">
        <v>10</v>
      </c>
      <c r="CS118">
        <v>0</v>
      </c>
      <c r="CT118">
        <v>34.014150943396224</v>
      </c>
      <c r="CU118">
        <v>26388</v>
      </c>
      <c r="CV118">
        <v>495</v>
      </c>
      <c r="CW118">
        <v>15960000</v>
      </c>
      <c r="CX118">
        <v>0</v>
      </c>
      <c r="CY118">
        <v>26</v>
      </c>
      <c r="CZ118">
        <v>0</v>
      </c>
      <c r="DA118">
        <v>78.419811320754718</v>
      </c>
      <c r="DB118">
        <v>32242.424242424244</v>
      </c>
      <c r="DD118" t="s">
        <v>799</v>
      </c>
      <c r="DE118">
        <v>6023</v>
      </c>
    </row>
    <row r="119" spans="1:109">
      <c r="A119">
        <v>6024</v>
      </c>
      <c r="B119" t="s">
        <v>868</v>
      </c>
      <c r="C119" t="s">
        <v>77</v>
      </c>
      <c r="E119" t="s">
        <v>43</v>
      </c>
      <c r="F119" t="s">
        <v>43</v>
      </c>
      <c r="H119">
        <v>6</v>
      </c>
      <c r="I119" t="s">
        <v>270</v>
      </c>
      <c r="J119">
        <v>7</v>
      </c>
      <c r="K119">
        <v>0.2</v>
      </c>
      <c r="L119">
        <v>1.4419525065963061</v>
      </c>
      <c r="M119">
        <v>30</v>
      </c>
      <c r="N119">
        <v>42363</v>
      </c>
      <c r="O119" t="s">
        <v>206</v>
      </c>
      <c r="P119">
        <v>0</v>
      </c>
      <c r="Q119">
        <v>0</v>
      </c>
      <c r="R119">
        <v>0</v>
      </c>
      <c r="S119">
        <v>0</v>
      </c>
      <c r="T119">
        <v>0</v>
      </c>
      <c r="U119">
        <v>0</v>
      </c>
      <c r="V119">
        <v>0</v>
      </c>
      <c r="W119">
        <v>0</v>
      </c>
      <c r="X119">
        <v>0</v>
      </c>
      <c r="Y119">
        <v>0</v>
      </c>
      <c r="Z119">
        <v>0</v>
      </c>
      <c r="AA119">
        <v>0</v>
      </c>
      <c r="AB119">
        <v>0</v>
      </c>
      <c r="AC119">
        <v>0</v>
      </c>
      <c r="AD119">
        <v>365</v>
      </c>
      <c r="AE119">
        <v>253</v>
      </c>
      <c r="AF119">
        <v>6</v>
      </c>
      <c r="AG119">
        <v>2190</v>
      </c>
      <c r="AH119">
        <v>15330</v>
      </c>
      <c r="AI119">
        <v>438</v>
      </c>
      <c r="AJ119">
        <v>3066</v>
      </c>
      <c r="AK119">
        <v>3</v>
      </c>
      <c r="AL119">
        <v>0</v>
      </c>
      <c r="AM119">
        <v>0</v>
      </c>
      <c r="AN119">
        <v>0</v>
      </c>
      <c r="AO119">
        <v>0</v>
      </c>
      <c r="AP119">
        <v>0</v>
      </c>
      <c r="AQ119">
        <v>0</v>
      </c>
      <c r="AR119">
        <v>456</v>
      </c>
      <c r="AS119">
        <v>316</v>
      </c>
      <c r="AT119">
        <v>6</v>
      </c>
      <c r="AU119">
        <v>2736</v>
      </c>
      <c r="AV119">
        <v>19152</v>
      </c>
      <c r="AW119">
        <v>547</v>
      </c>
      <c r="AX119">
        <v>3830</v>
      </c>
      <c r="AY119">
        <v>36</v>
      </c>
      <c r="AZ119">
        <v>2280000</v>
      </c>
      <c r="BA119">
        <v>0</v>
      </c>
      <c r="BB119">
        <v>3</v>
      </c>
      <c r="BC119">
        <v>0</v>
      </c>
      <c r="BD119">
        <v>35.922880116959064</v>
      </c>
      <c r="BE119">
        <v>63333</v>
      </c>
      <c r="BF119">
        <v>547</v>
      </c>
      <c r="BG119">
        <v>379</v>
      </c>
      <c r="BH119">
        <v>6</v>
      </c>
      <c r="BI119">
        <v>3282</v>
      </c>
      <c r="BJ119">
        <v>22974</v>
      </c>
      <c r="BK119">
        <v>656</v>
      </c>
      <c r="BL119">
        <v>4594</v>
      </c>
      <c r="BM119">
        <v>96</v>
      </c>
      <c r="BN119">
        <v>3420000</v>
      </c>
      <c r="BO119">
        <v>0</v>
      </c>
      <c r="BP119">
        <v>5</v>
      </c>
      <c r="BQ119">
        <v>0</v>
      </c>
      <c r="BR119">
        <v>46.75319926873857</v>
      </c>
      <c r="BS119">
        <v>35625</v>
      </c>
      <c r="BT119">
        <v>729</v>
      </c>
      <c r="BU119">
        <v>506</v>
      </c>
      <c r="BV119">
        <v>6</v>
      </c>
      <c r="BW119">
        <v>4374</v>
      </c>
      <c r="BX119">
        <v>30618</v>
      </c>
      <c r="BY119">
        <v>874</v>
      </c>
      <c r="BZ119">
        <v>6123</v>
      </c>
      <c r="CA119">
        <v>144</v>
      </c>
      <c r="CB119">
        <v>4560000</v>
      </c>
      <c r="CC119">
        <v>0</v>
      </c>
      <c r="CD119">
        <v>8</v>
      </c>
      <c r="CE119">
        <v>0</v>
      </c>
      <c r="CF119">
        <v>47.940557841792412</v>
      </c>
      <c r="CG119">
        <v>31666</v>
      </c>
      <c r="CH119">
        <v>1093</v>
      </c>
      <c r="CI119">
        <v>758</v>
      </c>
      <c r="CJ119">
        <v>6</v>
      </c>
      <c r="CK119">
        <v>6558</v>
      </c>
      <c r="CL119">
        <v>45906</v>
      </c>
      <c r="CM119">
        <v>1311</v>
      </c>
      <c r="CN119">
        <v>9181</v>
      </c>
      <c r="CO119">
        <v>216</v>
      </c>
      <c r="CP119">
        <v>5700000</v>
      </c>
      <c r="CQ119">
        <v>0</v>
      </c>
      <c r="CR119">
        <v>10</v>
      </c>
      <c r="CS119">
        <v>0</v>
      </c>
      <c r="CT119">
        <v>42.218054284842943</v>
      </c>
      <c r="CU119">
        <v>26388</v>
      </c>
      <c r="CV119">
        <v>495</v>
      </c>
      <c r="CW119">
        <v>15960000</v>
      </c>
      <c r="CX119">
        <v>0</v>
      </c>
      <c r="CY119">
        <v>26</v>
      </c>
      <c r="CZ119">
        <v>0</v>
      </c>
      <c r="DA119">
        <v>101.40286672766086</v>
      </c>
      <c r="DB119">
        <v>32242.424242424244</v>
      </c>
      <c r="DD119" t="s">
        <v>868</v>
      </c>
      <c r="DE119">
        <v>6024</v>
      </c>
    </row>
    <row r="120" spans="1:109">
      <c r="A120">
        <v>6025</v>
      </c>
      <c r="B120" t="s">
        <v>780</v>
      </c>
      <c r="C120" t="s">
        <v>48</v>
      </c>
      <c r="E120" t="s">
        <v>43</v>
      </c>
      <c r="H120">
        <v>6</v>
      </c>
      <c r="I120" t="s">
        <v>270</v>
      </c>
      <c r="J120">
        <v>9</v>
      </c>
      <c r="K120">
        <v>2.5000000000000001E-2</v>
      </c>
      <c r="L120">
        <v>4.6570247933884295</v>
      </c>
      <c r="M120">
        <v>30</v>
      </c>
      <c r="N120">
        <v>42364</v>
      </c>
      <c r="O120" t="s">
        <v>206</v>
      </c>
      <c r="P120">
        <v>0</v>
      </c>
      <c r="Q120">
        <v>0</v>
      </c>
      <c r="R120">
        <v>0</v>
      </c>
      <c r="S120">
        <v>0</v>
      </c>
      <c r="T120">
        <v>0</v>
      </c>
      <c r="U120">
        <v>0</v>
      </c>
      <c r="V120">
        <v>0</v>
      </c>
      <c r="W120">
        <v>0</v>
      </c>
      <c r="X120">
        <v>0</v>
      </c>
      <c r="Y120">
        <v>0</v>
      </c>
      <c r="Z120">
        <v>0</v>
      </c>
      <c r="AA120">
        <v>0</v>
      </c>
      <c r="AB120">
        <v>0</v>
      </c>
      <c r="AC120">
        <v>0</v>
      </c>
      <c r="AD120">
        <v>376</v>
      </c>
      <c r="AE120">
        <v>81</v>
      </c>
      <c r="AF120">
        <v>6</v>
      </c>
      <c r="AG120">
        <v>2256</v>
      </c>
      <c r="AH120">
        <v>20304</v>
      </c>
      <c r="AI120">
        <v>56</v>
      </c>
      <c r="AJ120">
        <v>507</v>
      </c>
      <c r="AK120">
        <v>3</v>
      </c>
      <c r="AL120">
        <v>0</v>
      </c>
      <c r="AM120">
        <v>0</v>
      </c>
      <c r="AN120">
        <v>0</v>
      </c>
      <c r="AO120">
        <v>0</v>
      </c>
      <c r="AP120">
        <v>0</v>
      </c>
      <c r="AQ120">
        <v>0</v>
      </c>
      <c r="AR120">
        <v>470</v>
      </c>
      <c r="AS120">
        <v>101</v>
      </c>
      <c r="AT120">
        <v>6</v>
      </c>
      <c r="AU120">
        <v>2820</v>
      </c>
      <c r="AV120">
        <v>25380</v>
      </c>
      <c r="AW120">
        <v>70</v>
      </c>
      <c r="AX120">
        <v>634</v>
      </c>
      <c r="BD120">
        <v>0</v>
      </c>
      <c r="BE120">
        <v>0</v>
      </c>
      <c r="BF120">
        <v>564</v>
      </c>
      <c r="BG120">
        <v>121</v>
      </c>
      <c r="BH120">
        <v>6</v>
      </c>
      <c r="BI120">
        <v>3384</v>
      </c>
      <c r="BJ120">
        <v>30456</v>
      </c>
      <c r="BK120">
        <v>84</v>
      </c>
      <c r="BL120">
        <v>761</v>
      </c>
      <c r="BR120">
        <v>0</v>
      </c>
      <c r="BS120">
        <v>0</v>
      </c>
      <c r="BT120">
        <v>752</v>
      </c>
      <c r="BU120">
        <v>162</v>
      </c>
      <c r="BV120">
        <v>6</v>
      </c>
      <c r="BW120">
        <v>4512</v>
      </c>
      <c r="BX120">
        <v>40608</v>
      </c>
      <c r="BY120">
        <v>112</v>
      </c>
      <c r="BZ120">
        <v>1015</v>
      </c>
      <c r="CF120">
        <v>0</v>
      </c>
      <c r="CG120">
        <v>0</v>
      </c>
      <c r="CH120">
        <v>1127</v>
      </c>
      <c r="CI120">
        <v>242</v>
      </c>
      <c r="CJ120">
        <v>6</v>
      </c>
      <c r="CK120">
        <v>6762</v>
      </c>
      <c r="CL120">
        <v>60858</v>
      </c>
      <c r="CM120">
        <v>169</v>
      </c>
      <c r="CN120">
        <v>1521</v>
      </c>
      <c r="CT120">
        <v>0</v>
      </c>
      <c r="CU120">
        <v>0</v>
      </c>
      <c r="DD120" t="s">
        <v>780</v>
      </c>
      <c r="DE120">
        <v>6025</v>
      </c>
    </row>
    <row r="121" spans="1:109">
      <c r="A121">
        <v>6026</v>
      </c>
      <c r="B121" t="s">
        <v>869</v>
      </c>
      <c r="C121" t="s">
        <v>42</v>
      </c>
      <c r="E121" t="s">
        <v>43</v>
      </c>
      <c r="F121" t="s">
        <v>43</v>
      </c>
      <c r="H121">
        <v>6</v>
      </c>
      <c r="I121" t="s">
        <v>270</v>
      </c>
      <c r="J121">
        <v>7</v>
      </c>
      <c r="K121">
        <v>0.1</v>
      </c>
      <c r="L121">
        <v>1.35375</v>
      </c>
      <c r="M121">
        <v>30</v>
      </c>
      <c r="N121">
        <v>42365</v>
      </c>
      <c r="O121" t="s">
        <v>206</v>
      </c>
      <c r="P121">
        <v>0</v>
      </c>
      <c r="Q121">
        <v>0</v>
      </c>
      <c r="R121">
        <v>0</v>
      </c>
      <c r="S121">
        <v>0</v>
      </c>
      <c r="T121">
        <v>0</v>
      </c>
      <c r="U121">
        <v>0</v>
      </c>
      <c r="V121">
        <v>0</v>
      </c>
      <c r="W121">
        <v>0</v>
      </c>
      <c r="X121">
        <v>0</v>
      </c>
      <c r="Y121">
        <v>0</v>
      </c>
      <c r="Z121">
        <v>0</v>
      </c>
      <c r="AA121">
        <v>0</v>
      </c>
      <c r="AB121">
        <v>0</v>
      </c>
      <c r="AC121">
        <v>0</v>
      </c>
      <c r="AD121">
        <v>361</v>
      </c>
      <c r="AE121">
        <v>267</v>
      </c>
      <c r="AF121">
        <v>7</v>
      </c>
      <c r="AG121">
        <v>2527</v>
      </c>
      <c r="AH121">
        <v>17689</v>
      </c>
      <c r="AI121">
        <v>252</v>
      </c>
      <c r="AJ121">
        <v>1768</v>
      </c>
      <c r="AK121">
        <v>3</v>
      </c>
      <c r="AL121">
        <v>0</v>
      </c>
      <c r="AM121">
        <v>0</v>
      </c>
      <c r="AN121">
        <v>0</v>
      </c>
      <c r="AO121">
        <v>0</v>
      </c>
      <c r="AP121">
        <v>0</v>
      </c>
      <c r="AQ121">
        <v>0</v>
      </c>
      <c r="AR121">
        <v>452</v>
      </c>
      <c r="AS121">
        <v>334</v>
      </c>
      <c r="AT121">
        <v>7</v>
      </c>
      <c r="AU121">
        <v>3164</v>
      </c>
      <c r="AV121">
        <v>22148</v>
      </c>
      <c r="AW121">
        <v>316</v>
      </c>
      <c r="AX121">
        <v>2214</v>
      </c>
      <c r="AY121">
        <v>36</v>
      </c>
      <c r="AZ121">
        <v>2360000</v>
      </c>
      <c r="BA121">
        <v>0</v>
      </c>
      <c r="BB121">
        <v>4</v>
      </c>
      <c r="BC121">
        <v>0</v>
      </c>
      <c r="BD121">
        <v>32.276812052254535</v>
      </c>
      <c r="BE121">
        <v>65555</v>
      </c>
      <c r="BF121">
        <v>542</v>
      </c>
      <c r="BG121">
        <v>400</v>
      </c>
      <c r="BH121">
        <v>7</v>
      </c>
      <c r="BI121">
        <v>3794</v>
      </c>
      <c r="BJ121">
        <v>26558</v>
      </c>
      <c r="BK121">
        <v>379</v>
      </c>
      <c r="BL121">
        <v>2655</v>
      </c>
      <c r="BM121">
        <v>96</v>
      </c>
      <c r="BN121">
        <v>3540000</v>
      </c>
      <c r="BO121">
        <v>0</v>
      </c>
      <c r="BP121">
        <v>6</v>
      </c>
      <c r="BQ121">
        <v>0</v>
      </c>
      <c r="BR121">
        <v>42.212967843964158</v>
      </c>
      <c r="BS121">
        <v>36875</v>
      </c>
      <c r="BT121">
        <v>722</v>
      </c>
      <c r="BU121">
        <v>534</v>
      </c>
      <c r="BV121">
        <v>7</v>
      </c>
      <c r="BW121">
        <v>5054</v>
      </c>
      <c r="BX121">
        <v>35378</v>
      </c>
      <c r="BY121">
        <v>505</v>
      </c>
      <c r="BZ121">
        <v>3537</v>
      </c>
      <c r="CA121">
        <v>144</v>
      </c>
      <c r="CB121">
        <v>4720000</v>
      </c>
      <c r="CC121">
        <v>0</v>
      </c>
      <c r="CD121">
        <v>9</v>
      </c>
      <c r="CE121">
        <v>0</v>
      </c>
      <c r="CF121">
        <v>43.417227278723125</v>
      </c>
      <c r="CG121">
        <v>32777</v>
      </c>
      <c r="CH121">
        <v>1083</v>
      </c>
      <c r="CI121">
        <v>800</v>
      </c>
      <c r="CJ121">
        <v>7</v>
      </c>
      <c r="CK121">
        <v>7581</v>
      </c>
      <c r="CL121">
        <v>53067</v>
      </c>
      <c r="CM121">
        <v>758</v>
      </c>
      <c r="CN121">
        <v>5306</v>
      </c>
      <c r="CO121">
        <v>216</v>
      </c>
      <c r="CP121">
        <v>5900000</v>
      </c>
      <c r="CQ121">
        <v>0</v>
      </c>
      <c r="CR121">
        <v>11</v>
      </c>
      <c r="CS121">
        <v>0</v>
      </c>
      <c r="CT121">
        <v>38.427560128391157</v>
      </c>
      <c r="CU121">
        <v>27314</v>
      </c>
      <c r="CV121">
        <v>495</v>
      </c>
      <c r="CW121">
        <v>16520000</v>
      </c>
      <c r="CX121">
        <v>0</v>
      </c>
      <c r="CY121">
        <v>30</v>
      </c>
      <c r="CZ121">
        <v>0</v>
      </c>
      <c r="DA121">
        <v>90.797168359495231</v>
      </c>
      <c r="DB121">
        <v>33373.737373737371</v>
      </c>
      <c r="DD121" t="s">
        <v>869</v>
      </c>
      <c r="DE121">
        <v>6026</v>
      </c>
    </row>
    <row r="122" spans="1:109">
      <c r="A122">
        <v>6027</v>
      </c>
      <c r="B122" t="s">
        <v>800</v>
      </c>
      <c r="C122" t="s">
        <v>52</v>
      </c>
      <c r="E122" t="s">
        <v>43</v>
      </c>
      <c r="H122">
        <v>6</v>
      </c>
      <c r="I122" t="s">
        <v>270</v>
      </c>
      <c r="J122">
        <v>6</v>
      </c>
      <c r="K122">
        <v>0.15</v>
      </c>
      <c r="L122">
        <v>1.3522906793048972</v>
      </c>
      <c r="M122">
        <v>30</v>
      </c>
      <c r="N122">
        <v>42366</v>
      </c>
      <c r="O122" t="s">
        <v>206</v>
      </c>
      <c r="P122">
        <v>0</v>
      </c>
      <c r="Q122">
        <v>0</v>
      </c>
      <c r="R122">
        <v>0</v>
      </c>
      <c r="S122">
        <v>0</v>
      </c>
      <c r="T122">
        <v>0</v>
      </c>
      <c r="U122">
        <v>0</v>
      </c>
      <c r="V122">
        <v>0</v>
      </c>
      <c r="W122">
        <v>0</v>
      </c>
      <c r="X122">
        <v>0</v>
      </c>
      <c r="Y122">
        <v>0</v>
      </c>
      <c r="Z122">
        <v>0</v>
      </c>
      <c r="AA122">
        <v>0</v>
      </c>
      <c r="AB122">
        <v>0</v>
      </c>
      <c r="AC122">
        <v>0</v>
      </c>
      <c r="AD122">
        <v>286</v>
      </c>
      <c r="AE122">
        <v>211</v>
      </c>
      <c r="AF122">
        <v>10</v>
      </c>
      <c r="AG122">
        <v>2860</v>
      </c>
      <c r="AH122">
        <v>17160</v>
      </c>
      <c r="AI122">
        <v>429</v>
      </c>
      <c r="AJ122">
        <v>2574</v>
      </c>
      <c r="AK122">
        <v>3</v>
      </c>
      <c r="AL122">
        <v>0</v>
      </c>
      <c r="AM122">
        <v>0</v>
      </c>
      <c r="AN122">
        <v>0</v>
      </c>
      <c r="AO122">
        <v>0</v>
      </c>
      <c r="AP122">
        <v>0</v>
      </c>
      <c r="AQ122">
        <v>0</v>
      </c>
      <c r="AR122">
        <v>357</v>
      </c>
      <c r="AS122">
        <v>264</v>
      </c>
      <c r="AT122">
        <v>10</v>
      </c>
      <c r="AU122">
        <v>3570</v>
      </c>
      <c r="AV122">
        <v>21420</v>
      </c>
      <c r="AW122">
        <v>535</v>
      </c>
      <c r="AX122">
        <v>3213</v>
      </c>
      <c r="AY122">
        <v>36</v>
      </c>
      <c r="AZ122">
        <v>2320000</v>
      </c>
      <c r="BA122">
        <v>0</v>
      </c>
      <c r="BB122">
        <v>4</v>
      </c>
      <c r="BC122">
        <v>0</v>
      </c>
      <c r="BD122">
        <v>28.279178338001866</v>
      </c>
      <c r="BE122">
        <v>64444</v>
      </c>
      <c r="BF122">
        <v>428</v>
      </c>
      <c r="BG122">
        <v>317</v>
      </c>
      <c r="BH122">
        <v>10</v>
      </c>
      <c r="BI122">
        <v>4280</v>
      </c>
      <c r="BJ122">
        <v>25680</v>
      </c>
      <c r="BK122">
        <v>642</v>
      </c>
      <c r="BL122">
        <v>3852</v>
      </c>
      <c r="BM122">
        <v>96</v>
      </c>
      <c r="BN122">
        <v>3480000</v>
      </c>
      <c r="BO122">
        <v>0</v>
      </c>
      <c r="BP122">
        <v>6</v>
      </c>
      <c r="BQ122">
        <v>0</v>
      </c>
      <c r="BR122">
        <v>37.214953271028037</v>
      </c>
      <c r="BS122">
        <v>36250</v>
      </c>
      <c r="BT122">
        <v>571</v>
      </c>
      <c r="BU122">
        <v>422</v>
      </c>
      <c r="BV122">
        <v>10</v>
      </c>
      <c r="BW122">
        <v>5710</v>
      </c>
      <c r="BX122">
        <v>34260</v>
      </c>
      <c r="BY122">
        <v>856</v>
      </c>
      <c r="BZ122">
        <v>5139</v>
      </c>
      <c r="CA122">
        <v>144</v>
      </c>
      <c r="CB122">
        <v>4640000</v>
      </c>
      <c r="CC122">
        <v>0</v>
      </c>
      <c r="CD122">
        <v>9</v>
      </c>
      <c r="CE122">
        <v>0</v>
      </c>
      <c r="CF122">
        <v>38.356100408639811</v>
      </c>
      <c r="CG122">
        <v>32222</v>
      </c>
      <c r="CH122">
        <v>856</v>
      </c>
      <c r="CI122">
        <v>633</v>
      </c>
      <c r="CJ122">
        <v>10</v>
      </c>
      <c r="CK122">
        <v>8560</v>
      </c>
      <c r="CL122">
        <v>51360</v>
      </c>
      <c r="CM122">
        <v>1284</v>
      </c>
      <c r="CN122">
        <v>7704</v>
      </c>
      <c r="CO122">
        <v>216</v>
      </c>
      <c r="CP122">
        <v>5800000</v>
      </c>
      <c r="CQ122">
        <v>0</v>
      </c>
      <c r="CR122">
        <v>11</v>
      </c>
      <c r="CS122">
        <v>0</v>
      </c>
      <c r="CT122">
        <v>34.235591900311526</v>
      </c>
      <c r="CU122">
        <v>26851</v>
      </c>
      <c r="CV122">
        <v>495</v>
      </c>
      <c r="CW122">
        <v>16240000</v>
      </c>
      <c r="CX122">
        <v>0</v>
      </c>
      <c r="CY122">
        <v>30</v>
      </c>
      <c r="CZ122">
        <v>0</v>
      </c>
      <c r="DA122">
        <v>79.049844236760123</v>
      </c>
      <c r="DB122">
        <v>32808.080808080806</v>
      </c>
      <c r="DD122" t="s">
        <v>800</v>
      </c>
      <c r="DE122">
        <v>6027</v>
      </c>
    </row>
    <row r="123" spans="1:109">
      <c r="A123">
        <v>6028</v>
      </c>
      <c r="B123" t="s">
        <v>870</v>
      </c>
      <c r="C123" t="s">
        <v>77</v>
      </c>
      <c r="E123" t="s">
        <v>43</v>
      </c>
      <c r="H123">
        <v>6</v>
      </c>
      <c r="I123" t="s">
        <v>270</v>
      </c>
      <c r="J123">
        <v>7</v>
      </c>
      <c r="K123">
        <v>0.2</v>
      </c>
      <c r="L123">
        <v>1.2402088772845954</v>
      </c>
      <c r="M123">
        <v>30</v>
      </c>
      <c r="N123">
        <v>42367</v>
      </c>
      <c r="O123" t="s">
        <v>206</v>
      </c>
      <c r="P123">
        <v>0</v>
      </c>
      <c r="Q123">
        <v>0</v>
      </c>
      <c r="R123">
        <v>0</v>
      </c>
      <c r="S123">
        <v>0</v>
      </c>
      <c r="T123">
        <v>0</v>
      </c>
      <c r="U123">
        <v>0</v>
      </c>
      <c r="V123">
        <v>0</v>
      </c>
      <c r="W123">
        <v>0</v>
      </c>
      <c r="X123">
        <v>0</v>
      </c>
      <c r="Y123">
        <v>0</v>
      </c>
      <c r="Z123">
        <v>0</v>
      </c>
      <c r="AA123">
        <v>0</v>
      </c>
      <c r="AB123">
        <v>0</v>
      </c>
      <c r="AC123">
        <v>0</v>
      </c>
      <c r="AD123">
        <v>317</v>
      </c>
      <c r="AE123">
        <v>256</v>
      </c>
      <c r="AF123">
        <v>7</v>
      </c>
      <c r="AG123">
        <v>2219</v>
      </c>
      <c r="AH123">
        <v>15533</v>
      </c>
      <c r="AI123">
        <v>443</v>
      </c>
      <c r="AJ123">
        <v>3106</v>
      </c>
      <c r="AK123">
        <v>3</v>
      </c>
      <c r="AL123">
        <v>0</v>
      </c>
      <c r="AM123">
        <v>0</v>
      </c>
      <c r="AN123">
        <v>0</v>
      </c>
      <c r="AO123">
        <v>0</v>
      </c>
      <c r="AP123">
        <v>0</v>
      </c>
      <c r="AQ123">
        <v>0</v>
      </c>
      <c r="AR123">
        <v>396</v>
      </c>
      <c r="AS123">
        <v>320</v>
      </c>
      <c r="AT123">
        <v>7</v>
      </c>
      <c r="AU123">
        <v>2772</v>
      </c>
      <c r="AV123">
        <v>19404</v>
      </c>
      <c r="AW123">
        <v>554</v>
      </c>
      <c r="AX123">
        <v>3880</v>
      </c>
      <c r="BD123">
        <v>0</v>
      </c>
      <c r="BE123">
        <v>0</v>
      </c>
      <c r="BF123">
        <v>475</v>
      </c>
      <c r="BG123">
        <v>383</v>
      </c>
      <c r="BH123">
        <v>7</v>
      </c>
      <c r="BI123">
        <v>3325</v>
      </c>
      <c r="BJ123">
        <v>23275</v>
      </c>
      <c r="BK123">
        <v>665</v>
      </c>
      <c r="BL123">
        <v>4655</v>
      </c>
      <c r="BR123">
        <v>0</v>
      </c>
      <c r="BS123">
        <v>0</v>
      </c>
      <c r="BT123">
        <v>634</v>
      </c>
      <c r="BU123">
        <v>511</v>
      </c>
      <c r="BV123">
        <v>7</v>
      </c>
      <c r="BW123">
        <v>4438</v>
      </c>
      <c r="BX123">
        <v>31066</v>
      </c>
      <c r="BY123">
        <v>887</v>
      </c>
      <c r="BZ123">
        <v>6213</v>
      </c>
      <c r="CF123">
        <v>0</v>
      </c>
      <c r="CG123">
        <v>0</v>
      </c>
      <c r="CH123">
        <v>950</v>
      </c>
      <c r="CI123">
        <v>766</v>
      </c>
      <c r="CJ123">
        <v>7</v>
      </c>
      <c r="CK123">
        <v>6650</v>
      </c>
      <c r="CL123">
        <v>46550</v>
      </c>
      <c r="CM123">
        <v>1330</v>
      </c>
      <c r="CN123">
        <v>9310</v>
      </c>
      <c r="CT123">
        <v>0</v>
      </c>
      <c r="CU123">
        <v>0</v>
      </c>
      <c r="DD123" t="s">
        <v>870</v>
      </c>
      <c r="DE123">
        <v>6028</v>
      </c>
    </row>
    <row r="124" spans="1:109">
      <c r="A124">
        <v>6029</v>
      </c>
      <c r="B124" t="s">
        <v>871</v>
      </c>
      <c r="C124" t="s">
        <v>42</v>
      </c>
      <c r="E124" t="s">
        <v>43</v>
      </c>
      <c r="H124">
        <v>6</v>
      </c>
      <c r="I124" t="s">
        <v>270</v>
      </c>
      <c r="J124">
        <v>7</v>
      </c>
      <c r="K124">
        <v>0.1</v>
      </c>
      <c r="L124">
        <v>1.3590062111801242</v>
      </c>
      <c r="M124">
        <v>30</v>
      </c>
      <c r="N124">
        <v>42368</v>
      </c>
      <c r="O124" t="s">
        <v>206</v>
      </c>
      <c r="P124">
        <v>0</v>
      </c>
      <c r="Q124">
        <v>0</v>
      </c>
      <c r="R124">
        <v>0</v>
      </c>
      <c r="S124">
        <v>0</v>
      </c>
      <c r="T124">
        <v>0</v>
      </c>
      <c r="U124">
        <v>0</v>
      </c>
      <c r="V124">
        <v>0</v>
      </c>
      <c r="W124">
        <v>0</v>
      </c>
      <c r="X124">
        <v>0</v>
      </c>
      <c r="Y124">
        <v>0</v>
      </c>
      <c r="Z124">
        <v>0</v>
      </c>
      <c r="AA124">
        <v>0</v>
      </c>
      <c r="AB124">
        <v>0</v>
      </c>
      <c r="AC124">
        <v>0</v>
      </c>
      <c r="AD124">
        <v>365</v>
      </c>
      <c r="AE124">
        <v>269</v>
      </c>
      <c r="AF124">
        <v>7</v>
      </c>
      <c r="AG124">
        <v>2555</v>
      </c>
      <c r="AH124">
        <v>17885</v>
      </c>
      <c r="AI124">
        <v>255</v>
      </c>
      <c r="AJ124">
        <v>1788</v>
      </c>
      <c r="AK124">
        <v>3</v>
      </c>
      <c r="AL124">
        <v>0</v>
      </c>
      <c r="AM124">
        <v>0</v>
      </c>
      <c r="AN124">
        <v>0</v>
      </c>
      <c r="AO124">
        <v>0</v>
      </c>
      <c r="AP124">
        <v>0</v>
      </c>
      <c r="AQ124">
        <v>0</v>
      </c>
      <c r="AR124">
        <v>456</v>
      </c>
      <c r="AS124">
        <v>336</v>
      </c>
      <c r="AT124">
        <v>7</v>
      </c>
      <c r="AU124">
        <v>3192</v>
      </c>
      <c r="AV124">
        <v>22344</v>
      </c>
      <c r="AW124">
        <v>319</v>
      </c>
      <c r="AX124">
        <v>2234</v>
      </c>
      <c r="BD124">
        <v>0</v>
      </c>
      <c r="BE124">
        <v>0</v>
      </c>
      <c r="BF124">
        <v>547</v>
      </c>
      <c r="BG124">
        <v>403</v>
      </c>
      <c r="BH124">
        <v>7</v>
      </c>
      <c r="BI124">
        <v>3829</v>
      </c>
      <c r="BJ124">
        <v>26803</v>
      </c>
      <c r="BK124">
        <v>382</v>
      </c>
      <c r="BL124">
        <v>2680</v>
      </c>
      <c r="BR124">
        <v>0</v>
      </c>
      <c r="BS124">
        <v>0</v>
      </c>
      <c r="BT124">
        <v>730</v>
      </c>
      <c r="BU124">
        <v>537</v>
      </c>
      <c r="BV124">
        <v>7</v>
      </c>
      <c r="BW124">
        <v>5110</v>
      </c>
      <c r="BX124">
        <v>35770</v>
      </c>
      <c r="BY124">
        <v>511</v>
      </c>
      <c r="BZ124">
        <v>3577</v>
      </c>
      <c r="CF124">
        <v>0</v>
      </c>
      <c r="CG124">
        <v>0</v>
      </c>
      <c r="CH124">
        <v>1094</v>
      </c>
      <c r="CI124">
        <v>805</v>
      </c>
      <c r="CJ124">
        <v>7</v>
      </c>
      <c r="CK124">
        <v>7658</v>
      </c>
      <c r="CL124">
        <v>53606</v>
      </c>
      <c r="CM124">
        <v>765</v>
      </c>
      <c r="CN124">
        <v>5360</v>
      </c>
      <c r="CT124">
        <v>0</v>
      </c>
      <c r="CU124">
        <v>0</v>
      </c>
      <c r="DD124" t="s">
        <v>871</v>
      </c>
      <c r="DE124">
        <v>6029</v>
      </c>
    </row>
    <row r="125" spans="1:109">
      <c r="A125">
        <v>6030</v>
      </c>
      <c r="B125" t="s">
        <v>801</v>
      </c>
      <c r="C125" t="s">
        <v>52</v>
      </c>
      <c r="E125" t="s">
        <v>43</v>
      </c>
      <c r="F125" t="s">
        <v>43</v>
      </c>
      <c r="H125">
        <v>6</v>
      </c>
      <c r="I125" t="s">
        <v>270</v>
      </c>
      <c r="J125">
        <v>6</v>
      </c>
      <c r="K125">
        <v>0.15</v>
      </c>
      <c r="L125">
        <v>1.3563579277864992</v>
      </c>
      <c r="M125">
        <v>30</v>
      </c>
      <c r="N125">
        <v>42369</v>
      </c>
      <c r="O125" t="s">
        <v>206</v>
      </c>
      <c r="P125">
        <v>0</v>
      </c>
      <c r="Q125">
        <v>0</v>
      </c>
      <c r="R125">
        <v>0</v>
      </c>
      <c r="S125">
        <v>0</v>
      </c>
      <c r="T125">
        <v>0</v>
      </c>
      <c r="U125">
        <v>0</v>
      </c>
      <c r="V125">
        <v>0</v>
      </c>
      <c r="W125">
        <v>0</v>
      </c>
      <c r="X125">
        <v>0</v>
      </c>
      <c r="Y125">
        <v>0</v>
      </c>
      <c r="Z125">
        <v>0</v>
      </c>
      <c r="AA125">
        <v>0</v>
      </c>
      <c r="AB125">
        <v>0</v>
      </c>
      <c r="AC125">
        <v>0</v>
      </c>
      <c r="AD125">
        <v>288</v>
      </c>
      <c r="AE125">
        <v>213</v>
      </c>
      <c r="AF125">
        <v>10</v>
      </c>
      <c r="AG125">
        <v>2880</v>
      </c>
      <c r="AH125">
        <v>17280</v>
      </c>
      <c r="AI125">
        <v>432</v>
      </c>
      <c r="AJ125">
        <v>2592</v>
      </c>
      <c r="AK125">
        <v>3</v>
      </c>
      <c r="AL125">
        <v>0</v>
      </c>
      <c r="AM125">
        <v>0</v>
      </c>
      <c r="AN125">
        <v>0</v>
      </c>
      <c r="AO125">
        <v>0</v>
      </c>
      <c r="AP125">
        <v>0</v>
      </c>
      <c r="AQ125">
        <v>0</v>
      </c>
      <c r="AR125">
        <v>360</v>
      </c>
      <c r="AS125">
        <v>266</v>
      </c>
      <c r="AT125">
        <v>10</v>
      </c>
      <c r="AU125">
        <v>3600</v>
      </c>
      <c r="AV125">
        <v>21600</v>
      </c>
      <c r="AW125">
        <v>540</v>
      </c>
      <c r="AX125">
        <v>3240</v>
      </c>
      <c r="AY125">
        <v>36</v>
      </c>
      <c r="AZ125">
        <v>2360000</v>
      </c>
      <c r="BA125">
        <v>0</v>
      </c>
      <c r="BB125">
        <v>4</v>
      </c>
      <c r="BC125">
        <v>0</v>
      </c>
      <c r="BD125">
        <v>28.514814814814816</v>
      </c>
      <c r="BE125">
        <v>65555</v>
      </c>
      <c r="BF125">
        <v>432</v>
      </c>
      <c r="BG125">
        <v>319</v>
      </c>
      <c r="BH125">
        <v>10</v>
      </c>
      <c r="BI125">
        <v>4320</v>
      </c>
      <c r="BJ125">
        <v>25920</v>
      </c>
      <c r="BK125">
        <v>648</v>
      </c>
      <c r="BL125">
        <v>3888</v>
      </c>
      <c r="BM125">
        <v>96</v>
      </c>
      <c r="BN125">
        <v>3540000</v>
      </c>
      <c r="BO125">
        <v>0</v>
      </c>
      <c r="BP125">
        <v>6</v>
      </c>
      <c r="BQ125">
        <v>0</v>
      </c>
      <c r="BR125">
        <v>37.476851851851855</v>
      </c>
      <c r="BS125">
        <v>36875</v>
      </c>
      <c r="BT125">
        <v>576</v>
      </c>
      <c r="BU125">
        <v>425</v>
      </c>
      <c r="BV125">
        <v>10</v>
      </c>
      <c r="BW125">
        <v>5760</v>
      </c>
      <c r="BX125">
        <v>34560</v>
      </c>
      <c r="BY125">
        <v>864</v>
      </c>
      <c r="BZ125">
        <v>5184</v>
      </c>
      <c r="CA125">
        <v>144</v>
      </c>
      <c r="CB125">
        <v>4720000</v>
      </c>
      <c r="CC125">
        <v>0</v>
      </c>
      <c r="CD125">
        <v>9</v>
      </c>
      <c r="CE125">
        <v>0</v>
      </c>
      <c r="CF125">
        <v>38.643518518518519</v>
      </c>
      <c r="CG125">
        <v>32777</v>
      </c>
      <c r="CH125">
        <v>864</v>
      </c>
      <c r="CI125">
        <v>637</v>
      </c>
      <c r="CJ125">
        <v>10</v>
      </c>
      <c r="CK125">
        <v>8640</v>
      </c>
      <c r="CL125">
        <v>51840</v>
      </c>
      <c r="CM125">
        <v>1296</v>
      </c>
      <c r="CN125">
        <v>7776</v>
      </c>
      <c r="CO125">
        <v>216</v>
      </c>
      <c r="CP125">
        <v>5900000</v>
      </c>
      <c r="CQ125">
        <v>0</v>
      </c>
      <c r="CR125">
        <v>11</v>
      </c>
      <c r="CS125">
        <v>0</v>
      </c>
      <c r="CT125">
        <v>34.45293209876543</v>
      </c>
      <c r="CU125">
        <v>27314</v>
      </c>
      <c r="CV125">
        <v>495</v>
      </c>
      <c r="CW125">
        <v>16520000</v>
      </c>
      <c r="CX125">
        <v>0</v>
      </c>
      <c r="CY125">
        <v>30</v>
      </c>
      <c r="CZ125">
        <v>0</v>
      </c>
      <c r="DA125">
        <v>79.668209876543202</v>
      </c>
      <c r="DB125">
        <v>33373.737373737371</v>
      </c>
      <c r="DD125" t="s">
        <v>801</v>
      </c>
      <c r="DE125">
        <v>6030</v>
      </c>
    </row>
    <row r="126" spans="1:109">
      <c r="A126">
        <v>6031</v>
      </c>
      <c r="B126" t="s">
        <v>781</v>
      </c>
      <c r="C126" t="s">
        <v>48</v>
      </c>
      <c r="D126" t="s">
        <v>43</v>
      </c>
      <c r="E126" t="s">
        <v>43</v>
      </c>
      <c r="H126">
        <v>6</v>
      </c>
      <c r="I126" t="s">
        <v>270</v>
      </c>
      <c r="J126">
        <v>9</v>
      </c>
      <c r="K126">
        <v>2.5000000000000001E-2</v>
      </c>
      <c r="L126">
        <v>8.75</v>
      </c>
      <c r="M126">
        <v>30</v>
      </c>
      <c r="N126">
        <v>42370</v>
      </c>
      <c r="O126" t="s">
        <v>206</v>
      </c>
      <c r="P126">
        <v>0</v>
      </c>
      <c r="Q126">
        <v>0</v>
      </c>
      <c r="R126">
        <v>0</v>
      </c>
      <c r="S126">
        <v>0</v>
      </c>
      <c r="T126">
        <v>0</v>
      </c>
      <c r="U126">
        <v>0</v>
      </c>
      <c r="V126">
        <v>0</v>
      </c>
      <c r="W126">
        <v>0</v>
      </c>
      <c r="X126">
        <v>0</v>
      </c>
      <c r="Y126">
        <v>0</v>
      </c>
      <c r="Z126">
        <v>0</v>
      </c>
      <c r="AA126">
        <v>0</v>
      </c>
      <c r="AB126">
        <v>0</v>
      </c>
      <c r="AC126">
        <v>0</v>
      </c>
      <c r="AD126">
        <v>875</v>
      </c>
      <c r="AE126">
        <v>100</v>
      </c>
      <c r="AF126">
        <v>8</v>
      </c>
      <c r="AG126">
        <v>7000</v>
      </c>
      <c r="AH126">
        <v>63000</v>
      </c>
      <c r="AI126">
        <v>175</v>
      </c>
      <c r="AJ126">
        <v>1575</v>
      </c>
      <c r="AK126">
        <v>3</v>
      </c>
      <c r="AL126">
        <v>0</v>
      </c>
      <c r="AM126">
        <v>0</v>
      </c>
      <c r="AN126">
        <v>0</v>
      </c>
      <c r="AO126">
        <v>0</v>
      </c>
      <c r="AP126">
        <v>0</v>
      </c>
      <c r="AQ126">
        <v>0</v>
      </c>
      <c r="AR126">
        <v>1094</v>
      </c>
      <c r="AS126">
        <v>125</v>
      </c>
      <c r="AT126">
        <v>8</v>
      </c>
      <c r="AU126">
        <v>8752</v>
      </c>
      <c r="AV126">
        <v>78768</v>
      </c>
      <c r="AW126">
        <v>218</v>
      </c>
      <c r="AX126">
        <v>1969</v>
      </c>
      <c r="AY126">
        <v>38</v>
      </c>
      <c r="AZ126">
        <v>3600000</v>
      </c>
      <c r="BA126">
        <v>0</v>
      </c>
      <c r="BB126">
        <v>4</v>
      </c>
      <c r="BC126">
        <v>0</v>
      </c>
      <c r="BD126">
        <v>18.405316879951247</v>
      </c>
      <c r="BE126">
        <v>94736</v>
      </c>
      <c r="BF126">
        <v>1313</v>
      </c>
      <c r="BG126">
        <v>150</v>
      </c>
      <c r="BH126">
        <v>8</v>
      </c>
      <c r="BI126">
        <v>10504</v>
      </c>
      <c r="BJ126">
        <v>94536</v>
      </c>
      <c r="BK126">
        <v>262</v>
      </c>
      <c r="BL126">
        <v>2363</v>
      </c>
      <c r="BM126">
        <v>100</v>
      </c>
      <c r="BN126">
        <v>5400000</v>
      </c>
      <c r="BO126">
        <v>0</v>
      </c>
      <c r="BP126">
        <v>6</v>
      </c>
      <c r="BQ126">
        <v>0</v>
      </c>
      <c r="BR126">
        <v>24.892104595074894</v>
      </c>
      <c r="BS126">
        <v>54000</v>
      </c>
      <c r="BT126">
        <v>1750</v>
      </c>
      <c r="BU126">
        <v>200</v>
      </c>
      <c r="BV126">
        <v>8</v>
      </c>
      <c r="BW126">
        <v>14000</v>
      </c>
      <c r="BX126">
        <v>126000</v>
      </c>
      <c r="BY126">
        <v>350</v>
      </c>
      <c r="BZ126">
        <v>3150</v>
      </c>
      <c r="CA126">
        <v>156</v>
      </c>
      <c r="CB126">
        <v>7200000</v>
      </c>
      <c r="CC126">
        <v>0</v>
      </c>
      <c r="CD126">
        <v>12</v>
      </c>
      <c r="CE126">
        <v>0</v>
      </c>
      <c r="CF126">
        <v>26.305428571428575</v>
      </c>
      <c r="CG126">
        <v>46153</v>
      </c>
      <c r="CH126">
        <v>2625</v>
      </c>
      <c r="CI126">
        <v>300</v>
      </c>
      <c r="CJ126">
        <v>8</v>
      </c>
      <c r="CK126">
        <v>21000</v>
      </c>
      <c r="CL126">
        <v>189000</v>
      </c>
      <c r="CM126">
        <v>525</v>
      </c>
      <c r="CN126">
        <v>4725</v>
      </c>
      <c r="CO126">
        <v>240</v>
      </c>
      <c r="CP126">
        <v>9000000</v>
      </c>
      <c r="CQ126">
        <v>0</v>
      </c>
      <c r="CR126">
        <v>18</v>
      </c>
      <c r="CS126">
        <v>0</v>
      </c>
      <c r="CT126">
        <v>24.523809523809522</v>
      </c>
      <c r="CU126">
        <v>37500</v>
      </c>
      <c r="CV126">
        <v>537</v>
      </c>
      <c r="CW126">
        <v>25200000</v>
      </c>
      <c r="CX126">
        <v>0</v>
      </c>
      <c r="CY126">
        <v>40</v>
      </c>
      <c r="CZ126">
        <v>0</v>
      </c>
      <c r="DA126">
        <v>50</v>
      </c>
      <c r="DB126">
        <v>46927.374301675976</v>
      </c>
      <c r="DD126" t="s">
        <v>781</v>
      </c>
      <c r="DE126">
        <v>6031</v>
      </c>
    </row>
    <row r="127" spans="1:109">
      <c r="A127">
        <v>6032</v>
      </c>
      <c r="B127" t="s">
        <v>761</v>
      </c>
      <c r="C127" t="s">
        <v>54</v>
      </c>
      <c r="E127" t="s">
        <v>43</v>
      </c>
      <c r="H127">
        <v>6</v>
      </c>
      <c r="I127" t="s">
        <v>270</v>
      </c>
      <c r="J127">
        <v>6</v>
      </c>
      <c r="K127">
        <v>7.4999999999999997E-2</v>
      </c>
      <c r="L127">
        <v>3.6527777777777777</v>
      </c>
      <c r="M127">
        <v>30</v>
      </c>
      <c r="N127">
        <v>42371</v>
      </c>
      <c r="O127" t="s">
        <v>206</v>
      </c>
      <c r="P127">
        <v>0</v>
      </c>
      <c r="Q127">
        <v>0</v>
      </c>
      <c r="R127">
        <v>0</v>
      </c>
      <c r="S127">
        <v>0</v>
      </c>
      <c r="T127">
        <v>0</v>
      </c>
      <c r="U127">
        <v>0</v>
      </c>
      <c r="V127">
        <v>0</v>
      </c>
      <c r="W127">
        <v>0</v>
      </c>
      <c r="X127">
        <v>0</v>
      </c>
      <c r="Y127">
        <v>0</v>
      </c>
      <c r="Z127">
        <v>0</v>
      </c>
      <c r="AA127">
        <v>0</v>
      </c>
      <c r="AB127">
        <v>0</v>
      </c>
      <c r="AC127">
        <v>0</v>
      </c>
      <c r="AD127">
        <v>439</v>
      </c>
      <c r="AE127">
        <v>120</v>
      </c>
      <c r="AF127">
        <v>8</v>
      </c>
      <c r="AG127">
        <v>3512</v>
      </c>
      <c r="AH127">
        <v>21072</v>
      </c>
      <c r="AI127">
        <v>263</v>
      </c>
      <c r="AJ127">
        <v>1580</v>
      </c>
      <c r="AK127">
        <v>3</v>
      </c>
      <c r="AL127">
        <v>0</v>
      </c>
      <c r="AM127">
        <v>0</v>
      </c>
      <c r="AN127">
        <v>0</v>
      </c>
      <c r="AO127">
        <v>0</v>
      </c>
      <c r="AP127">
        <v>0</v>
      </c>
      <c r="AQ127">
        <v>0</v>
      </c>
      <c r="AR127">
        <v>548</v>
      </c>
      <c r="AS127">
        <v>150</v>
      </c>
      <c r="AT127">
        <v>8</v>
      </c>
      <c r="AU127">
        <v>4384</v>
      </c>
      <c r="AV127">
        <v>26304</v>
      </c>
      <c r="AW127">
        <v>328</v>
      </c>
      <c r="AX127">
        <v>1972</v>
      </c>
      <c r="AY127">
        <v>36</v>
      </c>
      <c r="AZ127">
        <v>2480000</v>
      </c>
      <c r="BA127">
        <v>0</v>
      </c>
      <c r="BB127">
        <v>4</v>
      </c>
      <c r="BC127">
        <v>0</v>
      </c>
      <c r="BD127">
        <v>24.77220194647202</v>
      </c>
      <c r="BE127">
        <v>68888</v>
      </c>
      <c r="BF127">
        <v>658</v>
      </c>
      <c r="BG127">
        <v>180</v>
      </c>
      <c r="BH127">
        <v>8</v>
      </c>
      <c r="BI127">
        <v>5264</v>
      </c>
      <c r="BJ127">
        <v>31584</v>
      </c>
      <c r="BK127">
        <v>394</v>
      </c>
      <c r="BL127">
        <v>2368</v>
      </c>
      <c r="BM127">
        <v>96</v>
      </c>
      <c r="BN127">
        <v>3720000</v>
      </c>
      <c r="BO127">
        <v>0</v>
      </c>
      <c r="BP127">
        <v>6</v>
      </c>
      <c r="BQ127">
        <v>0</v>
      </c>
      <c r="BR127">
        <v>32.776595744680854</v>
      </c>
      <c r="BS127">
        <v>38750</v>
      </c>
      <c r="BT127">
        <v>877</v>
      </c>
      <c r="BU127">
        <v>240</v>
      </c>
      <c r="BV127">
        <v>8</v>
      </c>
      <c r="BW127">
        <v>7016</v>
      </c>
      <c r="BX127">
        <v>42096</v>
      </c>
      <c r="BY127">
        <v>526</v>
      </c>
      <c r="BZ127">
        <v>3157</v>
      </c>
      <c r="CA127">
        <v>144</v>
      </c>
      <c r="CB127">
        <v>4960000</v>
      </c>
      <c r="CC127">
        <v>0</v>
      </c>
      <c r="CD127">
        <v>9</v>
      </c>
      <c r="CE127">
        <v>0</v>
      </c>
      <c r="CF127">
        <v>33.958190801976436</v>
      </c>
      <c r="CG127">
        <v>34444</v>
      </c>
      <c r="CH127">
        <v>1315</v>
      </c>
      <c r="CI127">
        <v>360</v>
      </c>
      <c r="CJ127">
        <v>8</v>
      </c>
      <c r="CK127">
        <v>10520</v>
      </c>
      <c r="CL127">
        <v>63120</v>
      </c>
      <c r="CM127">
        <v>789</v>
      </c>
      <c r="CN127">
        <v>4734</v>
      </c>
      <c r="CO127">
        <v>216</v>
      </c>
      <c r="CP127">
        <v>6200000</v>
      </c>
      <c r="CQ127">
        <v>0</v>
      </c>
      <c r="CR127">
        <v>11</v>
      </c>
      <c r="CS127">
        <v>0</v>
      </c>
      <c r="CT127">
        <v>30.558681875792143</v>
      </c>
      <c r="CU127">
        <v>28703</v>
      </c>
      <c r="CV127">
        <v>495</v>
      </c>
      <c r="CW127">
        <v>17360000</v>
      </c>
      <c r="CX127">
        <v>0</v>
      </c>
      <c r="CY127">
        <v>30</v>
      </c>
      <c r="CZ127">
        <v>0</v>
      </c>
      <c r="DA127">
        <v>68.757921419518382</v>
      </c>
      <c r="DB127">
        <v>35070.707070707074</v>
      </c>
      <c r="DD127" t="s">
        <v>761</v>
      </c>
      <c r="DE127">
        <v>6032</v>
      </c>
    </row>
    <row r="128" spans="1:109">
      <c r="A128">
        <v>6033</v>
      </c>
      <c r="B128" t="s">
        <v>872</v>
      </c>
      <c r="C128" t="s">
        <v>77</v>
      </c>
      <c r="E128" t="s">
        <v>43</v>
      </c>
      <c r="H128">
        <v>6</v>
      </c>
      <c r="I128" t="s">
        <v>270</v>
      </c>
      <c r="J128">
        <v>7</v>
      </c>
      <c r="K128">
        <v>0.2</v>
      </c>
      <c r="L128">
        <v>1.2403100775193798</v>
      </c>
      <c r="M128">
        <v>30</v>
      </c>
      <c r="N128">
        <v>42372</v>
      </c>
      <c r="O128" t="s">
        <v>206</v>
      </c>
      <c r="P128">
        <v>0</v>
      </c>
      <c r="Q128">
        <v>0</v>
      </c>
      <c r="R128">
        <v>0</v>
      </c>
      <c r="S128">
        <v>0</v>
      </c>
      <c r="T128">
        <v>0</v>
      </c>
      <c r="U128">
        <v>0</v>
      </c>
      <c r="V128">
        <v>0</v>
      </c>
      <c r="W128">
        <v>0</v>
      </c>
      <c r="X128">
        <v>0</v>
      </c>
      <c r="Y128">
        <v>0</v>
      </c>
      <c r="Z128">
        <v>0</v>
      </c>
      <c r="AA128">
        <v>0</v>
      </c>
      <c r="AB128">
        <v>0</v>
      </c>
      <c r="AC128">
        <v>0</v>
      </c>
      <c r="AD128">
        <v>320</v>
      </c>
      <c r="AE128">
        <v>258</v>
      </c>
      <c r="AF128">
        <v>7</v>
      </c>
      <c r="AG128">
        <v>2240</v>
      </c>
      <c r="AH128">
        <v>15680</v>
      </c>
      <c r="AI128">
        <v>448</v>
      </c>
      <c r="AJ128">
        <v>3136</v>
      </c>
      <c r="AK128">
        <v>3</v>
      </c>
      <c r="AL128">
        <v>0</v>
      </c>
      <c r="AM128">
        <v>0</v>
      </c>
      <c r="AN128">
        <v>0</v>
      </c>
      <c r="AO128">
        <v>0</v>
      </c>
      <c r="AP128">
        <v>0</v>
      </c>
      <c r="AQ128">
        <v>0</v>
      </c>
      <c r="AR128">
        <v>400</v>
      </c>
      <c r="AS128">
        <v>323</v>
      </c>
      <c r="AT128">
        <v>7</v>
      </c>
      <c r="AU128">
        <v>2800</v>
      </c>
      <c r="AV128">
        <v>19600</v>
      </c>
      <c r="AW128">
        <v>560</v>
      </c>
      <c r="AX128">
        <v>3920</v>
      </c>
      <c r="BD128">
        <v>0</v>
      </c>
      <c r="BE128">
        <v>0</v>
      </c>
      <c r="BF128">
        <v>480</v>
      </c>
      <c r="BG128">
        <v>387</v>
      </c>
      <c r="BH128">
        <v>7</v>
      </c>
      <c r="BI128">
        <v>3360</v>
      </c>
      <c r="BJ128">
        <v>23520</v>
      </c>
      <c r="BK128">
        <v>672</v>
      </c>
      <c r="BL128">
        <v>4704</v>
      </c>
      <c r="BR128">
        <v>0</v>
      </c>
      <c r="BS128">
        <v>0</v>
      </c>
      <c r="BT128">
        <v>640</v>
      </c>
      <c r="BU128">
        <v>516</v>
      </c>
      <c r="BV128">
        <v>7</v>
      </c>
      <c r="BW128">
        <v>4480</v>
      </c>
      <c r="BX128">
        <v>31360</v>
      </c>
      <c r="BY128">
        <v>896</v>
      </c>
      <c r="BZ128">
        <v>6272</v>
      </c>
      <c r="CF128">
        <v>0</v>
      </c>
      <c r="CG128">
        <v>0</v>
      </c>
      <c r="CH128">
        <v>960</v>
      </c>
      <c r="CI128">
        <v>774</v>
      </c>
      <c r="CJ128">
        <v>7</v>
      </c>
      <c r="CK128">
        <v>6720</v>
      </c>
      <c r="CL128">
        <v>47040</v>
      </c>
      <c r="CM128">
        <v>1344</v>
      </c>
      <c r="CN128">
        <v>9408</v>
      </c>
      <c r="CT128">
        <v>0</v>
      </c>
      <c r="CU128">
        <v>0</v>
      </c>
      <c r="DD128" t="s">
        <v>872</v>
      </c>
      <c r="DE128">
        <v>6033</v>
      </c>
    </row>
    <row r="129" spans="1:109">
      <c r="A129">
        <v>6034</v>
      </c>
      <c r="B129" t="s">
        <v>782</v>
      </c>
      <c r="C129" t="s">
        <v>48</v>
      </c>
      <c r="D129" t="s">
        <v>43</v>
      </c>
      <c r="E129" t="s">
        <v>43</v>
      </c>
      <c r="H129">
        <v>6</v>
      </c>
      <c r="I129" t="s">
        <v>270</v>
      </c>
      <c r="J129">
        <v>9</v>
      </c>
      <c r="K129">
        <v>2.5000000000000001E-2</v>
      </c>
      <c r="L129">
        <v>8.67741935483871</v>
      </c>
      <c r="M129">
        <v>30</v>
      </c>
      <c r="N129">
        <v>42373</v>
      </c>
      <c r="O129" t="s">
        <v>206</v>
      </c>
      <c r="P129">
        <v>0</v>
      </c>
      <c r="Q129">
        <v>0</v>
      </c>
      <c r="R129">
        <v>0</v>
      </c>
      <c r="S129">
        <v>0</v>
      </c>
      <c r="T129">
        <v>0</v>
      </c>
      <c r="U129">
        <v>0</v>
      </c>
      <c r="V129">
        <v>0</v>
      </c>
      <c r="W129">
        <v>0</v>
      </c>
      <c r="X129">
        <v>0</v>
      </c>
      <c r="Y129">
        <v>0</v>
      </c>
      <c r="Z129">
        <v>0</v>
      </c>
      <c r="AA129">
        <v>0</v>
      </c>
      <c r="AB129">
        <v>0</v>
      </c>
      <c r="AC129">
        <v>0</v>
      </c>
      <c r="AD129">
        <v>897</v>
      </c>
      <c r="AE129">
        <v>104</v>
      </c>
      <c r="AF129">
        <v>8</v>
      </c>
      <c r="AG129">
        <v>7176</v>
      </c>
      <c r="AH129">
        <v>64584</v>
      </c>
      <c r="AI129">
        <v>179</v>
      </c>
      <c r="AJ129">
        <v>1614</v>
      </c>
      <c r="AK129">
        <v>3</v>
      </c>
      <c r="AL129">
        <v>0</v>
      </c>
      <c r="AM129">
        <v>0</v>
      </c>
      <c r="AN129">
        <v>0</v>
      </c>
      <c r="AO129">
        <v>0</v>
      </c>
      <c r="AP129">
        <v>0</v>
      </c>
      <c r="AQ129">
        <v>0</v>
      </c>
      <c r="AR129">
        <v>1121</v>
      </c>
      <c r="AS129">
        <v>130</v>
      </c>
      <c r="AT129">
        <v>8</v>
      </c>
      <c r="AU129">
        <v>8968</v>
      </c>
      <c r="AV129">
        <v>80712</v>
      </c>
      <c r="AW129">
        <v>224</v>
      </c>
      <c r="AX129">
        <v>2017</v>
      </c>
      <c r="AY129">
        <v>38</v>
      </c>
      <c r="AZ129">
        <v>3680000</v>
      </c>
      <c r="BA129">
        <v>0</v>
      </c>
      <c r="BB129">
        <v>4</v>
      </c>
      <c r="BC129">
        <v>0</v>
      </c>
      <c r="BD129">
        <v>18.364778471602737</v>
      </c>
      <c r="BE129">
        <v>96842</v>
      </c>
      <c r="BF129">
        <v>1345</v>
      </c>
      <c r="BG129">
        <v>155</v>
      </c>
      <c r="BH129">
        <v>8</v>
      </c>
      <c r="BI129">
        <v>10760</v>
      </c>
      <c r="BJ129">
        <v>96840</v>
      </c>
      <c r="BK129">
        <v>269</v>
      </c>
      <c r="BL129">
        <v>2421</v>
      </c>
      <c r="BM129">
        <v>100</v>
      </c>
      <c r="BN129">
        <v>5520000</v>
      </c>
      <c r="BO129">
        <v>0</v>
      </c>
      <c r="BP129">
        <v>6</v>
      </c>
      <c r="BQ129">
        <v>0</v>
      </c>
      <c r="BR129">
        <v>24.848203221809172</v>
      </c>
      <c r="BS129">
        <v>55200</v>
      </c>
      <c r="BT129">
        <v>1794</v>
      </c>
      <c r="BU129">
        <v>207</v>
      </c>
      <c r="BV129">
        <v>8</v>
      </c>
      <c r="BW129">
        <v>14352</v>
      </c>
      <c r="BX129">
        <v>129168</v>
      </c>
      <c r="BY129">
        <v>358</v>
      </c>
      <c r="BZ129">
        <v>3229</v>
      </c>
      <c r="CA129">
        <v>156</v>
      </c>
      <c r="CB129">
        <v>7360000</v>
      </c>
      <c r="CC129">
        <v>0</v>
      </c>
      <c r="CD129">
        <v>12</v>
      </c>
      <c r="CE129">
        <v>0</v>
      </c>
      <c r="CF129">
        <v>26.240709773318471</v>
      </c>
      <c r="CG129">
        <v>47179</v>
      </c>
      <c r="CH129">
        <v>2690</v>
      </c>
      <c r="CI129">
        <v>310</v>
      </c>
      <c r="CJ129">
        <v>8</v>
      </c>
      <c r="CK129">
        <v>21520</v>
      </c>
      <c r="CL129">
        <v>193680</v>
      </c>
      <c r="CM129">
        <v>538</v>
      </c>
      <c r="CN129">
        <v>4842</v>
      </c>
      <c r="CO129">
        <v>240</v>
      </c>
      <c r="CP129">
        <v>9200000</v>
      </c>
      <c r="CQ129">
        <v>0</v>
      </c>
      <c r="CR129">
        <v>18</v>
      </c>
      <c r="CS129">
        <v>0</v>
      </c>
      <c r="CT129">
        <v>24.4820322180917</v>
      </c>
      <c r="CU129">
        <v>38333</v>
      </c>
      <c r="CV129">
        <v>537</v>
      </c>
      <c r="CW129">
        <v>25760000</v>
      </c>
      <c r="CX129">
        <v>0</v>
      </c>
      <c r="CY129">
        <v>40</v>
      </c>
      <c r="CZ129">
        <v>0</v>
      </c>
      <c r="DA129">
        <v>49.876084262701362</v>
      </c>
      <c r="DB129">
        <v>47970.204841713225</v>
      </c>
      <c r="DD129" t="s">
        <v>782</v>
      </c>
      <c r="DE129">
        <v>6034</v>
      </c>
    </row>
    <row r="130" spans="1:109">
      <c r="A130">
        <v>6035</v>
      </c>
      <c r="B130" t="s">
        <v>873</v>
      </c>
      <c r="C130" t="s">
        <v>42</v>
      </c>
      <c r="E130" t="s">
        <v>43</v>
      </c>
      <c r="F130" t="s">
        <v>43</v>
      </c>
      <c r="H130">
        <v>6</v>
      </c>
      <c r="I130" t="s">
        <v>270</v>
      </c>
      <c r="J130">
        <v>7</v>
      </c>
      <c r="K130">
        <v>0.1</v>
      </c>
      <c r="L130">
        <v>1.365432098765432</v>
      </c>
      <c r="M130">
        <v>30</v>
      </c>
      <c r="N130">
        <v>42374</v>
      </c>
      <c r="O130" t="s">
        <v>206</v>
      </c>
      <c r="P130">
        <v>0</v>
      </c>
      <c r="Q130">
        <v>0</v>
      </c>
      <c r="R130">
        <v>0</v>
      </c>
      <c r="S130">
        <v>0</v>
      </c>
      <c r="T130">
        <v>0</v>
      </c>
      <c r="U130">
        <v>0</v>
      </c>
      <c r="V130">
        <v>0</v>
      </c>
      <c r="W130">
        <v>0</v>
      </c>
      <c r="X130">
        <v>0</v>
      </c>
      <c r="Y130">
        <v>0</v>
      </c>
      <c r="Z130">
        <v>0</v>
      </c>
      <c r="AA130">
        <v>0</v>
      </c>
      <c r="AB130">
        <v>0</v>
      </c>
      <c r="AC130">
        <v>0</v>
      </c>
      <c r="AD130">
        <v>369</v>
      </c>
      <c r="AE130">
        <v>270</v>
      </c>
      <c r="AF130">
        <v>7</v>
      </c>
      <c r="AG130">
        <v>2583</v>
      </c>
      <c r="AH130">
        <v>18081</v>
      </c>
      <c r="AI130">
        <v>258</v>
      </c>
      <c r="AJ130">
        <v>1808</v>
      </c>
      <c r="AK130">
        <v>3</v>
      </c>
      <c r="AL130">
        <v>0</v>
      </c>
      <c r="AM130">
        <v>0</v>
      </c>
      <c r="AN130">
        <v>0</v>
      </c>
      <c r="AO130">
        <v>0</v>
      </c>
      <c r="AP130">
        <v>0</v>
      </c>
      <c r="AQ130">
        <v>0</v>
      </c>
      <c r="AR130">
        <v>461</v>
      </c>
      <c r="AS130">
        <v>338</v>
      </c>
      <c r="AT130">
        <v>7</v>
      </c>
      <c r="AU130">
        <v>3227</v>
      </c>
      <c r="AV130">
        <v>22589</v>
      </c>
      <c r="AW130">
        <v>322</v>
      </c>
      <c r="AX130">
        <v>2258</v>
      </c>
      <c r="AY130">
        <v>36</v>
      </c>
      <c r="AZ130">
        <v>2440000</v>
      </c>
      <c r="BA130">
        <v>0</v>
      </c>
      <c r="BB130">
        <v>5</v>
      </c>
      <c r="BC130">
        <v>0</v>
      </c>
      <c r="BD130">
        <v>32.705660572254935</v>
      </c>
      <c r="BE130">
        <v>67777</v>
      </c>
      <c r="BF130">
        <v>553</v>
      </c>
      <c r="BG130">
        <v>405</v>
      </c>
      <c r="BH130">
        <v>7</v>
      </c>
      <c r="BI130">
        <v>3871</v>
      </c>
      <c r="BJ130">
        <v>27097</v>
      </c>
      <c r="BK130">
        <v>387</v>
      </c>
      <c r="BL130">
        <v>2709</v>
      </c>
      <c r="BM130">
        <v>96</v>
      </c>
      <c r="BN130">
        <v>3660000</v>
      </c>
      <c r="BO130">
        <v>0</v>
      </c>
      <c r="BP130">
        <v>7</v>
      </c>
      <c r="BQ130">
        <v>0</v>
      </c>
      <c r="BR130">
        <v>42.730043916300701</v>
      </c>
      <c r="BS130">
        <v>38125</v>
      </c>
      <c r="BT130">
        <v>738</v>
      </c>
      <c r="BU130">
        <v>540</v>
      </c>
      <c r="BV130">
        <v>7</v>
      </c>
      <c r="BW130">
        <v>5166</v>
      </c>
      <c r="BX130">
        <v>36162</v>
      </c>
      <c r="BY130">
        <v>516</v>
      </c>
      <c r="BZ130">
        <v>3616</v>
      </c>
      <c r="CA130">
        <v>144</v>
      </c>
      <c r="CB130">
        <v>4880000</v>
      </c>
      <c r="CC130">
        <v>0</v>
      </c>
      <c r="CD130">
        <v>10</v>
      </c>
      <c r="CE130">
        <v>0</v>
      </c>
      <c r="CF130">
        <v>43.855852368047493</v>
      </c>
      <c r="CG130">
        <v>33888</v>
      </c>
      <c r="CH130">
        <v>1106</v>
      </c>
      <c r="CI130">
        <v>810</v>
      </c>
      <c r="CJ130">
        <v>7</v>
      </c>
      <c r="CK130">
        <v>7742</v>
      </c>
      <c r="CL130">
        <v>54194</v>
      </c>
      <c r="CM130">
        <v>774</v>
      </c>
      <c r="CN130">
        <v>5419</v>
      </c>
      <c r="CO130">
        <v>216</v>
      </c>
      <c r="CP130">
        <v>6100000</v>
      </c>
      <c r="CQ130">
        <v>0</v>
      </c>
      <c r="CR130">
        <v>12</v>
      </c>
      <c r="CS130">
        <v>0</v>
      </c>
      <c r="CT130">
        <v>38.835012486007059</v>
      </c>
      <c r="CU130">
        <v>28240</v>
      </c>
      <c r="CV130">
        <v>495</v>
      </c>
      <c r="CW130">
        <v>17080000</v>
      </c>
      <c r="CX130">
        <v>0</v>
      </c>
      <c r="CY130">
        <v>34</v>
      </c>
      <c r="CZ130">
        <v>0</v>
      </c>
      <c r="DA130">
        <v>91.922845087402052</v>
      </c>
      <c r="DB130">
        <v>34505.050505050502</v>
      </c>
      <c r="DD130" t="s">
        <v>873</v>
      </c>
      <c r="DE130">
        <v>6035</v>
      </c>
    </row>
    <row r="131" spans="1:109">
      <c r="A131">
        <v>6036</v>
      </c>
      <c r="B131" t="s">
        <v>802</v>
      </c>
      <c r="C131" t="s">
        <v>52</v>
      </c>
      <c r="E131" t="s">
        <v>43</v>
      </c>
      <c r="H131">
        <v>6</v>
      </c>
      <c r="I131" t="s">
        <v>270</v>
      </c>
      <c r="J131">
        <v>6</v>
      </c>
      <c r="K131">
        <v>0.15</v>
      </c>
      <c r="L131">
        <v>1.3603744149765991</v>
      </c>
      <c r="M131">
        <v>30</v>
      </c>
      <c r="N131">
        <v>42378</v>
      </c>
      <c r="O131" t="s">
        <v>206</v>
      </c>
      <c r="P131">
        <v>0</v>
      </c>
      <c r="Q131">
        <v>0</v>
      </c>
      <c r="R131">
        <v>0</v>
      </c>
      <c r="S131">
        <v>0</v>
      </c>
      <c r="T131">
        <v>0</v>
      </c>
      <c r="U131">
        <v>0</v>
      </c>
      <c r="V131">
        <v>0</v>
      </c>
      <c r="W131">
        <v>0</v>
      </c>
      <c r="X131">
        <v>0</v>
      </c>
      <c r="Y131">
        <v>0</v>
      </c>
      <c r="Z131">
        <v>0</v>
      </c>
      <c r="AA131">
        <v>0</v>
      </c>
      <c r="AB131">
        <v>0</v>
      </c>
      <c r="AC131">
        <v>0</v>
      </c>
      <c r="AD131">
        <v>291</v>
      </c>
      <c r="AE131">
        <v>214</v>
      </c>
      <c r="AF131">
        <v>10</v>
      </c>
      <c r="AG131">
        <v>2910</v>
      </c>
      <c r="AH131">
        <v>17460</v>
      </c>
      <c r="AI131">
        <v>436</v>
      </c>
      <c r="AJ131">
        <v>2619</v>
      </c>
      <c r="AK131">
        <v>3</v>
      </c>
      <c r="AL131">
        <v>0</v>
      </c>
      <c r="AM131">
        <v>0</v>
      </c>
      <c r="AN131">
        <v>0</v>
      </c>
      <c r="AO131">
        <v>0</v>
      </c>
      <c r="AP131">
        <v>0</v>
      </c>
      <c r="AQ131">
        <v>0</v>
      </c>
      <c r="AR131">
        <v>364</v>
      </c>
      <c r="AS131">
        <v>268</v>
      </c>
      <c r="AT131">
        <v>10</v>
      </c>
      <c r="AU131">
        <v>3640</v>
      </c>
      <c r="AV131">
        <v>21840</v>
      </c>
      <c r="AW131">
        <v>546</v>
      </c>
      <c r="AX131">
        <v>3276</v>
      </c>
      <c r="AY131">
        <v>36</v>
      </c>
      <c r="AZ131">
        <v>2400000</v>
      </c>
      <c r="BA131">
        <v>0</v>
      </c>
      <c r="BB131">
        <v>5</v>
      </c>
      <c r="BC131">
        <v>0</v>
      </c>
      <c r="BD131">
        <v>28.671703296703296</v>
      </c>
      <c r="BE131">
        <v>66666</v>
      </c>
      <c r="BF131">
        <v>436</v>
      </c>
      <c r="BG131">
        <v>321</v>
      </c>
      <c r="BH131">
        <v>10</v>
      </c>
      <c r="BI131">
        <v>4360</v>
      </c>
      <c r="BJ131">
        <v>26160</v>
      </c>
      <c r="BK131">
        <v>654</v>
      </c>
      <c r="BL131">
        <v>3924</v>
      </c>
      <c r="BM131">
        <v>96</v>
      </c>
      <c r="BN131">
        <v>3600000</v>
      </c>
      <c r="BO131">
        <v>0</v>
      </c>
      <c r="BP131">
        <v>7</v>
      </c>
      <c r="BQ131">
        <v>0</v>
      </c>
      <c r="BR131">
        <v>37.743119266055047</v>
      </c>
      <c r="BS131">
        <v>37500</v>
      </c>
      <c r="BT131">
        <v>582</v>
      </c>
      <c r="BU131">
        <v>428</v>
      </c>
      <c r="BV131">
        <v>10</v>
      </c>
      <c r="BW131">
        <v>5820</v>
      </c>
      <c r="BX131">
        <v>34920</v>
      </c>
      <c r="BY131">
        <v>873</v>
      </c>
      <c r="BZ131">
        <v>5238</v>
      </c>
      <c r="CA131">
        <v>144</v>
      </c>
      <c r="CB131">
        <v>4800000</v>
      </c>
      <c r="CC131">
        <v>0</v>
      </c>
      <c r="CD131">
        <v>10</v>
      </c>
      <c r="CE131">
        <v>0</v>
      </c>
      <c r="CF131">
        <v>38.859106529209619</v>
      </c>
      <c r="CG131">
        <v>33333</v>
      </c>
      <c r="CH131">
        <v>872</v>
      </c>
      <c r="CI131">
        <v>641</v>
      </c>
      <c r="CJ131">
        <v>10</v>
      </c>
      <c r="CK131">
        <v>8720</v>
      </c>
      <c r="CL131">
        <v>52320</v>
      </c>
      <c r="CM131">
        <v>1308</v>
      </c>
      <c r="CN131">
        <v>7848</v>
      </c>
      <c r="CT131">
        <v>0</v>
      </c>
      <c r="CU131">
        <v>0</v>
      </c>
      <c r="DD131" t="s">
        <v>802</v>
      </c>
      <c r="DE131">
        <v>6036</v>
      </c>
    </row>
    <row r="132" spans="1:109">
      <c r="A132">
        <v>6037</v>
      </c>
      <c r="B132" t="s">
        <v>874</v>
      </c>
      <c r="C132" t="s">
        <v>77</v>
      </c>
      <c r="E132" t="s">
        <v>43</v>
      </c>
      <c r="H132">
        <v>6</v>
      </c>
      <c r="I132" t="s">
        <v>270</v>
      </c>
      <c r="J132">
        <v>7</v>
      </c>
      <c r="K132">
        <v>0.2</v>
      </c>
      <c r="L132">
        <v>1.2429667519181586</v>
      </c>
      <c r="M132">
        <v>30</v>
      </c>
      <c r="N132">
        <v>42379</v>
      </c>
      <c r="O132" t="s">
        <v>206</v>
      </c>
      <c r="P132">
        <v>0</v>
      </c>
      <c r="Q132">
        <v>0</v>
      </c>
      <c r="R132">
        <v>0</v>
      </c>
      <c r="S132">
        <v>0</v>
      </c>
      <c r="T132">
        <v>0</v>
      </c>
      <c r="U132">
        <v>0</v>
      </c>
      <c r="V132">
        <v>0</v>
      </c>
      <c r="W132">
        <v>0</v>
      </c>
      <c r="X132">
        <v>0</v>
      </c>
      <c r="Y132">
        <v>0</v>
      </c>
      <c r="Z132">
        <v>0</v>
      </c>
      <c r="AA132">
        <v>0</v>
      </c>
      <c r="AB132">
        <v>0</v>
      </c>
      <c r="AC132">
        <v>0</v>
      </c>
      <c r="AD132">
        <v>324</v>
      </c>
      <c r="AE132">
        <v>261</v>
      </c>
      <c r="AF132">
        <v>7</v>
      </c>
      <c r="AG132">
        <v>2268</v>
      </c>
      <c r="AH132">
        <v>15876</v>
      </c>
      <c r="AI132">
        <v>453</v>
      </c>
      <c r="AJ132">
        <v>3175</v>
      </c>
      <c r="AK132">
        <v>3</v>
      </c>
      <c r="AL132">
        <v>0</v>
      </c>
      <c r="AM132">
        <v>0</v>
      </c>
      <c r="AN132">
        <v>0</v>
      </c>
      <c r="AO132">
        <v>0</v>
      </c>
      <c r="AP132">
        <v>0</v>
      </c>
      <c r="AQ132">
        <v>0</v>
      </c>
      <c r="AR132">
        <v>405</v>
      </c>
      <c r="AS132">
        <v>326</v>
      </c>
      <c r="AT132">
        <v>7</v>
      </c>
      <c r="AU132">
        <v>2835</v>
      </c>
      <c r="AV132">
        <v>19845</v>
      </c>
      <c r="AW132">
        <v>567</v>
      </c>
      <c r="AX132">
        <v>3969</v>
      </c>
      <c r="BD132">
        <v>0</v>
      </c>
      <c r="BE132">
        <v>0</v>
      </c>
      <c r="BF132">
        <v>486</v>
      </c>
      <c r="BG132">
        <v>391</v>
      </c>
      <c r="BH132">
        <v>7</v>
      </c>
      <c r="BI132">
        <v>3402</v>
      </c>
      <c r="BJ132">
        <v>23814</v>
      </c>
      <c r="BK132">
        <v>680</v>
      </c>
      <c r="BL132">
        <v>4762</v>
      </c>
      <c r="BR132">
        <v>0</v>
      </c>
      <c r="BS132">
        <v>0</v>
      </c>
      <c r="BT132">
        <v>648</v>
      </c>
      <c r="BU132">
        <v>522</v>
      </c>
      <c r="BV132">
        <v>7</v>
      </c>
      <c r="BW132">
        <v>4536</v>
      </c>
      <c r="BX132">
        <v>31752</v>
      </c>
      <c r="BY132">
        <v>907</v>
      </c>
      <c r="BZ132">
        <v>6350</v>
      </c>
      <c r="CF132">
        <v>0</v>
      </c>
      <c r="CG132">
        <v>0</v>
      </c>
      <c r="CH132">
        <v>972</v>
      </c>
      <c r="CI132">
        <v>782</v>
      </c>
      <c r="CJ132">
        <v>7</v>
      </c>
      <c r="CK132">
        <v>6804</v>
      </c>
      <c r="CL132">
        <v>47628</v>
      </c>
      <c r="CM132">
        <v>1360</v>
      </c>
      <c r="CN132">
        <v>9525</v>
      </c>
      <c r="CT132">
        <v>0</v>
      </c>
      <c r="CU132">
        <v>0</v>
      </c>
      <c r="DD132" t="s">
        <v>874</v>
      </c>
      <c r="DE132">
        <v>6037</v>
      </c>
    </row>
    <row r="133" spans="1:109">
      <c r="A133">
        <v>6038</v>
      </c>
      <c r="B133" t="s">
        <v>783</v>
      </c>
      <c r="C133" t="s">
        <v>48</v>
      </c>
      <c r="D133" t="s">
        <v>43</v>
      </c>
      <c r="E133" t="s">
        <v>43</v>
      </c>
      <c r="H133">
        <v>6</v>
      </c>
      <c r="I133" t="s">
        <v>270</v>
      </c>
      <c r="J133">
        <v>9</v>
      </c>
      <c r="K133">
        <v>2.5000000000000001E-2</v>
      </c>
      <c r="L133">
        <v>8.7859424920127793</v>
      </c>
      <c r="M133">
        <v>30</v>
      </c>
      <c r="N133">
        <v>42385</v>
      </c>
      <c r="O133" t="s">
        <v>206</v>
      </c>
      <c r="P133">
        <v>0</v>
      </c>
      <c r="Q133">
        <v>0</v>
      </c>
      <c r="R133">
        <v>0</v>
      </c>
      <c r="S133">
        <v>0</v>
      </c>
      <c r="T133">
        <v>0</v>
      </c>
      <c r="U133">
        <v>0</v>
      </c>
      <c r="V133">
        <v>0</v>
      </c>
      <c r="W133">
        <v>0</v>
      </c>
      <c r="X133">
        <v>0</v>
      </c>
      <c r="Y133">
        <v>0</v>
      </c>
      <c r="Z133">
        <v>0</v>
      </c>
      <c r="AA133">
        <v>0</v>
      </c>
      <c r="AB133">
        <v>0</v>
      </c>
      <c r="AC133">
        <v>0</v>
      </c>
      <c r="AD133">
        <v>917</v>
      </c>
      <c r="AE133">
        <v>105</v>
      </c>
      <c r="AF133">
        <v>8</v>
      </c>
      <c r="AG133">
        <v>7336</v>
      </c>
      <c r="AH133">
        <v>66024</v>
      </c>
      <c r="AI133">
        <v>183</v>
      </c>
      <c r="AJ133">
        <v>1650</v>
      </c>
      <c r="AK133">
        <v>3</v>
      </c>
      <c r="AL133">
        <v>0</v>
      </c>
      <c r="AM133">
        <v>0</v>
      </c>
      <c r="AN133">
        <v>0</v>
      </c>
      <c r="AO133">
        <v>0</v>
      </c>
      <c r="AP133">
        <v>0</v>
      </c>
      <c r="AQ133">
        <v>0</v>
      </c>
      <c r="AR133">
        <v>1146</v>
      </c>
      <c r="AS133">
        <v>131</v>
      </c>
      <c r="AT133">
        <v>8</v>
      </c>
      <c r="AU133">
        <v>9168</v>
      </c>
      <c r="AV133">
        <v>82512</v>
      </c>
      <c r="AW133">
        <v>229</v>
      </c>
      <c r="AX133">
        <v>2062</v>
      </c>
      <c r="AY133">
        <v>38</v>
      </c>
      <c r="AZ133">
        <v>3720000</v>
      </c>
      <c r="BA133">
        <v>0</v>
      </c>
      <c r="BB133">
        <v>4</v>
      </c>
      <c r="BC133">
        <v>0</v>
      </c>
      <c r="BD133">
        <v>18.173574752763233</v>
      </c>
      <c r="BE133">
        <v>97894</v>
      </c>
      <c r="BF133">
        <v>1375</v>
      </c>
      <c r="BG133">
        <v>157</v>
      </c>
      <c r="BH133">
        <v>8</v>
      </c>
      <c r="BI133">
        <v>11000</v>
      </c>
      <c r="BJ133">
        <v>99000</v>
      </c>
      <c r="BK133">
        <v>275</v>
      </c>
      <c r="BL133">
        <v>2475</v>
      </c>
      <c r="BM133">
        <v>100</v>
      </c>
      <c r="BN133">
        <v>5580000</v>
      </c>
      <c r="BO133">
        <v>0</v>
      </c>
      <c r="BP133">
        <v>6</v>
      </c>
      <c r="BQ133">
        <v>0</v>
      </c>
      <c r="BR133">
        <v>24.609090909090909</v>
      </c>
      <c r="BS133">
        <v>55800</v>
      </c>
      <c r="BT133">
        <v>1834</v>
      </c>
      <c r="BU133">
        <v>209</v>
      </c>
      <c r="BV133">
        <v>8</v>
      </c>
      <c r="BW133">
        <v>14672</v>
      </c>
      <c r="BX133">
        <v>132048</v>
      </c>
      <c r="BY133">
        <v>366</v>
      </c>
      <c r="BZ133">
        <v>3301</v>
      </c>
      <c r="CA133">
        <v>156</v>
      </c>
      <c r="CB133">
        <v>7440000</v>
      </c>
      <c r="CC133">
        <v>0</v>
      </c>
      <c r="CD133">
        <v>12</v>
      </c>
      <c r="CE133">
        <v>0</v>
      </c>
      <c r="CF133">
        <v>26.001908396946565</v>
      </c>
      <c r="CG133">
        <v>47692</v>
      </c>
      <c r="CH133">
        <v>2750</v>
      </c>
      <c r="CI133">
        <v>313</v>
      </c>
      <c r="CJ133">
        <v>8</v>
      </c>
      <c r="CK133">
        <v>22000</v>
      </c>
      <c r="CL133">
        <v>198000</v>
      </c>
      <c r="CM133">
        <v>550</v>
      </c>
      <c r="CN133">
        <v>4950</v>
      </c>
      <c r="CO133">
        <v>240</v>
      </c>
      <c r="CP133">
        <v>9300000</v>
      </c>
      <c r="CQ133">
        <v>0</v>
      </c>
      <c r="CR133">
        <v>18</v>
      </c>
      <c r="CS133">
        <v>0</v>
      </c>
      <c r="CT133">
        <v>24.282727272727271</v>
      </c>
      <c r="CU133">
        <v>38750</v>
      </c>
      <c r="CV133">
        <v>537</v>
      </c>
      <c r="CW133">
        <v>26040000</v>
      </c>
      <c r="CX133">
        <v>0</v>
      </c>
      <c r="CY133">
        <v>40</v>
      </c>
      <c r="CZ133">
        <v>0</v>
      </c>
      <c r="DA133">
        <v>49.31818181818182</v>
      </c>
      <c r="DB133">
        <v>48491.620111731841</v>
      </c>
      <c r="DD133" t="s">
        <v>783</v>
      </c>
      <c r="DE133">
        <v>6038</v>
      </c>
    </row>
    <row r="134" spans="1:109">
      <c r="A134">
        <v>6039</v>
      </c>
      <c r="B134" t="s">
        <v>803</v>
      </c>
      <c r="C134" t="s">
        <v>52</v>
      </c>
      <c r="E134" t="s">
        <v>43</v>
      </c>
      <c r="H134">
        <v>6</v>
      </c>
      <c r="I134" t="s">
        <v>270</v>
      </c>
      <c r="J134">
        <v>6</v>
      </c>
      <c r="K134">
        <v>0.15</v>
      </c>
      <c r="L134">
        <v>1.3643410852713178</v>
      </c>
      <c r="M134">
        <v>30</v>
      </c>
      <c r="N134">
        <v>42392</v>
      </c>
      <c r="O134" t="s">
        <v>206</v>
      </c>
      <c r="P134">
        <v>0</v>
      </c>
      <c r="Q134">
        <v>0</v>
      </c>
      <c r="R134">
        <v>0</v>
      </c>
      <c r="S134">
        <v>0</v>
      </c>
      <c r="T134">
        <v>0</v>
      </c>
      <c r="U134">
        <v>0</v>
      </c>
      <c r="V134">
        <v>0</v>
      </c>
      <c r="W134">
        <v>0</v>
      </c>
      <c r="X134">
        <v>0</v>
      </c>
      <c r="Y134">
        <v>0</v>
      </c>
      <c r="Z134">
        <v>0</v>
      </c>
      <c r="AA134">
        <v>0</v>
      </c>
      <c r="AB134">
        <v>0</v>
      </c>
      <c r="AC134">
        <v>0</v>
      </c>
      <c r="AD134">
        <v>294</v>
      </c>
      <c r="AE134">
        <v>215</v>
      </c>
      <c r="AF134">
        <v>10</v>
      </c>
      <c r="AG134">
        <v>2940</v>
      </c>
      <c r="AH134">
        <v>17640</v>
      </c>
      <c r="AI134">
        <v>441</v>
      </c>
      <c r="AJ134">
        <v>2646</v>
      </c>
      <c r="AK134">
        <v>3</v>
      </c>
      <c r="AL134">
        <v>0</v>
      </c>
      <c r="AM134">
        <v>0</v>
      </c>
      <c r="AN134">
        <v>0</v>
      </c>
      <c r="AO134">
        <v>0</v>
      </c>
      <c r="AP134">
        <v>0</v>
      </c>
      <c r="AQ134">
        <v>0</v>
      </c>
      <c r="AR134">
        <v>367</v>
      </c>
      <c r="AS134">
        <v>269</v>
      </c>
      <c r="AT134">
        <v>10</v>
      </c>
      <c r="AU134">
        <v>3670</v>
      </c>
      <c r="AV134">
        <v>22020</v>
      </c>
      <c r="AW134">
        <v>550</v>
      </c>
      <c r="AX134">
        <v>3303</v>
      </c>
      <c r="AY134">
        <v>36</v>
      </c>
      <c r="AZ134">
        <v>2440000</v>
      </c>
      <c r="BA134">
        <v>0</v>
      </c>
      <c r="BB134">
        <v>5</v>
      </c>
      <c r="BC134">
        <v>0</v>
      </c>
      <c r="BD134">
        <v>28.903723887375111</v>
      </c>
      <c r="BE134">
        <v>67777</v>
      </c>
      <c r="BF134">
        <v>440</v>
      </c>
      <c r="BG134">
        <v>323</v>
      </c>
      <c r="BH134">
        <v>10</v>
      </c>
      <c r="BI134">
        <v>4400</v>
      </c>
      <c r="BJ134">
        <v>26400</v>
      </c>
      <c r="BK134">
        <v>660</v>
      </c>
      <c r="BL134">
        <v>3960</v>
      </c>
      <c r="BM134">
        <v>96</v>
      </c>
      <c r="BN134">
        <v>3660000</v>
      </c>
      <c r="BO134">
        <v>0</v>
      </c>
      <c r="BP134">
        <v>7</v>
      </c>
      <c r="BQ134">
        <v>0</v>
      </c>
      <c r="BR134">
        <v>37.995454545454542</v>
      </c>
      <c r="BS134">
        <v>38125</v>
      </c>
      <c r="BT134">
        <v>587</v>
      </c>
      <c r="BU134">
        <v>430</v>
      </c>
      <c r="BV134">
        <v>10</v>
      </c>
      <c r="BW134">
        <v>5870</v>
      </c>
      <c r="BX134">
        <v>35220</v>
      </c>
      <c r="BY134">
        <v>880</v>
      </c>
      <c r="BZ134">
        <v>5283</v>
      </c>
      <c r="CA134">
        <v>144</v>
      </c>
      <c r="CB134">
        <v>4880000</v>
      </c>
      <c r="CC134">
        <v>0</v>
      </c>
      <c r="CD134">
        <v>10</v>
      </c>
      <c r="CE134">
        <v>0</v>
      </c>
      <c r="CF134">
        <v>39.136854060193073</v>
      </c>
      <c r="CG134">
        <v>33888</v>
      </c>
      <c r="CH134">
        <v>880</v>
      </c>
      <c r="CI134">
        <v>645</v>
      </c>
      <c r="CJ134">
        <v>10</v>
      </c>
      <c r="CK134">
        <v>8800</v>
      </c>
      <c r="CL134">
        <v>52800</v>
      </c>
      <c r="CM134">
        <v>1320</v>
      </c>
      <c r="CN134">
        <v>7920</v>
      </c>
      <c r="CT134">
        <v>0</v>
      </c>
      <c r="CU134">
        <v>0</v>
      </c>
      <c r="DD134" t="s">
        <v>803</v>
      </c>
      <c r="DE134">
        <v>6039</v>
      </c>
    </row>
    <row r="135" spans="1:109">
      <c r="A135">
        <v>6040</v>
      </c>
      <c r="B135" t="s">
        <v>875</v>
      </c>
      <c r="C135" t="s">
        <v>77</v>
      </c>
      <c r="E135" t="s">
        <v>43</v>
      </c>
      <c r="H135">
        <v>6</v>
      </c>
      <c r="I135" t="s">
        <v>270</v>
      </c>
      <c r="J135">
        <v>7</v>
      </c>
      <c r="K135">
        <v>0.2</v>
      </c>
      <c r="L135">
        <v>1.2443037974683544</v>
      </c>
      <c r="M135">
        <v>30</v>
      </c>
      <c r="N135">
        <v>42399</v>
      </c>
      <c r="O135" t="s">
        <v>206</v>
      </c>
      <c r="P135">
        <v>0</v>
      </c>
      <c r="Q135">
        <v>0</v>
      </c>
      <c r="R135">
        <v>0</v>
      </c>
      <c r="S135">
        <v>0</v>
      </c>
      <c r="T135">
        <v>0</v>
      </c>
      <c r="U135">
        <v>0</v>
      </c>
      <c r="V135">
        <v>0</v>
      </c>
      <c r="W135">
        <v>0</v>
      </c>
      <c r="X135">
        <v>0</v>
      </c>
      <c r="Y135">
        <v>0</v>
      </c>
      <c r="Z135">
        <v>0</v>
      </c>
      <c r="AA135">
        <v>0</v>
      </c>
      <c r="AB135">
        <v>0</v>
      </c>
      <c r="AC135">
        <v>0</v>
      </c>
      <c r="AD135">
        <v>328</v>
      </c>
      <c r="AE135">
        <v>264</v>
      </c>
      <c r="AF135">
        <v>7</v>
      </c>
      <c r="AG135">
        <v>2296</v>
      </c>
      <c r="AH135">
        <v>16072</v>
      </c>
      <c r="AI135">
        <v>459</v>
      </c>
      <c r="AJ135">
        <v>3214</v>
      </c>
      <c r="AK135">
        <v>3</v>
      </c>
      <c r="AL135">
        <v>0</v>
      </c>
      <c r="AM135">
        <v>0</v>
      </c>
      <c r="AN135">
        <v>0</v>
      </c>
      <c r="AO135">
        <v>0</v>
      </c>
      <c r="AP135">
        <v>0</v>
      </c>
      <c r="AQ135">
        <v>0</v>
      </c>
      <c r="AR135">
        <v>410</v>
      </c>
      <c r="AS135">
        <v>330</v>
      </c>
      <c r="AT135">
        <v>7</v>
      </c>
      <c r="AU135">
        <v>2870</v>
      </c>
      <c r="AV135">
        <v>20090</v>
      </c>
      <c r="AW135">
        <v>574</v>
      </c>
      <c r="AX135">
        <v>4018</v>
      </c>
      <c r="AY135">
        <v>36</v>
      </c>
      <c r="AZ135">
        <v>2400000</v>
      </c>
      <c r="BA135">
        <v>0</v>
      </c>
      <c r="BB135">
        <v>5</v>
      </c>
      <c r="BC135">
        <v>0</v>
      </c>
      <c r="BD135">
        <v>36.043205574912896</v>
      </c>
      <c r="BE135">
        <v>66666</v>
      </c>
      <c r="BF135">
        <v>492</v>
      </c>
      <c r="BG135">
        <v>395</v>
      </c>
      <c r="BH135">
        <v>7</v>
      </c>
      <c r="BI135">
        <v>3444</v>
      </c>
      <c r="BJ135">
        <v>24108</v>
      </c>
      <c r="BK135">
        <v>688</v>
      </c>
      <c r="BL135">
        <v>4821</v>
      </c>
      <c r="BM135">
        <v>96</v>
      </c>
      <c r="BN135">
        <v>3600000</v>
      </c>
      <c r="BO135">
        <v>0</v>
      </c>
      <c r="BP135">
        <v>7</v>
      </c>
      <c r="BQ135">
        <v>0</v>
      </c>
      <c r="BR135">
        <v>46.887340301974454</v>
      </c>
      <c r="BS135">
        <v>37500</v>
      </c>
      <c r="BT135">
        <v>656</v>
      </c>
      <c r="BU135">
        <v>527</v>
      </c>
      <c r="BV135">
        <v>7</v>
      </c>
      <c r="BW135">
        <v>4592</v>
      </c>
      <c r="BX135">
        <v>32144</v>
      </c>
      <c r="BY135">
        <v>918</v>
      </c>
      <c r="BZ135">
        <v>6428</v>
      </c>
      <c r="CA135">
        <v>144</v>
      </c>
      <c r="CB135">
        <v>4800000</v>
      </c>
      <c r="CC135">
        <v>0</v>
      </c>
      <c r="CD135">
        <v>10</v>
      </c>
      <c r="CE135">
        <v>0</v>
      </c>
      <c r="CF135">
        <v>48.054006968641119</v>
      </c>
      <c r="CG135">
        <v>33333</v>
      </c>
      <c r="CH135">
        <v>983</v>
      </c>
      <c r="CI135">
        <v>790</v>
      </c>
      <c r="CJ135">
        <v>7</v>
      </c>
      <c r="CK135">
        <v>6881</v>
      </c>
      <c r="CL135">
        <v>48167</v>
      </c>
      <c r="CM135">
        <v>1376</v>
      </c>
      <c r="CN135">
        <v>9633</v>
      </c>
      <c r="CT135">
        <v>0</v>
      </c>
      <c r="CU135">
        <v>0</v>
      </c>
      <c r="DD135" t="s">
        <v>875</v>
      </c>
      <c r="DE135">
        <v>6040</v>
      </c>
    </row>
    <row r="136" spans="1:109">
      <c r="A136">
        <v>6041</v>
      </c>
      <c r="B136" t="s">
        <v>784</v>
      </c>
      <c r="C136" t="s">
        <v>48</v>
      </c>
      <c r="D136" t="s">
        <v>43</v>
      </c>
      <c r="E136" t="s">
        <v>43</v>
      </c>
      <c r="H136">
        <v>6</v>
      </c>
      <c r="I136" t="s">
        <v>270</v>
      </c>
      <c r="J136">
        <v>9</v>
      </c>
      <c r="K136">
        <v>2.5000000000000001E-2</v>
      </c>
      <c r="L136">
        <v>8.8607594936708853</v>
      </c>
      <c r="M136">
        <v>30</v>
      </c>
      <c r="N136">
        <v>42406</v>
      </c>
      <c r="O136" t="s">
        <v>206</v>
      </c>
      <c r="P136">
        <v>0</v>
      </c>
      <c r="Q136">
        <v>0</v>
      </c>
      <c r="R136">
        <v>0</v>
      </c>
      <c r="S136">
        <v>0</v>
      </c>
      <c r="T136">
        <v>0</v>
      </c>
      <c r="U136">
        <v>0</v>
      </c>
      <c r="V136">
        <v>0</v>
      </c>
      <c r="W136">
        <v>0</v>
      </c>
      <c r="X136">
        <v>0</v>
      </c>
      <c r="Y136">
        <v>0</v>
      </c>
      <c r="Z136">
        <v>0</v>
      </c>
      <c r="AA136">
        <v>0</v>
      </c>
      <c r="AB136">
        <v>0</v>
      </c>
      <c r="AC136">
        <v>0</v>
      </c>
      <c r="AD136">
        <v>934</v>
      </c>
      <c r="AE136">
        <v>106</v>
      </c>
      <c r="AF136">
        <v>8</v>
      </c>
      <c r="AG136">
        <v>7472</v>
      </c>
      <c r="AH136">
        <v>67248</v>
      </c>
      <c r="AI136">
        <v>186</v>
      </c>
      <c r="AJ136">
        <v>1681</v>
      </c>
      <c r="AK136">
        <v>3</v>
      </c>
      <c r="AL136">
        <v>0</v>
      </c>
      <c r="AM136">
        <v>0</v>
      </c>
      <c r="AN136">
        <v>0</v>
      </c>
      <c r="AO136">
        <v>0</v>
      </c>
      <c r="AP136">
        <v>0</v>
      </c>
      <c r="AQ136">
        <v>0</v>
      </c>
      <c r="AR136">
        <v>1167</v>
      </c>
      <c r="AS136">
        <v>132</v>
      </c>
      <c r="AT136">
        <v>8</v>
      </c>
      <c r="AU136">
        <v>9336</v>
      </c>
      <c r="AV136">
        <v>84024</v>
      </c>
      <c r="AW136">
        <v>233</v>
      </c>
      <c r="AX136">
        <v>2100</v>
      </c>
      <c r="AY136">
        <v>38</v>
      </c>
      <c r="AZ136">
        <v>4000000</v>
      </c>
      <c r="BA136">
        <v>0</v>
      </c>
      <c r="BB136">
        <v>5</v>
      </c>
      <c r="BC136">
        <v>0</v>
      </c>
      <c r="BD136">
        <v>19.119251642387891</v>
      </c>
      <c r="BE136">
        <v>105263</v>
      </c>
      <c r="BF136">
        <v>1400</v>
      </c>
      <c r="BG136">
        <v>158</v>
      </c>
      <c r="BH136">
        <v>8</v>
      </c>
      <c r="BI136">
        <v>11200</v>
      </c>
      <c r="BJ136">
        <v>100800</v>
      </c>
      <c r="BK136">
        <v>280</v>
      </c>
      <c r="BL136">
        <v>2520</v>
      </c>
      <c r="BM136">
        <v>100</v>
      </c>
      <c r="BN136">
        <v>6000000</v>
      </c>
      <c r="BO136">
        <v>0</v>
      </c>
      <c r="BP136">
        <v>10</v>
      </c>
      <c r="BQ136">
        <v>0</v>
      </c>
      <c r="BR136">
        <v>25.794642857142858</v>
      </c>
      <c r="BS136">
        <v>60000</v>
      </c>
      <c r="BT136">
        <v>1867</v>
      </c>
      <c r="BU136">
        <v>211</v>
      </c>
      <c r="BV136">
        <v>8</v>
      </c>
      <c r="BW136">
        <v>14936</v>
      </c>
      <c r="BX136">
        <v>134424</v>
      </c>
      <c r="BY136">
        <v>373</v>
      </c>
      <c r="BZ136">
        <v>3360</v>
      </c>
      <c r="CA136">
        <v>156</v>
      </c>
      <c r="CB136">
        <v>8000000</v>
      </c>
      <c r="CC136">
        <v>0</v>
      </c>
      <c r="CD136">
        <v>15</v>
      </c>
      <c r="CE136">
        <v>0</v>
      </c>
      <c r="CF136">
        <v>27.191572933404746</v>
      </c>
      <c r="CG136">
        <v>51282</v>
      </c>
      <c r="CH136">
        <v>2800</v>
      </c>
      <c r="CI136">
        <v>316</v>
      </c>
      <c r="CJ136">
        <v>8</v>
      </c>
      <c r="CK136">
        <v>22400</v>
      </c>
      <c r="CL136">
        <v>201600</v>
      </c>
      <c r="CM136">
        <v>560</v>
      </c>
      <c r="CN136">
        <v>5040</v>
      </c>
      <c r="CO136">
        <v>240</v>
      </c>
      <c r="CP136">
        <v>10000000</v>
      </c>
      <c r="CQ136">
        <v>0</v>
      </c>
      <c r="CR136">
        <v>20</v>
      </c>
      <c r="CS136">
        <v>0</v>
      </c>
      <c r="CT136">
        <v>25.269047619047623</v>
      </c>
      <c r="CU136">
        <v>41666</v>
      </c>
      <c r="CV136">
        <v>537</v>
      </c>
      <c r="CW136">
        <v>28000000</v>
      </c>
      <c r="CX136">
        <v>0</v>
      </c>
      <c r="CY136">
        <v>50</v>
      </c>
      <c r="CZ136">
        <v>0</v>
      </c>
      <c r="DA136">
        <v>52.083333333333336</v>
      </c>
      <c r="DB136">
        <v>52141.527001862196</v>
      </c>
      <c r="DD136" t="s">
        <v>784</v>
      </c>
      <c r="DE136">
        <v>6041</v>
      </c>
    </row>
    <row r="137" spans="1:109">
      <c r="A137">
        <v>6042</v>
      </c>
      <c r="B137" t="s">
        <v>804</v>
      </c>
      <c r="C137" t="s">
        <v>52</v>
      </c>
      <c r="E137" t="s">
        <v>43</v>
      </c>
      <c r="H137">
        <v>6</v>
      </c>
      <c r="I137" t="s">
        <v>270</v>
      </c>
      <c r="J137">
        <v>6</v>
      </c>
      <c r="K137">
        <v>0.15</v>
      </c>
      <c r="L137">
        <v>1.3713405238828968</v>
      </c>
      <c r="M137">
        <v>30</v>
      </c>
      <c r="N137">
        <v>42413</v>
      </c>
      <c r="O137" t="s">
        <v>206</v>
      </c>
      <c r="P137">
        <v>0</v>
      </c>
      <c r="Q137">
        <v>0</v>
      </c>
      <c r="R137">
        <v>0</v>
      </c>
      <c r="S137">
        <v>0</v>
      </c>
      <c r="T137">
        <v>0</v>
      </c>
      <c r="U137">
        <v>0</v>
      </c>
      <c r="V137">
        <v>0</v>
      </c>
      <c r="W137">
        <v>0</v>
      </c>
      <c r="X137">
        <v>0</v>
      </c>
      <c r="Y137">
        <v>0</v>
      </c>
      <c r="Z137">
        <v>0</v>
      </c>
      <c r="AA137">
        <v>0</v>
      </c>
      <c r="AB137">
        <v>0</v>
      </c>
      <c r="AC137">
        <v>0</v>
      </c>
      <c r="AD137">
        <v>297</v>
      </c>
      <c r="AE137">
        <v>217</v>
      </c>
      <c r="AF137">
        <v>10</v>
      </c>
      <c r="AG137">
        <v>2970</v>
      </c>
      <c r="AH137">
        <v>17820</v>
      </c>
      <c r="AI137">
        <v>445</v>
      </c>
      <c r="AJ137">
        <v>2673</v>
      </c>
      <c r="AK137">
        <v>3</v>
      </c>
      <c r="AL137">
        <v>0</v>
      </c>
      <c r="AM137">
        <v>0</v>
      </c>
      <c r="AN137">
        <v>0</v>
      </c>
      <c r="AO137">
        <v>0</v>
      </c>
      <c r="AP137">
        <v>0</v>
      </c>
      <c r="AQ137">
        <v>0</v>
      </c>
      <c r="AR137">
        <v>371</v>
      </c>
      <c r="AS137">
        <v>271</v>
      </c>
      <c r="AT137">
        <v>10</v>
      </c>
      <c r="AU137">
        <v>3710</v>
      </c>
      <c r="AV137">
        <v>22260</v>
      </c>
      <c r="AW137">
        <v>556</v>
      </c>
      <c r="AX137">
        <v>3339</v>
      </c>
      <c r="AY137">
        <v>36</v>
      </c>
      <c r="AZ137">
        <v>2600000</v>
      </c>
      <c r="BA137">
        <v>0</v>
      </c>
      <c r="BB137">
        <v>6</v>
      </c>
      <c r="BC137">
        <v>0</v>
      </c>
      <c r="BD137">
        <v>30.40116801437556</v>
      </c>
      <c r="BE137">
        <v>72222</v>
      </c>
      <c r="BF137">
        <v>445</v>
      </c>
      <c r="BG137">
        <v>325</v>
      </c>
      <c r="BH137">
        <v>10</v>
      </c>
      <c r="BI137">
        <v>4450</v>
      </c>
      <c r="BJ137">
        <v>26700</v>
      </c>
      <c r="BK137">
        <v>667</v>
      </c>
      <c r="BL137">
        <v>4005</v>
      </c>
      <c r="BM137">
        <v>96</v>
      </c>
      <c r="BN137">
        <v>3900000</v>
      </c>
      <c r="BO137">
        <v>0</v>
      </c>
      <c r="BP137">
        <v>9</v>
      </c>
      <c r="BQ137">
        <v>0</v>
      </c>
      <c r="BR137">
        <v>39.851685393258428</v>
      </c>
      <c r="BS137">
        <v>40625</v>
      </c>
      <c r="BT137">
        <v>594</v>
      </c>
      <c r="BU137">
        <v>433</v>
      </c>
      <c r="BV137">
        <v>10</v>
      </c>
      <c r="BW137">
        <v>5940</v>
      </c>
      <c r="BX137">
        <v>35640</v>
      </c>
      <c r="BY137">
        <v>891</v>
      </c>
      <c r="BZ137">
        <v>5346</v>
      </c>
      <c r="CF137">
        <v>0</v>
      </c>
      <c r="CG137">
        <v>0</v>
      </c>
      <c r="CH137">
        <v>890</v>
      </c>
      <c r="CI137">
        <v>649</v>
      </c>
      <c r="CJ137">
        <v>10</v>
      </c>
      <c r="CK137">
        <v>8900</v>
      </c>
      <c r="CL137">
        <v>53400</v>
      </c>
      <c r="CM137">
        <v>1335</v>
      </c>
      <c r="CN137">
        <v>8010</v>
      </c>
      <c r="CT137">
        <v>0</v>
      </c>
      <c r="CU137">
        <v>0</v>
      </c>
      <c r="DD137" t="s">
        <v>804</v>
      </c>
      <c r="DE137">
        <v>6042</v>
      </c>
    </row>
    <row r="138" spans="1:109">
      <c r="A138">
        <v>6043</v>
      </c>
      <c r="B138" t="s">
        <v>1034</v>
      </c>
      <c r="C138" t="s">
        <v>42</v>
      </c>
      <c r="D138" t="s">
        <v>43</v>
      </c>
      <c r="E138" t="s">
        <v>43</v>
      </c>
      <c r="H138">
        <v>6</v>
      </c>
      <c r="I138" t="s">
        <v>270</v>
      </c>
      <c r="J138">
        <v>7</v>
      </c>
      <c r="K138">
        <v>0.1</v>
      </c>
      <c r="L138">
        <v>2</v>
      </c>
      <c r="M138">
        <v>30</v>
      </c>
      <c r="N138">
        <v>42420</v>
      </c>
      <c r="O138" t="s">
        <v>206</v>
      </c>
      <c r="P138">
        <v>0</v>
      </c>
      <c r="Q138">
        <v>0</v>
      </c>
      <c r="R138">
        <v>0</v>
      </c>
      <c r="S138">
        <v>0</v>
      </c>
      <c r="T138">
        <v>0</v>
      </c>
      <c r="U138">
        <v>0</v>
      </c>
      <c r="V138">
        <v>0</v>
      </c>
      <c r="W138">
        <v>0</v>
      </c>
      <c r="X138">
        <v>0</v>
      </c>
      <c r="Y138">
        <v>0</v>
      </c>
      <c r="Z138">
        <v>0</v>
      </c>
      <c r="AA138">
        <v>0</v>
      </c>
      <c r="AB138">
        <v>0</v>
      </c>
      <c r="AC138">
        <v>0</v>
      </c>
      <c r="AD138">
        <v>667</v>
      </c>
      <c r="AE138">
        <v>334</v>
      </c>
      <c r="AF138">
        <v>12</v>
      </c>
      <c r="AG138">
        <v>8004</v>
      </c>
      <c r="AH138">
        <v>56028</v>
      </c>
      <c r="AI138">
        <v>800</v>
      </c>
      <c r="AJ138">
        <v>5602</v>
      </c>
      <c r="AK138">
        <v>3</v>
      </c>
      <c r="AL138">
        <v>0</v>
      </c>
      <c r="AM138">
        <v>0</v>
      </c>
      <c r="AN138">
        <v>0</v>
      </c>
      <c r="AO138">
        <v>0</v>
      </c>
      <c r="AP138">
        <v>0</v>
      </c>
      <c r="AQ138">
        <v>0</v>
      </c>
      <c r="AR138">
        <v>834</v>
      </c>
      <c r="AS138">
        <v>417</v>
      </c>
      <c r="AT138">
        <v>12</v>
      </c>
      <c r="AU138">
        <v>10008</v>
      </c>
      <c r="AV138">
        <v>70056</v>
      </c>
      <c r="AW138">
        <v>1000</v>
      </c>
      <c r="AX138">
        <v>7005</v>
      </c>
      <c r="BD138">
        <v>0</v>
      </c>
      <c r="BE138">
        <v>0</v>
      </c>
      <c r="BF138">
        <v>1000</v>
      </c>
      <c r="BG138">
        <v>500</v>
      </c>
      <c r="BH138">
        <v>12</v>
      </c>
      <c r="BI138">
        <v>12000</v>
      </c>
      <c r="BJ138">
        <v>84000</v>
      </c>
      <c r="BK138">
        <v>1200</v>
      </c>
      <c r="BL138">
        <v>8400</v>
      </c>
      <c r="BR138">
        <v>0</v>
      </c>
      <c r="BS138">
        <v>0</v>
      </c>
      <c r="BT138">
        <v>1334</v>
      </c>
      <c r="BU138">
        <v>667</v>
      </c>
      <c r="BV138">
        <v>12</v>
      </c>
      <c r="BW138">
        <v>16008</v>
      </c>
      <c r="BX138">
        <v>112056</v>
      </c>
      <c r="BY138">
        <v>1600</v>
      </c>
      <c r="BZ138">
        <v>11205</v>
      </c>
      <c r="CF138">
        <v>0</v>
      </c>
      <c r="CG138">
        <v>0</v>
      </c>
      <c r="CH138">
        <v>2000</v>
      </c>
      <c r="CI138">
        <v>1000</v>
      </c>
      <c r="CJ138">
        <v>12</v>
      </c>
      <c r="CK138">
        <v>24000</v>
      </c>
      <c r="CL138">
        <v>168000</v>
      </c>
      <c r="CM138">
        <v>2400</v>
      </c>
      <c r="CN138">
        <v>16800</v>
      </c>
      <c r="CT138">
        <v>0</v>
      </c>
      <c r="CU138">
        <v>0</v>
      </c>
      <c r="DD138" t="s">
        <v>1034</v>
      </c>
      <c r="DE138">
        <v>6043</v>
      </c>
    </row>
    <row r="139" spans="1:109">
      <c r="A139">
        <v>7001</v>
      </c>
      <c r="B139" t="s">
        <v>876</v>
      </c>
      <c r="C139" t="s">
        <v>48</v>
      </c>
      <c r="E139" t="s">
        <v>43</v>
      </c>
      <c r="H139">
        <v>7</v>
      </c>
      <c r="I139" t="s">
        <v>269</v>
      </c>
      <c r="J139">
        <v>1.5</v>
      </c>
      <c r="K139">
        <v>2.5000000000000001E-2</v>
      </c>
      <c r="L139">
        <v>5</v>
      </c>
      <c r="M139">
        <v>30</v>
      </c>
      <c r="N139">
        <v>42184</v>
      </c>
      <c r="O139" t="s">
        <v>98</v>
      </c>
      <c r="P139">
        <v>0</v>
      </c>
      <c r="Q139">
        <v>0</v>
      </c>
      <c r="R139">
        <v>0</v>
      </c>
      <c r="S139">
        <v>0</v>
      </c>
      <c r="T139">
        <v>0</v>
      </c>
      <c r="U139">
        <v>0</v>
      </c>
      <c r="V139">
        <v>0</v>
      </c>
      <c r="W139">
        <v>0</v>
      </c>
      <c r="X139">
        <v>0</v>
      </c>
      <c r="Y139">
        <v>0</v>
      </c>
      <c r="Z139">
        <v>0</v>
      </c>
      <c r="AA139">
        <v>0</v>
      </c>
      <c r="AB139">
        <v>0</v>
      </c>
      <c r="AC139">
        <v>0</v>
      </c>
      <c r="AD139">
        <v>500</v>
      </c>
      <c r="AE139">
        <v>100</v>
      </c>
      <c r="AF139">
        <v>5</v>
      </c>
      <c r="AG139">
        <v>2500</v>
      </c>
      <c r="AH139">
        <v>3750</v>
      </c>
      <c r="AI139">
        <v>62</v>
      </c>
      <c r="AJ139">
        <v>93</v>
      </c>
      <c r="AK139">
        <v>120</v>
      </c>
      <c r="AL139">
        <v>0</v>
      </c>
      <c r="AM139">
        <v>0</v>
      </c>
      <c r="AN139">
        <v>0</v>
      </c>
      <c r="AO139">
        <v>0</v>
      </c>
      <c r="AP139">
        <v>0</v>
      </c>
      <c r="AQ139">
        <v>0</v>
      </c>
      <c r="AR139">
        <v>750</v>
      </c>
      <c r="AS139">
        <v>150</v>
      </c>
      <c r="AT139">
        <v>5</v>
      </c>
      <c r="AU139">
        <v>3750</v>
      </c>
      <c r="AV139">
        <v>5625</v>
      </c>
      <c r="AW139">
        <v>93</v>
      </c>
      <c r="AX139">
        <v>140</v>
      </c>
      <c r="AY139">
        <v>30</v>
      </c>
      <c r="AZ139">
        <v>670000</v>
      </c>
      <c r="BA139">
        <v>0</v>
      </c>
      <c r="BB139">
        <v>0</v>
      </c>
      <c r="BC139">
        <v>1</v>
      </c>
      <c r="BD139">
        <v>8.2777777777777768</v>
      </c>
      <c r="BE139">
        <v>22333</v>
      </c>
      <c r="BF139">
        <v>875</v>
      </c>
      <c r="BG139">
        <v>175</v>
      </c>
      <c r="BH139">
        <v>5</v>
      </c>
      <c r="BI139">
        <v>4375</v>
      </c>
      <c r="BJ139">
        <v>6562</v>
      </c>
      <c r="BK139">
        <v>109</v>
      </c>
      <c r="BL139">
        <v>164</v>
      </c>
      <c r="BM139">
        <v>60</v>
      </c>
      <c r="BN139">
        <v>1000000</v>
      </c>
      <c r="BO139">
        <v>0</v>
      </c>
      <c r="BP139">
        <v>0</v>
      </c>
      <c r="BQ139">
        <v>2</v>
      </c>
      <c r="BR139">
        <v>11.666666666666666</v>
      </c>
      <c r="BS139">
        <v>16666</v>
      </c>
      <c r="BT139">
        <v>948</v>
      </c>
      <c r="BU139">
        <v>190</v>
      </c>
      <c r="BV139">
        <v>5</v>
      </c>
      <c r="BW139">
        <v>4740</v>
      </c>
      <c r="BX139">
        <v>7110</v>
      </c>
      <c r="BY139">
        <v>118</v>
      </c>
      <c r="BZ139">
        <v>177</v>
      </c>
      <c r="CA139">
        <v>90</v>
      </c>
      <c r="CB139">
        <v>1300000</v>
      </c>
      <c r="CC139">
        <v>0</v>
      </c>
      <c r="CD139">
        <v>0</v>
      </c>
      <c r="CE139">
        <v>3</v>
      </c>
      <c r="CF139">
        <v>14.888800984528833</v>
      </c>
      <c r="CG139">
        <v>14444</v>
      </c>
      <c r="CH139">
        <v>1000</v>
      </c>
      <c r="CI139">
        <v>200</v>
      </c>
      <c r="CJ139">
        <v>5</v>
      </c>
      <c r="CK139">
        <v>5000</v>
      </c>
      <c r="CL139">
        <v>7500</v>
      </c>
      <c r="CM139">
        <v>125</v>
      </c>
      <c r="CN139">
        <v>187</v>
      </c>
      <c r="CO139">
        <v>120</v>
      </c>
      <c r="CP139">
        <v>1700000</v>
      </c>
      <c r="CQ139">
        <v>0</v>
      </c>
      <c r="CR139">
        <v>0</v>
      </c>
      <c r="CS139">
        <v>5</v>
      </c>
      <c r="CT139">
        <v>18.906666666666666</v>
      </c>
      <c r="CU139">
        <v>14166</v>
      </c>
      <c r="CV139">
        <v>420</v>
      </c>
      <c r="CW139">
        <v>4670000</v>
      </c>
      <c r="CX139">
        <v>0</v>
      </c>
      <c r="CY139">
        <v>0</v>
      </c>
      <c r="CZ139">
        <v>11</v>
      </c>
      <c r="DA139">
        <v>38.916666666666664</v>
      </c>
      <c r="DB139">
        <v>11119.047619047618</v>
      </c>
      <c r="DD139" t="s">
        <v>876</v>
      </c>
      <c r="DE139">
        <v>7001</v>
      </c>
    </row>
    <row r="140" spans="1:109">
      <c r="A140">
        <v>7002</v>
      </c>
      <c r="B140" t="s">
        <v>877</v>
      </c>
      <c r="C140" t="s">
        <v>77</v>
      </c>
      <c r="E140" t="s">
        <v>43</v>
      </c>
      <c r="H140">
        <v>7</v>
      </c>
      <c r="I140" t="s">
        <v>269</v>
      </c>
      <c r="J140">
        <v>0.75</v>
      </c>
      <c r="K140">
        <v>0.22500000000000001</v>
      </c>
      <c r="L140">
        <v>0.72222222222222221</v>
      </c>
      <c r="M140">
        <v>30</v>
      </c>
      <c r="N140">
        <v>42184</v>
      </c>
      <c r="O140" t="s">
        <v>98</v>
      </c>
      <c r="P140">
        <v>0</v>
      </c>
      <c r="Q140">
        <v>0</v>
      </c>
      <c r="R140">
        <v>0</v>
      </c>
      <c r="S140">
        <v>0</v>
      </c>
      <c r="T140">
        <v>0</v>
      </c>
      <c r="U140">
        <v>0</v>
      </c>
      <c r="V140">
        <v>0</v>
      </c>
      <c r="W140">
        <v>0</v>
      </c>
      <c r="X140">
        <v>0</v>
      </c>
      <c r="Y140">
        <v>0</v>
      </c>
      <c r="Z140">
        <v>0</v>
      </c>
      <c r="AA140">
        <v>0</v>
      </c>
      <c r="AB140">
        <v>0</v>
      </c>
      <c r="AC140">
        <v>0</v>
      </c>
      <c r="AD140">
        <v>130</v>
      </c>
      <c r="AE140">
        <v>180</v>
      </c>
      <c r="AF140">
        <v>4</v>
      </c>
      <c r="AG140">
        <v>520</v>
      </c>
      <c r="AH140">
        <v>390</v>
      </c>
      <c r="AI140">
        <v>117</v>
      </c>
      <c r="AJ140">
        <v>87</v>
      </c>
      <c r="AK140">
        <v>192</v>
      </c>
      <c r="AL140">
        <v>0</v>
      </c>
      <c r="AM140">
        <v>0</v>
      </c>
      <c r="AN140">
        <v>0</v>
      </c>
      <c r="AO140">
        <v>0</v>
      </c>
      <c r="AP140">
        <v>0</v>
      </c>
      <c r="AQ140">
        <v>0</v>
      </c>
      <c r="AR140">
        <v>195</v>
      </c>
      <c r="AS140">
        <v>270</v>
      </c>
      <c r="AT140">
        <v>4</v>
      </c>
      <c r="AU140">
        <v>780</v>
      </c>
      <c r="AV140">
        <v>585</v>
      </c>
      <c r="AW140">
        <v>175</v>
      </c>
      <c r="AX140">
        <v>131</v>
      </c>
      <c r="AY140">
        <v>48</v>
      </c>
      <c r="AZ140">
        <v>830000</v>
      </c>
      <c r="BA140">
        <v>0</v>
      </c>
      <c r="BB140">
        <v>0</v>
      </c>
      <c r="BC140">
        <v>1</v>
      </c>
      <c r="BD140">
        <v>45.670940170940177</v>
      </c>
      <c r="BE140">
        <v>17291</v>
      </c>
      <c r="BF140">
        <v>228</v>
      </c>
      <c r="BG140">
        <v>315</v>
      </c>
      <c r="BH140">
        <v>4</v>
      </c>
      <c r="BI140">
        <v>912</v>
      </c>
      <c r="BJ140">
        <v>684</v>
      </c>
      <c r="BK140">
        <v>205</v>
      </c>
      <c r="BL140">
        <v>153</v>
      </c>
      <c r="BM140">
        <v>96</v>
      </c>
      <c r="BN140">
        <v>1300000</v>
      </c>
      <c r="BO140">
        <v>0</v>
      </c>
      <c r="BP140">
        <v>2</v>
      </c>
      <c r="BQ140">
        <v>0</v>
      </c>
      <c r="BR140">
        <v>62.814327485380119</v>
      </c>
      <c r="BS140">
        <v>13541</v>
      </c>
      <c r="BT140">
        <v>247</v>
      </c>
      <c r="BU140">
        <v>342</v>
      </c>
      <c r="BV140">
        <v>4</v>
      </c>
      <c r="BW140">
        <v>988</v>
      </c>
      <c r="BX140">
        <v>741</v>
      </c>
      <c r="BY140">
        <v>222</v>
      </c>
      <c r="BZ140">
        <v>166</v>
      </c>
      <c r="CA140">
        <v>144</v>
      </c>
      <c r="CB140">
        <v>1700000</v>
      </c>
      <c r="CC140">
        <v>0</v>
      </c>
      <c r="CD140">
        <v>0</v>
      </c>
      <c r="CE140">
        <v>3</v>
      </c>
      <c r="CF140">
        <v>77.232118758434552</v>
      </c>
      <c r="CG140">
        <v>11805</v>
      </c>
      <c r="CH140">
        <v>260</v>
      </c>
      <c r="CI140">
        <v>360</v>
      </c>
      <c r="CJ140">
        <v>4</v>
      </c>
      <c r="CK140">
        <v>1040</v>
      </c>
      <c r="CL140">
        <v>780</v>
      </c>
      <c r="CM140">
        <v>234</v>
      </c>
      <c r="CN140">
        <v>175</v>
      </c>
      <c r="CO140">
        <v>192</v>
      </c>
      <c r="CP140">
        <v>2100000</v>
      </c>
      <c r="CQ140">
        <v>0</v>
      </c>
      <c r="CR140">
        <v>0</v>
      </c>
      <c r="CS140">
        <v>5</v>
      </c>
      <c r="CT140">
        <v>91.734615384615381</v>
      </c>
      <c r="CU140">
        <v>10937</v>
      </c>
      <c r="CV140">
        <v>672</v>
      </c>
      <c r="CW140">
        <v>5930000</v>
      </c>
      <c r="CX140">
        <v>0</v>
      </c>
      <c r="CY140">
        <v>2</v>
      </c>
      <c r="CZ140">
        <v>9</v>
      </c>
      <c r="DA140">
        <v>237.5801282051282</v>
      </c>
      <c r="DB140">
        <v>8824.4047619047615</v>
      </c>
      <c r="DD140" t="s">
        <v>877</v>
      </c>
      <c r="DE140">
        <v>7002</v>
      </c>
    </row>
    <row r="141" spans="1:109">
      <c r="A141">
        <v>7003</v>
      </c>
      <c r="B141" t="s">
        <v>878</v>
      </c>
      <c r="C141" t="s">
        <v>52</v>
      </c>
      <c r="E141" t="s">
        <v>43</v>
      </c>
      <c r="H141">
        <v>7</v>
      </c>
      <c r="I141" t="s">
        <v>269</v>
      </c>
      <c r="J141">
        <v>0.5</v>
      </c>
      <c r="K141">
        <v>0.15</v>
      </c>
      <c r="L141">
        <v>1</v>
      </c>
      <c r="M141">
        <v>30</v>
      </c>
      <c r="N141">
        <v>42184</v>
      </c>
      <c r="O141" t="s">
        <v>98</v>
      </c>
      <c r="P141">
        <v>0</v>
      </c>
      <c r="Q141">
        <v>0</v>
      </c>
      <c r="R141">
        <v>0</v>
      </c>
      <c r="S141">
        <v>0</v>
      </c>
      <c r="T141">
        <v>0</v>
      </c>
      <c r="U141">
        <v>0</v>
      </c>
      <c r="V141">
        <v>0</v>
      </c>
      <c r="W141">
        <v>0</v>
      </c>
      <c r="X141">
        <v>0</v>
      </c>
      <c r="Y141">
        <v>0</v>
      </c>
      <c r="Z141">
        <v>0</v>
      </c>
      <c r="AA141">
        <v>0</v>
      </c>
      <c r="AB141">
        <v>0</v>
      </c>
      <c r="AC141">
        <v>0</v>
      </c>
      <c r="AD141">
        <v>220</v>
      </c>
      <c r="AE141">
        <v>220</v>
      </c>
      <c r="AF141">
        <v>6</v>
      </c>
      <c r="AG141">
        <v>1320</v>
      </c>
      <c r="AH141">
        <v>660</v>
      </c>
      <c r="AI141">
        <v>198</v>
      </c>
      <c r="AJ141">
        <v>99</v>
      </c>
      <c r="AK141">
        <v>168</v>
      </c>
      <c r="AL141">
        <v>0</v>
      </c>
      <c r="AM141">
        <v>0</v>
      </c>
      <c r="AN141">
        <v>0</v>
      </c>
      <c r="AO141">
        <v>0</v>
      </c>
      <c r="AP141">
        <v>0</v>
      </c>
      <c r="AQ141">
        <v>0</v>
      </c>
      <c r="AR141">
        <v>330</v>
      </c>
      <c r="AS141">
        <v>330</v>
      </c>
      <c r="AT141">
        <v>6</v>
      </c>
      <c r="AU141">
        <v>1980</v>
      </c>
      <c r="AV141">
        <v>990</v>
      </c>
      <c r="AW141">
        <v>297</v>
      </c>
      <c r="AX141">
        <v>148</v>
      </c>
      <c r="AY141">
        <v>42</v>
      </c>
      <c r="AZ141">
        <v>1000000</v>
      </c>
      <c r="BA141">
        <v>0</v>
      </c>
      <c r="BB141">
        <v>0</v>
      </c>
      <c r="BC141">
        <v>1</v>
      </c>
      <c r="BD141">
        <v>22.210437710437713</v>
      </c>
      <c r="BE141">
        <v>23809</v>
      </c>
      <c r="BF141">
        <v>385</v>
      </c>
      <c r="BG141">
        <v>385</v>
      </c>
      <c r="BH141">
        <v>6</v>
      </c>
      <c r="BI141">
        <v>2310</v>
      </c>
      <c r="BJ141">
        <v>1155</v>
      </c>
      <c r="BK141">
        <v>346</v>
      </c>
      <c r="BL141">
        <v>173</v>
      </c>
      <c r="BM141">
        <v>84</v>
      </c>
      <c r="BN141">
        <v>1500000</v>
      </c>
      <c r="BO141">
        <v>0</v>
      </c>
      <c r="BP141">
        <v>0</v>
      </c>
      <c r="BQ141">
        <v>2</v>
      </c>
      <c r="BR141">
        <v>30.056277056277057</v>
      </c>
      <c r="BS141">
        <v>17857</v>
      </c>
      <c r="BT141">
        <v>418</v>
      </c>
      <c r="BU141">
        <v>418</v>
      </c>
      <c r="BV141">
        <v>6</v>
      </c>
      <c r="BW141">
        <v>2508</v>
      </c>
      <c r="BX141">
        <v>1254</v>
      </c>
      <c r="BY141">
        <v>376</v>
      </c>
      <c r="BZ141">
        <v>188</v>
      </c>
      <c r="CA141">
        <v>126</v>
      </c>
      <c r="CB141">
        <v>2000000</v>
      </c>
      <c r="CC141">
        <v>0</v>
      </c>
      <c r="CD141">
        <v>0</v>
      </c>
      <c r="CE141">
        <v>3</v>
      </c>
      <c r="CF141">
        <v>38.062533227006909</v>
      </c>
      <c r="CG141">
        <v>15873</v>
      </c>
      <c r="CH141">
        <v>440</v>
      </c>
      <c r="CI141">
        <v>440</v>
      </c>
      <c r="CJ141">
        <v>6</v>
      </c>
      <c r="CK141">
        <v>2640</v>
      </c>
      <c r="CL141">
        <v>1320</v>
      </c>
      <c r="CM141">
        <v>396</v>
      </c>
      <c r="CN141">
        <v>198</v>
      </c>
      <c r="CO141">
        <v>168</v>
      </c>
      <c r="CP141">
        <v>2500000</v>
      </c>
      <c r="CQ141">
        <v>0</v>
      </c>
      <c r="CR141">
        <v>0</v>
      </c>
      <c r="CS141">
        <v>5</v>
      </c>
      <c r="CT141">
        <v>46.107070707070704</v>
      </c>
      <c r="CU141">
        <v>14880</v>
      </c>
      <c r="CV141">
        <v>588</v>
      </c>
      <c r="CW141">
        <v>7000000</v>
      </c>
      <c r="CX141">
        <v>0</v>
      </c>
      <c r="CY141">
        <v>0</v>
      </c>
      <c r="CZ141">
        <v>11</v>
      </c>
      <c r="DA141">
        <v>110.47979797979798</v>
      </c>
      <c r="DB141">
        <v>11904.761904761905</v>
      </c>
      <c r="DD141" t="s">
        <v>878</v>
      </c>
      <c r="DE141">
        <v>7003</v>
      </c>
    </row>
    <row r="142" spans="1:109">
      <c r="A142">
        <v>7004</v>
      </c>
      <c r="B142" t="s">
        <v>879</v>
      </c>
      <c r="C142" t="s">
        <v>42</v>
      </c>
      <c r="E142" t="s">
        <v>43</v>
      </c>
      <c r="H142">
        <v>7</v>
      </c>
      <c r="I142" t="s">
        <v>269</v>
      </c>
      <c r="J142">
        <v>0.75</v>
      </c>
      <c r="K142">
        <v>0.13250000000000001</v>
      </c>
      <c r="L142">
        <v>1.3333333333333333</v>
      </c>
      <c r="M142">
        <v>30</v>
      </c>
      <c r="N142">
        <v>42184</v>
      </c>
      <c r="O142" t="s">
        <v>98</v>
      </c>
      <c r="P142">
        <v>0</v>
      </c>
      <c r="Q142">
        <v>0</v>
      </c>
      <c r="R142">
        <v>0</v>
      </c>
      <c r="S142">
        <v>0</v>
      </c>
      <c r="T142">
        <v>0</v>
      </c>
      <c r="U142">
        <v>0</v>
      </c>
      <c r="V142">
        <v>0</v>
      </c>
      <c r="W142">
        <v>0</v>
      </c>
      <c r="X142">
        <v>0</v>
      </c>
      <c r="Y142">
        <v>0</v>
      </c>
      <c r="Z142">
        <v>0</v>
      </c>
      <c r="AA142">
        <v>0</v>
      </c>
      <c r="AB142">
        <v>0</v>
      </c>
      <c r="AC142">
        <v>0</v>
      </c>
      <c r="AD142">
        <v>280</v>
      </c>
      <c r="AE142">
        <v>210</v>
      </c>
      <c r="AF142">
        <v>5</v>
      </c>
      <c r="AG142">
        <v>1400</v>
      </c>
      <c r="AH142">
        <v>1050</v>
      </c>
      <c r="AI142">
        <v>185</v>
      </c>
      <c r="AJ142">
        <v>139</v>
      </c>
      <c r="AK142">
        <v>216</v>
      </c>
      <c r="AL142">
        <v>0</v>
      </c>
      <c r="AM142">
        <v>0</v>
      </c>
      <c r="AN142">
        <v>0</v>
      </c>
      <c r="AO142">
        <v>0</v>
      </c>
      <c r="AP142">
        <v>0</v>
      </c>
      <c r="AQ142">
        <v>0</v>
      </c>
      <c r="AR142">
        <v>420</v>
      </c>
      <c r="AS142">
        <v>315</v>
      </c>
      <c r="AT142">
        <v>5</v>
      </c>
      <c r="AU142">
        <v>2100</v>
      </c>
      <c r="AV142">
        <v>1575</v>
      </c>
      <c r="AW142">
        <v>278</v>
      </c>
      <c r="AX142">
        <v>208</v>
      </c>
      <c r="AY142">
        <v>54</v>
      </c>
      <c r="AZ142">
        <v>1200000</v>
      </c>
      <c r="BA142">
        <v>0</v>
      </c>
      <c r="BB142">
        <v>0</v>
      </c>
      <c r="BC142">
        <v>1</v>
      </c>
      <c r="BD142">
        <v>25.30952380952381</v>
      </c>
      <c r="BE142">
        <v>22222</v>
      </c>
      <c r="BF142">
        <v>490</v>
      </c>
      <c r="BG142">
        <v>368</v>
      </c>
      <c r="BH142">
        <v>5</v>
      </c>
      <c r="BI142">
        <v>2450</v>
      </c>
      <c r="BJ142">
        <v>1837</v>
      </c>
      <c r="BK142">
        <v>324</v>
      </c>
      <c r="BL142">
        <v>243</v>
      </c>
      <c r="BM142">
        <v>108</v>
      </c>
      <c r="BN142">
        <v>1800000</v>
      </c>
      <c r="BO142">
        <v>0</v>
      </c>
      <c r="BP142">
        <v>0</v>
      </c>
      <c r="BQ142">
        <v>2</v>
      </c>
      <c r="BR142">
        <v>34.469387755102041</v>
      </c>
      <c r="BS142">
        <v>16666</v>
      </c>
      <c r="BT142">
        <v>531</v>
      </c>
      <c r="BU142">
        <v>399</v>
      </c>
      <c r="BV142">
        <v>5</v>
      </c>
      <c r="BW142">
        <v>2655</v>
      </c>
      <c r="BX142">
        <v>1991</v>
      </c>
      <c r="BY142">
        <v>351</v>
      </c>
      <c r="BZ142">
        <v>263</v>
      </c>
      <c r="CA142">
        <v>162</v>
      </c>
      <c r="CB142">
        <v>2300000</v>
      </c>
      <c r="CC142">
        <v>0</v>
      </c>
      <c r="CD142">
        <v>0</v>
      </c>
      <c r="CE142">
        <v>3</v>
      </c>
      <c r="CF142">
        <v>42.324231010671689</v>
      </c>
      <c r="CG142">
        <v>14197</v>
      </c>
      <c r="CH142">
        <v>560</v>
      </c>
      <c r="CI142">
        <v>420</v>
      </c>
      <c r="CJ142">
        <v>5</v>
      </c>
      <c r="CK142">
        <v>2800</v>
      </c>
      <c r="CL142">
        <v>2100</v>
      </c>
      <c r="CM142">
        <v>371</v>
      </c>
      <c r="CN142">
        <v>278</v>
      </c>
      <c r="CO142">
        <v>216</v>
      </c>
      <c r="CP142">
        <v>2900000</v>
      </c>
      <c r="CQ142">
        <v>0</v>
      </c>
      <c r="CR142">
        <v>0</v>
      </c>
      <c r="CS142">
        <v>5</v>
      </c>
      <c r="CT142">
        <v>51.68869047619048</v>
      </c>
      <c r="CU142">
        <v>13425</v>
      </c>
      <c r="CV142">
        <v>756</v>
      </c>
      <c r="CW142">
        <v>8200000</v>
      </c>
      <c r="CX142">
        <v>0</v>
      </c>
      <c r="CY142">
        <v>0</v>
      </c>
      <c r="CZ142">
        <v>11</v>
      </c>
      <c r="DA142">
        <v>122.02380952380952</v>
      </c>
      <c r="DB142">
        <v>10846.560846560846</v>
      </c>
      <c r="DD142" t="s">
        <v>879</v>
      </c>
      <c r="DE142">
        <v>7004</v>
      </c>
    </row>
    <row r="143" spans="1:109">
      <c r="A143">
        <v>7005</v>
      </c>
      <c r="B143" t="s">
        <v>752</v>
      </c>
      <c r="C143" t="s">
        <v>54</v>
      </c>
      <c r="E143" t="s">
        <v>43</v>
      </c>
      <c r="H143">
        <v>7</v>
      </c>
      <c r="I143" t="s">
        <v>269</v>
      </c>
      <c r="J143">
        <v>1</v>
      </c>
      <c r="K143">
        <v>7.4999999999999997E-2</v>
      </c>
      <c r="L143">
        <v>2.8</v>
      </c>
      <c r="M143">
        <v>30</v>
      </c>
      <c r="N143">
        <v>42184</v>
      </c>
      <c r="O143" t="s">
        <v>98</v>
      </c>
      <c r="P143">
        <v>0</v>
      </c>
      <c r="Q143">
        <v>0</v>
      </c>
      <c r="R143">
        <v>0</v>
      </c>
      <c r="S143">
        <v>0</v>
      </c>
      <c r="T143">
        <v>0</v>
      </c>
      <c r="U143">
        <v>0</v>
      </c>
      <c r="V143">
        <v>0</v>
      </c>
      <c r="W143">
        <v>0</v>
      </c>
      <c r="X143">
        <v>0</v>
      </c>
      <c r="Y143">
        <v>0</v>
      </c>
      <c r="Z143">
        <v>0</v>
      </c>
      <c r="AA143">
        <v>0</v>
      </c>
      <c r="AB143">
        <v>0</v>
      </c>
      <c r="AC143">
        <v>0</v>
      </c>
      <c r="AD143">
        <v>420</v>
      </c>
      <c r="AE143">
        <v>150</v>
      </c>
      <c r="AF143">
        <v>7</v>
      </c>
      <c r="AG143">
        <v>2940</v>
      </c>
      <c r="AH143">
        <v>2940</v>
      </c>
      <c r="AI143">
        <v>220</v>
      </c>
      <c r="AJ143">
        <v>220</v>
      </c>
      <c r="AK143">
        <v>144</v>
      </c>
      <c r="AL143">
        <v>0</v>
      </c>
      <c r="AM143">
        <v>0</v>
      </c>
      <c r="AN143">
        <v>0</v>
      </c>
      <c r="AO143">
        <v>0</v>
      </c>
      <c r="AP143">
        <v>0</v>
      </c>
      <c r="AQ143">
        <v>0</v>
      </c>
      <c r="AR143">
        <v>630</v>
      </c>
      <c r="AS143">
        <v>225</v>
      </c>
      <c r="AT143">
        <v>7</v>
      </c>
      <c r="AU143">
        <v>4410</v>
      </c>
      <c r="AV143">
        <v>4410</v>
      </c>
      <c r="AW143">
        <v>330</v>
      </c>
      <c r="AX143">
        <v>330</v>
      </c>
      <c r="AY143">
        <v>36</v>
      </c>
      <c r="AZ143">
        <v>1300000</v>
      </c>
      <c r="BA143">
        <v>0</v>
      </c>
      <c r="BB143">
        <v>0</v>
      </c>
      <c r="BC143">
        <v>1</v>
      </c>
      <c r="BD143">
        <v>13.282690854119425</v>
      </c>
      <c r="BE143">
        <v>36111</v>
      </c>
      <c r="BF143">
        <v>735</v>
      </c>
      <c r="BG143">
        <v>263</v>
      </c>
      <c r="BH143">
        <v>7</v>
      </c>
      <c r="BI143">
        <v>5145</v>
      </c>
      <c r="BJ143">
        <v>5145</v>
      </c>
      <c r="BK143">
        <v>385</v>
      </c>
      <c r="BL143">
        <v>385</v>
      </c>
      <c r="BM143">
        <v>72</v>
      </c>
      <c r="BN143">
        <v>2000000</v>
      </c>
      <c r="BO143">
        <v>0</v>
      </c>
      <c r="BP143">
        <v>0</v>
      </c>
      <c r="BQ143">
        <v>2</v>
      </c>
      <c r="BR143">
        <v>18.768383543893748</v>
      </c>
      <c r="BS143">
        <v>27777</v>
      </c>
      <c r="BT143">
        <v>797</v>
      </c>
      <c r="BU143">
        <v>285</v>
      </c>
      <c r="BV143">
        <v>7</v>
      </c>
      <c r="BW143">
        <v>5579</v>
      </c>
      <c r="BX143">
        <v>5579</v>
      </c>
      <c r="BY143">
        <v>418</v>
      </c>
      <c r="BZ143">
        <v>418</v>
      </c>
      <c r="CA143">
        <v>108</v>
      </c>
      <c r="CB143">
        <v>2700000</v>
      </c>
      <c r="CC143">
        <v>0</v>
      </c>
      <c r="CD143">
        <v>0</v>
      </c>
      <c r="CE143">
        <v>3</v>
      </c>
      <c r="CF143">
        <v>24.314841369421043</v>
      </c>
      <c r="CG143">
        <v>25000</v>
      </c>
      <c r="CH143">
        <v>840</v>
      </c>
      <c r="CI143">
        <v>300</v>
      </c>
      <c r="CJ143">
        <v>7</v>
      </c>
      <c r="CK143">
        <v>5880</v>
      </c>
      <c r="CL143">
        <v>5880</v>
      </c>
      <c r="CM143">
        <v>441</v>
      </c>
      <c r="CN143">
        <v>441</v>
      </c>
      <c r="CO143">
        <v>144</v>
      </c>
      <c r="CP143">
        <v>3300000</v>
      </c>
      <c r="CQ143">
        <v>0</v>
      </c>
      <c r="CR143">
        <v>0</v>
      </c>
      <c r="CS143">
        <v>5</v>
      </c>
      <c r="CT143">
        <v>29.077210884353743</v>
      </c>
      <c r="CU143">
        <v>22916</v>
      </c>
      <c r="CV143">
        <v>504</v>
      </c>
      <c r="CW143">
        <v>9300000</v>
      </c>
      <c r="CX143">
        <v>0</v>
      </c>
      <c r="CY143">
        <v>0</v>
      </c>
      <c r="CZ143">
        <v>11</v>
      </c>
      <c r="DA143">
        <v>65.901360544217695</v>
      </c>
      <c r="DB143">
        <v>18452.380952380954</v>
      </c>
      <c r="DD143" t="s">
        <v>752</v>
      </c>
      <c r="DE143">
        <v>7005</v>
      </c>
    </row>
    <row r="144" spans="1:109">
      <c r="A144">
        <v>7006</v>
      </c>
      <c r="B144" t="s">
        <v>770</v>
      </c>
      <c r="C144" t="s">
        <v>48</v>
      </c>
      <c r="F144" t="s">
        <v>43</v>
      </c>
      <c r="G144" t="s">
        <v>43</v>
      </c>
      <c r="H144">
        <v>7</v>
      </c>
      <c r="I144" t="s">
        <v>269</v>
      </c>
      <c r="J144">
        <v>1.5</v>
      </c>
      <c r="K144">
        <v>2.5000000000000001E-2</v>
      </c>
      <c r="L144">
        <v>5</v>
      </c>
      <c r="M144">
        <v>30</v>
      </c>
      <c r="N144">
        <v>42184</v>
      </c>
      <c r="O144" t="s">
        <v>98</v>
      </c>
      <c r="P144">
        <v>0</v>
      </c>
      <c r="Q144">
        <v>0</v>
      </c>
      <c r="R144">
        <v>0</v>
      </c>
      <c r="S144">
        <v>0</v>
      </c>
      <c r="T144">
        <v>0</v>
      </c>
      <c r="U144">
        <v>0</v>
      </c>
      <c r="V144">
        <v>0</v>
      </c>
      <c r="W144">
        <v>0</v>
      </c>
      <c r="X144">
        <v>0</v>
      </c>
      <c r="Y144">
        <v>0</v>
      </c>
      <c r="Z144">
        <v>0</v>
      </c>
      <c r="AA144">
        <v>0</v>
      </c>
      <c r="AB144">
        <v>0</v>
      </c>
      <c r="AC144">
        <v>0</v>
      </c>
      <c r="AD144">
        <v>550</v>
      </c>
      <c r="AE144">
        <v>110</v>
      </c>
      <c r="AF144">
        <v>5</v>
      </c>
      <c r="AG144">
        <v>2750</v>
      </c>
      <c r="AH144">
        <v>4125</v>
      </c>
      <c r="AI144">
        <v>68</v>
      </c>
      <c r="AJ144">
        <v>103</v>
      </c>
      <c r="AK144">
        <v>144</v>
      </c>
      <c r="AL144">
        <v>0</v>
      </c>
      <c r="AM144">
        <v>0</v>
      </c>
      <c r="AN144">
        <v>0</v>
      </c>
      <c r="AO144">
        <v>0</v>
      </c>
      <c r="AP144">
        <v>0</v>
      </c>
      <c r="AQ144">
        <v>0</v>
      </c>
      <c r="AR144">
        <v>825</v>
      </c>
      <c r="AS144">
        <v>165</v>
      </c>
      <c r="AT144">
        <v>5</v>
      </c>
      <c r="AU144">
        <v>4125</v>
      </c>
      <c r="AV144">
        <v>6187</v>
      </c>
      <c r="AW144">
        <v>103</v>
      </c>
      <c r="AX144">
        <v>154</v>
      </c>
      <c r="AY144">
        <v>36</v>
      </c>
      <c r="AZ144">
        <v>1700000</v>
      </c>
      <c r="BA144">
        <v>0</v>
      </c>
      <c r="BB144">
        <v>0</v>
      </c>
      <c r="BC144">
        <v>1</v>
      </c>
      <c r="BD144">
        <v>18.171717171717173</v>
      </c>
      <c r="BE144">
        <v>47222</v>
      </c>
      <c r="BF144">
        <v>963</v>
      </c>
      <c r="BG144">
        <v>193</v>
      </c>
      <c r="BH144">
        <v>5</v>
      </c>
      <c r="BI144">
        <v>4815</v>
      </c>
      <c r="BJ144">
        <v>7222</v>
      </c>
      <c r="BK144">
        <v>120</v>
      </c>
      <c r="BL144">
        <v>180</v>
      </c>
      <c r="BM144">
        <v>72</v>
      </c>
      <c r="BN144">
        <v>2500000</v>
      </c>
      <c r="BO144">
        <v>0</v>
      </c>
      <c r="BP144">
        <v>0</v>
      </c>
      <c r="BQ144">
        <v>2</v>
      </c>
      <c r="BR144">
        <v>24.203876773970233</v>
      </c>
      <c r="BS144">
        <v>34722</v>
      </c>
      <c r="BT144">
        <v>1043</v>
      </c>
      <c r="BU144">
        <v>209</v>
      </c>
      <c r="BV144">
        <v>5</v>
      </c>
      <c r="BW144">
        <v>5215</v>
      </c>
      <c r="BX144">
        <v>7822</v>
      </c>
      <c r="BY144">
        <v>130</v>
      </c>
      <c r="BZ144">
        <v>195</v>
      </c>
      <c r="CA144">
        <v>108</v>
      </c>
      <c r="CB144">
        <v>3300000</v>
      </c>
      <c r="CC144">
        <v>0</v>
      </c>
      <c r="CD144">
        <v>0</v>
      </c>
      <c r="CE144">
        <v>3</v>
      </c>
      <c r="CF144">
        <v>30.521093000958771</v>
      </c>
      <c r="CG144">
        <v>30555</v>
      </c>
      <c r="CH144">
        <v>1100</v>
      </c>
      <c r="CI144">
        <v>220</v>
      </c>
      <c r="CJ144">
        <v>5</v>
      </c>
      <c r="CK144">
        <v>5500</v>
      </c>
      <c r="CL144">
        <v>8250</v>
      </c>
      <c r="CM144">
        <v>137</v>
      </c>
      <c r="CN144">
        <v>206</v>
      </c>
      <c r="CO144">
        <v>144</v>
      </c>
      <c r="CP144">
        <v>4200000</v>
      </c>
      <c r="CQ144">
        <v>0</v>
      </c>
      <c r="CR144">
        <v>0</v>
      </c>
      <c r="CS144">
        <v>5</v>
      </c>
      <c r="CT144">
        <v>37.507272727272728</v>
      </c>
      <c r="CU144">
        <v>29166</v>
      </c>
      <c r="CV144">
        <v>504</v>
      </c>
      <c r="CW144">
        <v>11700000</v>
      </c>
      <c r="CX144">
        <v>0</v>
      </c>
      <c r="CY144">
        <v>0</v>
      </c>
      <c r="CZ144">
        <v>11</v>
      </c>
      <c r="DA144">
        <v>88.63636363636364</v>
      </c>
      <c r="DB144">
        <v>23214.285714285714</v>
      </c>
      <c r="DD144" t="s">
        <v>770</v>
      </c>
      <c r="DE144">
        <v>7006</v>
      </c>
    </row>
    <row r="145" spans="1:109">
      <c r="A145">
        <v>7007</v>
      </c>
      <c r="B145" t="s">
        <v>880</v>
      </c>
      <c r="C145" t="s">
        <v>77</v>
      </c>
      <c r="E145" t="s">
        <v>43</v>
      </c>
      <c r="H145">
        <v>7</v>
      </c>
      <c r="I145" t="s">
        <v>269</v>
      </c>
      <c r="J145">
        <v>0.75</v>
      </c>
      <c r="K145">
        <v>0.22500000000000001</v>
      </c>
      <c r="L145">
        <v>0.72222222222222221</v>
      </c>
      <c r="M145">
        <v>30</v>
      </c>
      <c r="N145">
        <v>42184</v>
      </c>
      <c r="O145" t="s">
        <v>98</v>
      </c>
      <c r="P145">
        <v>0</v>
      </c>
      <c r="Q145">
        <v>0</v>
      </c>
      <c r="R145">
        <v>0</v>
      </c>
      <c r="S145">
        <v>0</v>
      </c>
      <c r="T145">
        <v>0</v>
      </c>
      <c r="U145">
        <v>0</v>
      </c>
      <c r="V145">
        <v>0</v>
      </c>
      <c r="W145">
        <v>0</v>
      </c>
      <c r="X145">
        <v>0</v>
      </c>
      <c r="Y145">
        <v>0</v>
      </c>
      <c r="Z145">
        <v>0</v>
      </c>
      <c r="AA145">
        <v>0</v>
      </c>
      <c r="AB145">
        <v>0</v>
      </c>
      <c r="AC145">
        <v>0</v>
      </c>
      <c r="AD145">
        <v>143</v>
      </c>
      <c r="AE145">
        <v>198</v>
      </c>
      <c r="AF145">
        <v>4</v>
      </c>
      <c r="AG145">
        <v>572</v>
      </c>
      <c r="AH145">
        <v>429</v>
      </c>
      <c r="AI145">
        <v>128</v>
      </c>
      <c r="AJ145">
        <v>96</v>
      </c>
      <c r="AK145">
        <v>216</v>
      </c>
      <c r="AL145">
        <v>0</v>
      </c>
      <c r="AM145">
        <v>0</v>
      </c>
      <c r="AN145">
        <v>0</v>
      </c>
      <c r="AO145">
        <v>0</v>
      </c>
      <c r="AP145">
        <v>0</v>
      </c>
      <c r="AQ145">
        <v>0</v>
      </c>
      <c r="AR145">
        <v>215</v>
      </c>
      <c r="AS145">
        <v>297</v>
      </c>
      <c r="AT145">
        <v>4</v>
      </c>
      <c r="AU145">
        <v>860</v>
      </c>
      <c r="AV145">
        <v>645</v>
      </c>
      <c r="AW145">
        <v>193</v>
      </c>
      <c r="AX145">
        <v>145</v>
      </c>
      <c r="AY145">
        <v>54</v>
      </c>
      <c r="AZ145">
        <v>2000000</v>
      </c>
      <c r="BA145">
        <v>0</v>
      </c>
      <c r="BB145">
        <v>0</v>
      </c>
      <c r="BC145">
        <v>1</v>
      </c>
      <c r="BD145">
        <v>98.395736434108528</v>
      </c>
      <c r="BE145">
        <v>37037</v>
      </c>
      <c r="BF145">
        <v>251</v>
      </c>
      <c r="BG145">
        <v>347</v>
      </c>
      <c r="BH145">
        <v>4</v>
      </c>
      <c r="BI145">
        <v>1004</v>
      </c>
      <c r="BJ145">
        <v>753</v>
      </c>
      <c r="BK145">
        <v>225</v>
      </c>
      <c r="BL145">
        <v>169</v>
      </c>
      <c r="BM145">
        <v>108</v>
      </c>
      <c r="BN145">
        <v>3000000</v>
      </c>
      <c r="BO145">
        <v>0</v>
      </c>
      <c r="BP145">
        <v>0</v>
      </c>
      <c r="BQ145">
        <v>2</v>
      </c>
      <c r="BR145">
        <v>128.35657370517927</v>
      </c>
      <c r="BS145">
        <v>27777</v>
      </c>
      <c r="BT145">
        <v>272</v>
      </c>
      <c r="BU145">
        <v>376</v>
      </c>
      <c r="BV145">
        <v>4</v>
      </c>
      <c r="BW145">
        <v>1088</v>
      </c>
      <c r="BX145">
        <v>816</v>
      </c>
      <c r="BY145">
        <v>244</v>
      </c>
      <c r="BZ145">
        <v>183</v>
      </c>
      <c r="CA145">
        <v>162</v>
      </c>
      <c r="CB145">
        <v>4000000</v>
      </c>
      <c r="CC145">
        <v>0</v>
      </c>
      <c r="CD145">
        <v>0</v>
      </c>
      <c r="CE145">
        <v>3</v>
      </c>
      <c r="CF145">
        <v>159.41513480392157</v>
      </c>
      <c r="CG145">
        <v>24691</v>
      </c>
      <c r="CH145">
        <v>286</v>
      </c>
      <c r="CI145">
        <v>396</v>
      </c>
      <c r="CJ145">
        <v>4</v>
      </c>
      <c r="CK145">
        <v>1144</v>
      </c>
      <c r="CL145">
        <v>858</v>
      </c>
      <c r="CM145">
        <v>257</v>
      </c>
      <c r="CN145">
        <v>193</v>
      </c>
      <c r="CO145">
        <v>216</v>
      </c>
      <c r="CP145">
        <v>5000000</v>
      </c>
      <c r="CQ145">
        <v>0</v>
      </c>
      <c r="CR145">
        <v>0</v>
      </c>
      <c r="CS145">
        <v>5</v>
      </c>
      <c r="CT145">
        <v>190.66899766899766</v>
      </c>
      <c r="CU145">
        <v>23148</v>
      </c>
      <c r="CV145">
        <v>756</v>
      </c>
      <c r="CW145">
        <v>14000000</v>
      </c>
      <c r="CX145">
        <v>0</v>
      </c>
      <c r="CY145">
        <v>0</v>
      </c>
      <c r="CZ145">
        <v>11</v>
      </c>
      <c r="DA145">
        <v>509.90675990675987</v>
      </c>
      <c r="DB145">
        <v>18518.518518518518</v>
      </c>
      <c r="DD145" t="s">
        <v>880</v>
      </c>
      <c r="DE145">
        <v>7007</v>
      </c>
    </row>
    <row r="146" spans="1:109">
      <c r="A146">
        <v>7008</v>
      </c>
      <c r="B146" t="s">
        <v>881</v>
      </c>
      <c r="C146" t="s">
        <v>52</v>
      </c>
      <c r="F146" t="s">
        <v>43</v>
      </c>
      <c r="H146">
        <v>7</v>
      </c>
      <c r="I146" t="s">
        <v>269</v>
      </c>
      <c r="J146">
        <v>0.5</v>
      </c>
      <c r="K146">
        <v>0.13250000000000001</v>
      </c>
      <c r="L146">
        <v>1</v>
      </c>
      <c r="M146">
        <v>30</v>
      </c>
      <c r="N146">
        <v>42184</v>
      </c>
      <c r="O146" t="s">
        <v>98</v>
      </c>
      <c r="P146">
        <v>0</v>
      </c>
      <c r="Q146">
        <v>0</v>
      </c>
      <c r="R146">
        <v>0</v>
      </c>
      <c r="S146">
        <v>0</v>
      </c>
      <c r="T146">
        <v>0</v>
      </c>
      <c r="U146">
        <v>0</v>
      </c>
      <c r="V146">
        <v>0</v>
      </c>
      <c r="W146">
        <v>0</v>
      </c>
      <c r="X146">
        <v>0</v>
      </c>
      <c r="Y146">
        <v>0</v>
      </c>
      <c r="Z146">
        <v>0</v>
      </c>
      <c r="AA146">
        <v>0</v>
      </c>
      <c r="AB146">
        <v>0</v>
      </c>
      <c r="AC146">
        <v>0</v>
      </c>
      <c r="AD146">
        <v>242</v>
      </c>
      <c r="AE146">
        <v>242</v>
      </c>
      <c r="AF146">
        <v>6</v>
      </c>
      <c r="AG146">
        <v>1452</v>
      </c>
      <c r="AH146">
        <v>726</v>
      </c>
      <c r="AI146">
        <v>192</v>
      </c>
      <c r="AJ146">
        <v>96</v>
      </c>
      <c r="AK146">
        <v>192</v>
      </c>
      <c r="AL146">
        <v>0</v>
      </c>
      <c r="AM146">
        <v>0</v>
      </c>
      <c r="AN146">
        <v>0</v>
      </c>
      <c r="AO146">
        <v>0</v>
      </c>
      <c r="AP146">
        <v>0</v>
      </c>
      <c r="AQ146">
        <v>0</v>
      </c>
      <c r="AR146">
        <v>363</v>
      </c>
      <c r="AS146">
        <v>363</v>
      </c>
      <c r="AT146">
        <v>6</v>
      </c>
      <c r="AU146">
        <v>2178</v>
      </c>
      <c r="AV146">
        <v>1089</v>
      </c>
      <c r="AW146">
        <v>288</v>
      </c>
      <c r="AX146">
        <v>144</v>
      </c>
      <c r="AY146">
        <v>48</v>
      </c>
      <c r="AZ146">
        <v>2300000</v>
      </c>
      <c r="BA146">
        <v>0</v>
      </c>
      <c r="BB146">
        <v>0</v>
      </c>
      <c r="BC146">
        <v>1</v>
      </c>
      <c r="BD146">
        <v>45.333945515763702</v>
      </c>
      <c r="BE146">
        <v>47916</v>
      </c>
      <c r="BF146">
        <v>424</v>
      </c>
      <c r="BG146">
        <v>424</v>
      </c>
      <c r="BH146">
        <v>6</v>
      </c>
      <c r="BI146">
        <v>2544</v>
      </c>
      <c r="BJ146">
        <v>1272</v>
      </c>
      <c r="BK146">
        <v>337</v>
      </c>
      <c r="BL146">
        <v>168</v>
      </c>
      <c r="BM146">
        <v>96</v>
      </c>
      <c r="BN146">
        <v>3500000</v>
      </c>
      <c r="BO146">
        <v>0</v>
      </c>
      <c r="BP146">
        <v>0</v>
      </c>
      <c r="BQ146">
        <v>2</v>
      </c>
      <c r="BR146">
        <v>60.748951781970646</v>
      </c>
      <c r="BS146">
        <v>36458</v>
      </c>
      <c r="BT146">
        <v>459</v>
      </c>
      <c r="BU146">
        <v>459</v>
      </c>
      <c r="BV146">
        <v>6</v>
      </c>
      <c r="BW146">
        <v>2754</v>
      </c>
      <c r="BX146">
        <v>1377</v>
      </c>
      <c r="BY146">
        <v>364</v>
      </c>
      <c r="BZ146">
        <v>182</v>
      </c>
      <c r="CA146">
        <v>144</v>
      </c>
      <c r="CB146">
        <v>4700000</v>
      </c>
      <c r="CC146">
        <v>0</v>
      </c>
      <c r="CD146">
        <v>0</v>
      </c>
      <c r="CE146">
        <v>3</v>
      </c>
      <c r="CF146">
        <v>76.651174049866867</v>
      </c>
      <c r="CG146">
        <v>32638</v>
      </c>
      <c r="CH146">
        <v>484</v>
      </c>
      <c r="CI146">
        <v>484</v>
      </c>
      <c r="CJ146">
        <v>6</v>
      </c>
      <c r="CK146">
        <v>2904</v>
      </c>
      <c r="CL146">
        <v>1452</v>
      </c>
      <c r="CM146">
        <v>384</v>
      </c>
      <c r="CN146">
        <v>192</v>
      </c>
      <c r="CO146">
        <v>192</v>
      </c>
      <c r="CP146">
        <v>5800000</v>
      </c>
      <c r="CQ146">
        <v>0</v>
      </c>
      <c r="CR146">
        <v>0</v>
      </c>
      <c r="CS146">
        <v>5</v>
      </c>
      <c r="CT146">
        <v>90.805325987144172</v>
      </c>
      <c r="CU146">
        <v>30208</v>
      </c>
      <c r="CV146">
        <v>672</v>
      </c>
      <c r="CW146">
        <v>16300000</v>
      </c>
      <c r="CX146">
        <v>0</v>
      </c>
      <c r="CY146">
        <v>0</v>
      </c>
      <c r="CZ146">
        <v>11</v>
      </c>
      <c r="DA146">
        <v>233.87281910009185</v>
      </c>
      <c r="DB146">
        <v>24255.952380952382</v>
      </c>
      <c r="DD146" t="s">
        <v>881</v>
      </c>
      <c r="DE146">
        <v>7008</v>
      </c>
    </row>
    <row r="147" spans="1:109">
      <c r="A147">
        <v>7009</v>
      </c>
      <c r="B147" t="s">
        <v>882</v>
      </c>
      <c r="C147" t="s">
        <v>42</v>
      </c>
      <c r="E147" t="s">
        <v>43</v>
      </c>
      <c r="F147" t="s">
        <v>43</v>
      </c>
      <c r="H147">
        <v>7</v>
      </c>
      <c r="I147" t="s">
        <v>269</v>
      </c>
      <c r="J147">
        <v>0.75</v>
      </c>
      <c r="K147">
        <v>0.13250000000000001</v>
      </c>
      <c r="L147">
        <v>1.3333333333333333</v>
      </c>
      <c r="M147">
        <v>30</v>
      </c>
      <c r="N147">
        <v>42184</v>
      </c>
      <c r="O147" t="s">
        <v>98</v>
      </c>
      <c r="P147">
        <v>0</v>
      </c>
      <c r="Q147">
        <v>0</v>
      </c>
      <c r="R147">
        <v>0</v>
      </c>
      <c r="S147">
        <v>0</v>
      </c>
      <c r="T147">
        <v>0</v>
      </c>
      <c r="U147">
        <v>0</v>
      </c>
      <c r="V147">
        <v>0</v>
      </c>
      <c r="W147">
        <v>0</v>
      </c>
      <c r="X147">
        <v>0</v>
      </c>
      <c r="Y147">
        <v>0</v>
      </c>
      <c r="Z147">
        <v>0</v>
      </c>
      <c r="AA147">
        <v>0</v>
      </c>
      <c r="AB147">
        <v>0</v>
      </c>
      <c r="AC147">
        <v>0</v>
      </c>
      <c r="AD147">
        <v>308</v>
      </c>
      <c r="AE147">
        <v>231</v>
      </c>
      <c r="AF147">
        <v>5</v>
      </c>
      <c r="AG147">
        <v>1540</v>
      </c>
      <c r="AH147">
        <v>1155</v>
      </c>
      <c r="AI147">
        <v>204</v>
      </c>
      <c r="AJ147">
        <v>153</v>
      </c>
      <c r="AK147">
        <v>240</v>
      </c>
      <c r="AL147">
        <v>0</v>
      </c>
      <c r="AM147">
        <v>0</v>
      </c>
      <c r="AN147">
        <v>0</v>
      </c>
      <c r="AO147">
        <v>0</v>
      </c>
      <c r="AP147">
        <v>0</v>
      </c>
      <c r="AQ147">
        <v>0</v>
      </c>
      <c r="AR147">
        <v>462</v>
      </c>
      <c r="AS147">
        <v>347</v>
      </c>
      <c r="AT147">
        <v>5</v>
      </c>
      <c r="AU147">
        <v>2310</v>
      </c>
      <c r="AV147">
        <v>1732</v>
      </c>
      <c r="AW147">
        <v>306</v>
      </c>
      <c r="AX147">
        <v>229</v>
      </c>
      <c r="AY147">
        <v>60</v>
      </c>
      <c r="AZ147">
        <v>2700000</v>
      </c>
      <c r="BA147">
        <v>0</v>
      </c>
      <c r="BB147">
        <v>0</v>
      </c>
      <c r="BC147">
        <v>1</v>
      </c>
      <c r="BD147">
        <v>50.367965367965361</v>
      </c>
      <c r="BE147">
        <v>45000</v>
      </c>
      <c r="BF147">
        <v>539</v>
      </c>
      <c r="BG147">
        <v>405</v>
      </c>
      <c r="BH147">
        <v>5</v>
      </c>
      <c r="BI147">
        <v>2695</v>
      </c>
      <c r="BJ147">
        <v>2021</v>
      </c>
      <c r="BK147">
        <v>357</v>
      </c>
      <c r="BL147">
        <v>267</v>
      </c>
      <c r="BM147">
        <v>120</v>
      </c>
      <c r="BN147">
        <v>4000000</v>
      </c>
      <c r="BO147">
        <v>0</v>
      </c>
      <c r="BP147">
        <v>0</v>
      </c>
      <c r="BQ147">
        <v>2</v>
      </c>
      <c r="BR147">
        <v>66.128633271490415</v>
      </c>
      <c r="BS147">
        <v>33333</v>
      </c>
      <c r="BT147">
        <v>584</v>
      </c>
      <c r="BU147">
        <v>438</v>
      </c>
      <c r="BV147">
        <v>5</v>
      </c>
      <c r="BW147">
        <v>2920</v>
      </c>
      <c r="BX147">
        <v>2190</v>
      </c>
      <c r="BY147">
        <v>386</v>
      </c>
      <c r="BZ147">
        <v>290</v>
      </c>
      <c r="CA147">
        <v>180</v>
      </c>
      <c r="CB147">
        <v>5300000</v>
      </c>
      <c r="CC147">
        <v>0</v>
      </c>
      <c r="CD147">
        <v>0</v>
      </c>
      <c r="CE147">
        <v>3</v>
      </c>
      <c r="CF147">
        <v>82.549942922374427</v>
      </c>
      <c r="CG147">
        <v>29444</v>
      </c>
      <c r="CH147">
        <v>616</v>
      </c>
      <c r="CI147">
        <v>462</v>
      </c>
      <c r="CJ147">
        <v>5</v>
      </c>
      <c r="CK147">
        <v>3080</v>
      </c>
      <c r="CL147">
        <v>2310</v>
      </c>
      <c r="CM147">
        <v>408</v>
      </c>
      <c r="CN147">
        <v>306</v>
      </c>
      <c r="CO147">
        <v>240</v>
      </c>
      <c r="CP147">
        <v>6700000</v>
      </c>
      <c r="CQ147">
        <v>0</v>
      </c>
      <c r="CR147">
        <v>0</v>
      </c>
      <c r="CS147">
        <v>5</v>
      </c>
      <c r="CT147">
        <v>100.11904761904761</v>
      </c>
      <c r="CU147">
        <v>27916</v>
      </c>
      <c r="CV147">
        <v>840</v>
      </c>
      <c r="CW147">
        <v>18700000</v>
      </c>
      <c r="CX147">
        <v>0</v>
      </c>
      <c r="CY147">
        <v>0</v>
      </c>
      <c r="CZ147">
        <v>11</v>
      </c>
      <c r="DA147">
        <v>252.97619047619048</v>
      </c>
      <c r="DB147">
        <v>22261.904761904763</v>
      </c>
      <c r="DD147" t="s">
        <v>882</v>
      </c>
      <c r="DE147">
        <v>7009</v>
      </c>
    </row>
    <row r="148" spans="1:109">
      <c r="A148">
        <v>7010</v>
      </c>
      <c r="B148" t="s">
        <v>771</v>
      </c>
      <c r="C148" t="s">
        <v>48</v>
      </c>
      <c r="E148" t="s">
        <v>43</v>
      </c>
      <c r="H148">
        <v>7</v>
      </c>
      <c r="I148" t="s">
        <v>269</v>
      </c>
      <c r="J148">
        <v>6</v>
      </c>
      <c r="K148">
        <v>2.5000000000000001E-2</v>
      </c>
      <c r="L148">
        <v>6.3492063492063489</v>
      </c>
      <c r="M148">
        <v>30</v>
      </c>
      <c r="N148">
        <v>42348</v>
      </c>
      <c r="O148" t="s">
        <v>206</v>
      </c>
      <c r="P148">
        <v>0</v>
      </c>
      <c r="Q148">
        <v>0</v>
      </c>
      <c r="R148">
        <v>0</v>
      </c>
      <c r="S148">
        <v>0</v>
      </c>
      <c r="T148">
        <v>0</v>
      </c>
      <c r="U148">
        <v>0</v>
      </c>
      <c r="V148">
        <v>0</v>
      </c>
      <c r="W148">
        <v>0</v>
      </c>
      <c r="X148">
        <v>0</v>
      </c>
      <c r="Y148">
        <v>0</v>
      </c>
      <c r="Z148">
        <v>0</v>
      </c>
      <c r="AA148">
        <v>0</v>
      </c>
      <c r="AB148">
        <v>0</v>
      </c>
      <c r="AC148">
        <v>0</v>
      </c>
      <c r="AD148">
        <v>534</v>
      </c>
      <c r="AE148">
        <v>84</v>
      </c>
      <c r="AF148">
        <v>5</v>
      </c>
      <c r="AG148">
        <v>2670</v>
      </c>
      <c r="AH148">
        <v>16020</v>
      </c>
      <c r="AI148">
        <v>66</v>
      </c>
      <c r="AJ148">
        <v>400</v>
      </c>
      <c r="AK148">
        <v>6</v>
      </c>
      <c r="AL148">
        <v>0</v>
      </c>
      <c r="AM148">
        <v>0</v>
      </c>
      <c r="AN148">
        <v>0</v>
      </c>
      <c r="AO148">
        <v>0</v>
      </c>
      <c r="AP148">
        <v>0</v>
      </c>
      <c r="AQ148">
        <v>0</v>
      </c>
      <c r="AR148">
        <v>667</v>
      </c>
      <c r="AS148">
        <v>105</v>
      </c>
      <c r="AT148">
        <v>5</v>
      </c>
      <c r="AU148">
        <v>3335</v>
      </c>
      <c r="AV148">
        <v>20010</v>
      </c>
      <c r="AW148">
        <v>83</v>
      </c>
      <c r="AX148">
        <v>500</v>
      </c>
      <c r="AY148">
        <v>48</v>
      </c>
      <c r="AZ148">
        <v>2800000</v>
      </c>
      <c r="BA148">
        <v>0</v>
      </c>
      <c r="BB148">
        <v>0</v>
      </c>
      <c r="BC148">
        <v>3</v>
      </c>
      <c r="BD148">
        <v>36.583708145927041</v>
      </c>
      <c r="BE148">
        <v>58333</v>
      </c>
      <c r="BF148">
        <v>800</v>
      </c>
      <c r="BG148">
        <v>126</v>
      </c>
      <c r="BH148">
        <v>5</v>
      </c>
      <c r="BI148">
        <v>4000</v>
      </c>
      <c r="BJ148">
        <v>24000</v>
      </c>
      <c r="BK148">
        <v>100</v>
      </c>
      <c r="BL148">
        <v>600</v>
      </c>
      <c r="BM148">
        <v>96</v>
      </c>
      <c r="BN148">
        <v>4200000</v>
      </c>
      <c r="BO148">
        <v>0</v>
      </c>
      <c r="BP148">
        <v>0</v>
      </c>
      <c r="BQ148">
        <v>5</v>
      </c>
      <c r="BR148">
        <v>47.085000000000001</v>
      </c>
      <c r="BS148">
        <v>43750</v>
      </c>
      <c r="BT148">
        <v>1067</v>
      </c>
      <c r="BU148">
        <v>168</v>
      </c>
      <c r="BV148">
        <v>5</v>
      </c>
      <c r="BW148">
        <v>5335</v>
      </c>
      <c r="BX148">
        <v>32010</v>
      </c>
      <c r="BY148">
        <v>133</v>
      </c>
      <c r="BZ148">
        <v>800</v>
      </c>
      <c r="CF148">
        <v>0</v>
      </c>
      <c r="CG148">
        <v>0</v>
      </c>
      <c r="CH148">
        <v>1600</v>
      </c>
      <c r="CI148">
        <v>252</v>
      </c>
      <c r="CJ148">
        <v>5</v>
      </c>
      <c r="CK148">
        <v>8000</v>
      </c>
      <c r="CL148">
        <v>48000</v>
      </c>
      <c r="CM148">
        <v>200</v>
      </c>
      <c r="CN148">
        <v>1200</v>
      </c>
      <c r="CT148">
        <v>0</v>
      </c>
      <c r="CU148">
        <v>0</v>
      </c>
      <c r="DD148" t="s">
        <v>771</v>
      </c>
      <c r="DE148">
        <v>7010</v>
      </c>
    </row>
    <row r="149" spans="1:109">
      <c r="A149">
        <v>7011</v>
      </c>
      <c r="B149" t="s">
        <v>883</v>
      </c>
      <c r="C149" t="s">
        <v>77</v>
      </c>
      <c r="E149" t="s">
        <v>43</v>
      </c>
      <c r="F149" t="s">
        <v>43</v>
      </c>
      <c r="H149">
        <v>7</v>
      </c>
      <c r="I149" t="s">
        <v>269</v>
      </c>
      <c r="J149">
        <v>3</v>
      </c>
      <c r="K149">
        <v>0.2</v>
      </c>
      <c r="L149">
        <v>3.0750000000000002</v>
      </c>
      <c r="M149">
        <v>30</v>
      </c>
      <c r="N149">
        <v>42348</v>
      </c>
      <c r="O149" t="s">
        <v>206</v>
      </c>
      <c r="P149">
        <v>0</v>
      </c>
      <c r="Q149">
        <v>0</v>
      </c>
      <c r="R149">
        <v>0</v>
      </c>
      <c r="S149">
        <v>0</v>
      </c>
      <c r="T149">
        <v>0</v>
      </c>
      <c r="U149">
        <v>0</v>
      </c>
      <c r="V149">
        <v>0</v>
      </c>
      <c r="W149">
        <v>0</v>
      </c>
      <c r="X149">
        <v>0</v>
      </c>
      <c r="Y149">
        <v>0</v>
      </c>
      <c r="Z149">
        <v>0</v>
      </c>
      <c r="AA149">
        <v>0</v>
      </c>
      <c r="AB149">
        <v>0</v>
      </c>
      <c r="AC149">
        <v>0</v>
      </c>
      <c r="AD149">
        <v>410</v>
      </c>
      <c r="AE149">
        <v>134</v>
      </c>
      <c r="AF149">
        <v>6</v>
      </c>
      <c r="AG149">
        <v>2460</v>
      </c>
      <c r="AH149">
        <v>7380</v>
      </c>
      <c r="AI149">
        <v>492</v>
      </c>
      <c r="AJ149">
        <v>1476</v>
      </c>
      <c r="AK149">
        <v>6</v>
      </c>
      <c r="AL149">
        <v>0</v>
      </c>
      <c r="AM149">
        <v>0</v>
      </c>
      <c r="AN149">
        <v>0</v>
      </c>
      <c r="AO149">
        <v>0</v>
      </c>
      <c r="AP149">
        <v>0</v>
      </c>
      <c r="AQ149">
        <v>0</v>
      </c>
      <c r="AR149">
        <v>513</v>
      </c>
      <c r="AS149">
        <v>167</v>
      </c>
      <c r="AT149">
        <v>6</v>
      </c>
      <c r="AU149">
        <v>3078</v>
      </c>
      <c r="AV149">
        <v>9234</v>
      </c>
      <c r="AW149">
        <v>615</v>
      </c>
      <c r="AX149">
        <v>1846</v>
      </c>
      <c r="AY149">
        <v>48</v>
      </c>
      <c r="AZ149">
        <v>2720000</v>
      </c>
      <c r="BA149">
        <v>0</v>
      </c>
      <c r="BB149">
        <v>0</v>
      </c>
      <c r="BC149">
        <v>3</v>
      </c>
      <c r="BD149">
        <v>38.41888672298029</v>
      </c>
      <c r="BE149">
        <v>56666</v>
      </c>
      <c r="BF149">
        <v>615</v>
      </c>
      <c r="BG149">
        <v>200</v>
      </c>
      <c r="BH149">
        <v>6</v>
      </c>
      <c r="BI149">
        <v>3690</v>
      </c>
      <c r="BJ149">
        <v>11070</v>
      </c>
      <c r="BK149">
        <v>738</v>
      </c>
      <c r="BL149">
        <v>2214</v>
      </c>
      <c r="BM149">
        <v>96</v>
      </c>
      <c r="BN149">
        <v>4080000</v>
      </c>
      <c r="BO149">
        <v>0</v>
      </c>
      <c r="BP149">
        <v>0</v>
      </c>
      <c r="BQ149">
        <v>5</v>
      </c>
      <c r="BR149">
        <v>49.407046070460702</v>
      </c>
      <c r="BS149">
        <v>42500</v>
      </c>
      <c r="BT149">
        <v>820</v>
      </c>
      <c r="BU149">
        <v>267</v>
      </c>
      <c r="BV149">
        <v>6</v>
      </c>
      <c r="BW149">
        <v>4920</v>
      </c>
      <c r="BX149">
        <v>14760</v>
      </c>
      <c r="BY149">
        <v>984</v>
      </c>
      <c r="BZ149">
        <v>2952</v>
      </c>
      <c r="CF149">
        <v>0</v>
      </c>
      <c r="CG149">
        <v>0</v>
      </c>
      <c r="CH149">
        <v>1230</v>
      </c>
      <c r="CI149">
        <v>400</v>
      </c>
      <c r="CJ149">
        <v>6</v>
      </c>
      <c r="CK149">
        <v>7380</v>
      </c>
      <c r="CL149">
        <v>22140</v>
      </c>
      <c r="CM149">
        <v>1476</v>
      </c>
      <c r="CN149">
        <v>4428</v>
      </c>
      <c r="CT149">
        <v>0</v>
      </c>
      <c r="CU149">
        <v>0</v>
      </c>
      <c r="DD149" t="s">
        <v>883</v>
      </c>
      <c r="DE149">
        <v>7011</v>
      </c>
    </row>
    <row r="150" spans="1:109">
      <c r="A150">
        <v>7012</v>
      </c>
      <c r="B150" t="s">
        <v>884</v>
      </c>
      <c r="C150" t="s">
        <v>52</v>
      </c>
      <c r="E150" t="s">
        <v>43</v>
      </c>
      <c r="H150">
        <v>7</v>
      </c>
      <c r="I150" t="s">
        <v>269</v>
      </c>
      <c r="J150">
        <v>3</v>
      </c>
      <c r="K150">
        <v>0.15</v>
      </c>
      <c r="L150">
        <v>2</v>
      </c>
      <c r="M150">
        <v>30</v>
      </c>
      <c r="N150">
        <v>42348</v>
      </c>
      <c r="O150" t="s">
        <v>206</v>
      </c>
      <c r="P150">
        <v>0</v>
      </c>
      <c r="Q150">
        <v>0</v>
      </c>
      <c r="R150">
        <v>0</v>
      </c>
      <c r="S150">
        <v>0</v>
      </c>
      <c r="T150">
        <v>0</v>
      </c>
      <c r="U150">
        <v>0</v>
      </c>
      <c r="V150">
        <v>0</v>
      </c>
      <c r="W150">
        <v>0</v>
      </c>
      <c r="X150">
        <v>0</v>
      </c>
      <c r="Y150">
        <v>0</v>
      </c>
      <c r="Z150">
        <v>0</v>
      </c>
      <c r="AA150">
        <v>0</v>
      </c>
      <c r="AB150">
        <v>0</v>
      </c>
      <c r="AC150">
        <v>0</v>
      </c>
      <c r="AD150">
        <v>334</v>
      </c>
      <c r="AE150">
        <v>167</v>
      </c>
      <c r="AF150">
        <v>9</v>
      </c>
      <c r="AG150">
        <v>3006</v>
      </c>
      <c r="AH150">
        <v>9018</v>
      </c>
      <c r="AI150">
        <v>450</v>
      </c>
      <c r="AJ150">
        <v>1352</v>
      </c>
      <c r="AK150">
        <v>6</v>
      </c>
      <c r="AL150">
        <v>0</v>
      </c>
      <c r="AM150">
        <v>0</v>
      </c>
      <c r="AN150">
        <v>0</v>
      </c>
      <c r="AO150">
        <v>0</v>
      </c>
      <c r="AP150">
        <v>0</v>
      </c>
      <c r="AQ150">
        <v>0</v>
      </c>
      <c r="AR150">
        <v>417</v>
      </c>
      <c r="AS150">
        <v>209</v>
      </c>
      <c r="AT150">
        <v>9</v>
      </c>
      <c r="AU150">
        <v>3753</v>
      </c>
      <c r="AV150">
        <v>11259</v>
      </c>
      <c r="AW150">
        <v>562</v>
      </c>
      <c r="AX150">
        <v>1688</v>
      </c>
      <c r="AY150">
        <v>48</v>
      </c>
      <c r="AZ150">
        <v>2800000</v>
      </c>
      <c r="BA150">
        <v>0</v>
      </c>
      <c r="BB150">
        <v>0</v>
      </c>
      <c r="BC150">
        <v>3</v>
      </c>
      <c r="BD150">
        <v>32.688160582644997</v>
      </c>
      <c r="BE150">
        <v>58333</v>
      </c>
      <c r="BF150">
        <v>500</v>
      </c>
      <c r="BG150">
        <v>250</v>
      </c>
      <c r="BH150">
        <v>9</v>
      </c>
      <c r="BI150">
        <v>4500</v>
      </c>
      <c r="BJ150">
        <v>13500</v>
      </c>
      <c r="BK150">
        <v>675</v>
      </c>
      <c r="BL150">
        <v>2025</v>
      </c>
      <c r="BM150">
        <v>96</v>
      </c>
      <c r="BN150">
        <v>4200000</v>
      </c>
      <c r="BO150">
        <v>0</v>
      </c>
      <c r="BP150">
        <v>0</v>
      </c>
      <c r="BQ150">
        <v>5</v>
      </c>
      <c r="BR150">
        <v>42.224888888888891</v>
      </c>
      <c r="BS150">
        <v>43750</v>
      </c>
      <c r="BT150">
        <v>667</v>
      </c>
      <c r="BU150">
        <v>334</v>
      </c>
      <c r="BV150">
        <v>9</v>
      </c>
      <c r="BW150">
        <v>6003</v>
      </c>
      <c r="BX150">
        <v>18009</v>
      </c>
      <c r="BY150">
        <v>900</v>
      </c>
      <c r="BZ150">
        <v>2701</v>
      </c>
      <c r="CF150">
        <v>0</v>
      </c>
      <c r="CG150">
        <v>0</v>
      </c>
      <c r="CH150">
        <v>1000</v>
      </c>
      <c r="CI150">
        <v>500</v>
      </c>
      <c r="CJ150">
        <v>10</v>
      </c>
      <c r="CK150">
        <v>10000</v>
      </c>
      <c r="CL150">
        <v>30000</v>
      </c>
      <c r="CM150">
        <v>1500</v>
      </c>
      <c r="CN150">
        <v>4500</v>
      </c>
      <c r="CT150">
        <v>0</v>
      </c>
      <c r="CU150">
        <v>0</v>
      </c>
      <c r="DD150" t="s">
        <v>884</v>
      </c>
      <c r="DE150">
        <v>7012</v>
      </c>
    </row>
    <row r="151" spans="1:109">
      <c r="A151">
        <v>7013</v>
      </c>
      <c r="B151" t="s">
        <v>885</v>
      </c>
      <c r="C151" t="s">
        <v>42</v>
      </c>
      <c r="F151" t="s">
        <v>43</v>
      </c>
      <c r="H151">
        <v>7</v>
      </c>
      <c r="I151" t="s">
        <v>269</v>
      </c>
      <c r="J151">
        <v>4</v>
      </c>
      <c r="K151">
        <v>0.1</v>
      </c>
      <c r="L151">
        <v>2.6</v>
      </c>
      <c r="M151">
        <v>30</v>
      </c>
      <c r="N151">
        <v>42348</v>
      </c>
      <c r="O151" t="s">
        <v>206</v>
      </c>
      <c r="P151">
        <v>0</v>
      </c>
      <c r="Q151">
        <v>0</v>
      </c>
      <c r="R151">
        <v>0</v>
      </c>
      <c r="S151">
        <v>0</v>
      </c>
      <c r="T151">
        <v>0</v>
      </c>
      <c r="U151">
        <v>0</v>
      </c>
      <c r="V151">
        <v>0</v>
      </c>
      <c r="W151">
        <v>0</v>
      </c>
      <c r="X151">
        <v>0</v>
      </c>
      <c r="Y151">
        <v>0</v>
      </c>
      <c r="Z151">
        <v>0</v>
      </c>
      <c r="AA151">
        <v>0</v>
      </c>
      <c r="AB151">
        <v>0</v>
      </c>
      <c r="AC151">
        <v>0</v>
      </c>
      <c r="AD151">
        <v>390</v>
      </c>
      <c r="AE151">
        <v>150</v>
      </c>
      <c r="AF151">
        <v>8</v>
      </c>
      <c r="AG151">
        <v>3120</v>
      </c>
      <c r="AH151">
        <v>12480</v>
      </c>
      <c r="AI151">
        <v>312</v>
      </c>
      <c r="AJ151">
        <v>1248</v>
      </c>
      <c r="AK151">
        <v>6</v>
      </c>
      <c r="AL151">
        <v>0</v>
      </c>
      <c r="AM151">
        <v>0</v>
      </c>
      <c r="AN151">
        <v>0</v>
      </c>
      <c r="AO151">
        <v>0</v>
      </c>
      <c r="AP151">
        <v>0</v>
      </c>
      <c r="AQ151">
        <v>0</v>
      </c>
      <c r="AR151">
        <v>488</v>
      </c>
      <c r="AS151">
        <v>188</v>
      </c>
      <c r="AT151">
        <v>8</v>
      </c>
      <c r="AU151">
        <v>3904</v>
      </c>
      <c r="AV151">
        <v>15616</v>
      </c>
      <c r="AW151">
        <v>390</v>
      </c>
      <c r="AX151">
        <v>1561</v>
      </c>
      <c r="AY151">
        <v>48</v>
      </c>
      <c r="AZ151">
        <v>2880000</v>
      </c>
      <c r="BA151">
        <v>0</v>
      </c>
      <c r="BB151">
        <v>0</v>
      </c>
      <c r="BC151">
        <v>3</v>
      </c>
      <c r="BD151">
        <v>32.33606557377049</v>
      </c>
      <c r="BE151">
        <v>60000</v>
      </c>
      <c r="BF151">
        <v>585</v>
      </c>
      <c r="BG151">
        <v>225</v>
      </c>
      <c r="BH151">
        <v>8</v>
      </c>
      <c r="BI151">
        <v>4680</v>
      </c>
      <c r="BJ151">
        <v>18720</v>
      </c>
      <c r="BK151">
        <v>468</v>
      </c>
      <c r="BL151">
        <v>1872</v>
      </c>
      <c r="BM151">
        <v>96</v>
      </c>
      <c r="BN151">
        <v>4320000</v>
      </c>
      <c r="BO151">
        <v>0</v>
      </c>
      <c r="BP151">
        <v>0</v>
      </c>
      <c r="BQ151">
        <v>5</v>
      </c>
      <c r="BR151">
        <v>41.798290598290599</v>
      </c>
      <c r="BS151">
        <v>45000</v>
      </c>
      <c r="BT151">
        <v>780</v>
      </c>
      <c r="BU151">
        <v>300</v>
      </c>
      <c r="BV151">
        <v>8</v>
      </c>
      <c r="BW151">
        <v>6240</v>
      </c>
      <c r="BX151">
        <v>24960</v>
      </c>
      <c r="BY151">
        <v>624</v>
      </c>
      <c r="BZ151">
        <v>2496</v>
      </c>
      <c r="CF151">
        <v>0</v>
      </c>
      <c r="CG151">
        <v>0</v>
      </c>
      <c r="CH151">
        <v>1170</v>
      </c>
      <c r="CI151">
        <v>450</v>
      </c>
      <c r="CJ151">
        <v>8</v>
      </c>
      <c r="CK151">
        <v>9360</v>
      </c>
      <c r="CL151">
        <v>37440</v>
      </c>
      <c r="CM151">
        <v>936</v>
      </c>
      <c r="CN151">
        <v>3744</v>
      </c>
      <c r="CT151">
        <v>0</v>
      </c>
      <c r="CU151">
        <v>0</v>
      </c>
      <c r="DD151" t="s">
        <v>885</v>
      </c>
      <c r="DE151">
        <v>7013</v>
      </c>
    </row>
    <row r="152" spans="1:109">
      <c r="A152">
        <v>7014</v>
      </c>
      <c r="B152" t="s">
        <v>886</v>
      </c>
      <c r="C152" t="s">
        <v>54</v>
      </c>
      <c r="E152" t="s">
        <v>43</v>
      </c>
      <c r="H152">
        <v>7</v>
      </c>
      <c r="I152" t="s">
        <v>269</v>
      </c>
      <c r="J152">
        <v>5</v>
      </c>
      <c r="K152">
        <v>7.4999999999999997E-2</v>
      </c>
      <c r="L152">
        <v>4.2857142857142856</v>
      </c>
      <c r="M152">
        <v>30</v>
      </c>
      <c r="N152">
        <v>42348</v>
      </c>
      <c r="O152" t="s">
        <v>206</v>
      </c>
      <c r="P152">
        <v>0</v>
      </c>
      <c r="Q152">
        <v>0</v>
      </c>
      <c r="R152">
        <v>0</v>
      </c>
      <c r="S152">
        <v>0</v>
      </c>
      <c r="T152">
        <v>0</v>
      </c>
      <c r="U152">
        <v>0</v>
      </c>
      <c r="V152">
        <v>0</v>
      </c>
      <c r="W152">
        <v>0</v>
      </c>
      <c r="X152">
        <v>0</v>
      </c>
      <c r="Y152">
        <v>0</v>
      </c>
      <c r="Z152">
        <v>0</v>
      </c>
      <c r="AA152">
        <v>0</v>
      </c>
      <c r="AB152">
        <v>0</v>
      </c>
      <c r="AC152">
        <v>0</v>
      </c>
      <c r="AD152">
        <v>500</v>
      </c>
      <c r="AE152">
        <v>117</v>
      </c>
      <c r="AF152">
        <v>8</v>
      </c>
      <c r="AG152">
        <v>4000</v>
      </c>
      <c r="AH152">
        <v>20000</v>
      </c>
      <c r="AI152">
        <v>300</v>
      </c>
      <c r="AJ152">
        <v>1500</v>
      </c>
      <c r="AK152">
        <v>6</v>
      </c>
      <c r="AL152">
        <v>0</v>
      </c>
      <c r="AM152">
        <v>0</v>
      </c>
      <c r="AN152">
        <v>0</v>
      </c>
      <c r="AO152">
        <v>0</v>
      </c>
      <c r="AP152">
        <v>0</v>
      </c>
      <c r="AQ152">
        <v>0</v>
      </c>
      <c r="AR152">
        <v>625</v>
      </c>
      <c r="AS152">
        <v>146</v>
      </c>
      <c r="AT152">
        <v>8</v>
      </c>
      <c r="AU152">
        <v>5000</v>
      </c>
      <c r="AV152">
        <v>25000</v>
      </c>
      <c r="AW152">
        <v>375</v>
      </c>
      <c r="AX152">
        <v>1875</v>
      </c>
      <c r="AY152">
        <v>48</v>
      </c>
      <c r="AZ152">
        <v>3000000</v>
      </c>
      <c r="BA152">
        <v>0</v>
      </c>
      <c r="BB152">
        <v>0</v>
      </c>
      <c r="BC152">
        <v>3</v>
      </c>
      <c r="BD152">
        <v>26.599999999999998</v>
      </c>
      <c r="BE152">
        <v>62500</v>
      </c>
      <c r="BF152">
        <v>750</v>
      </c>
      <c r="BG152">
        <v>175</v>
      </c>
      <c r="BH152">
        <v>8</v>
      </c>
      <c r="BI152">
        <v>6000</v>
      </c>
      <c r="BJ152">
        <v>30000</v>
      </c>
      <c r="BK152">
        <v>450</v>
      </c>
      <c r="BL152">
        <v>2250</v>
      </c>
      <c r="BM152">
        <v>96</v>
      </c>
      <c r="BN152">
        <v>4500000</v>
      </c>
      <c r="BO152">
        <v>0</v>
      </c>
      <c r="BP152">
        <v>0</v>
      </c>
      <c r="BQ152">
        <v>5</v>
      </c>
      <c r="BR152">
        <v>34.583333333333336</v>
      </c>
      <c r="BS152">
        <v>46875</v>
      </c>
      <c r="BT152">
        <v>1000</v>
      </c>
      <c r="BU152">
        <v>234</v>
      </c>
      <c r="BV152">
        <v>8</v>
      </c>
      <c r="BW152">
        <v>8000</v>
      </c>
      <c r="BX152">
        <v>40000</v>
      </c>
      <c r="BY152">
        <v>600</v>
      </c>
      <c r="BZ152">
        <v>3000</v>
      </c>
      <c r="CF152">
        <v>0</v>
      </c>
      <c r="CG152">
        <v>0</v>
      </c>
      <c r="CH152">
        <v>1500</v>
      </c>
      <c r="CI152">
        <v>350</v>
      </c>
      <c r="CJ152">
        <v>8</v>
      </c>
      <c r="CK152">
        <v>12000</v>
      </c>
      <c r="CL152">
        <v>60000</v>
      </c>
      <c r="CM152">
        <v>900</v>
      </c>
      <c r="CN152">
        <v>4500</v>
      </c>
      <c r="CT152">
        <v>0</v>
      </c>
      <c r="CU152">
        <v>0</v>
      </c>
      <c r="DD152" t="s">
        <v>886</v>
      </c>
      <c r="DE152">
        <v>7014</v>
      </c>
    </row>
    <row r="153" spans="1:109">
      <c r="A153">
        <v>7015</v>
      </c>
      <c r="B153" t="s">
        <v>772</v>
      </c>
      <c r="C153" t="s">
        <v>48</v>
      </c>
      <c r="E153" t="s">
        <v>43</v>
      </c>
      <c r="H153">
        <v>7</v>
      </c>
      <c r="I153" t="s">
        <v>269</v>
      </c>
      <c r="J153">
        <v>6</v>
      </c>
      <c r="K153">
        <v>2.5000000000000001E-2</v>
      </c>
      <c r="L153">
        <v>6.4822134387351777</v>
      </c>
      <c r="M153">
        <v>30</v>
      </c>
      <c r="N153">
        <v>42384</v>
      </c>
      <c r="O153" t="s">
        <v>206</v>
      </c>
      <c r="P153">
        <v>0</v>
      </c>
      <c r="Q153">
        <v>0</v>
      </c>
      <c r="R153">
        <v>0</v>
      </c>
      <c r="S153">
        <v>0</v>
      </c>
      <c r="T153">
        <v>0</v>
      </c>
      <c r="U153">
        <v>0</v>
      </c>
      <c r="V153">
        <v>0</v>
      </c>
      <c r="W153">
        <v>0</v>
      </c>
      <c r="X153">
        <v>0</v>
      </c>
      <c r="Y153">
        <v>0</v>
      </c>
      <c r="Z153">
        <v>0</v>
      </c>
      <c r="AA153">
        <v>0</v>
      </c>
      <c r="AB153">
        <v>0</v>
      </c>
      <c r="AC153">
        <v>0</v>
      </c>
      <c r="AD153">
        <v>547</v>
      </c>
      <c r="AE153">
        <v>85</v>
      </c>
      <c r="AF153">
        <v>5</v>
      </c>
      <c r="AG153">
        <v>2735</v>
      </c>
      <c r="AH153">
        <v>16410</v>
      </c>
      <c r="AI153">
        <v>68</v>
      </c>
      <c r="AJ153">
        <v>410</v>
      </c>
      <c r="AK153">
        <v>6</v>
      </c>
      <c r="AL153">
        <v>0</v>
      </c>
      <c r="AM153">
        <v>0</v>
      </c>
      <c r="AN153">
        <v>0</v>
      </c>
      <c r="AO153">
        <v>0</v>
      </c>
      <c r="AP153">
        <v>0</v>
      </c>
      <c r="AQ153">
        <v>0</v>
      </c>
      <c r="AR153">
        <v>684</v>
      </c>
      <c r="AS153">
        <v>106</v>
      </c>
      <c r="AT153">
        <v>5</v>
      </c>
      <c r="AU153">
        <v>3420</v>
      </c>
      <c r="AV153">
        <v>20520</v>
      </c>
      <c r="AW153">
        <v>85</v>
      </c>
      <c r="AX153">
        <v>513</v>
      </c>
      <c r="BD153">
        <v>0</v>
      </c>
      <c r="BE153">
        <v>0</v>
      </c>
      <c r="BF153">
        <v>820</v>
      </c>
      <c r="BG153">
        <v>127</v>
      </c>
      <c r="BH153">
        <v>5</v>
      </c>
      <c r="BI153">
        <v>4100</v>
      </c>
      <c r="BJ153">
        <v>24600</v>
      </c>
      <c r="BK153">
        <v>102</v>
      </c>
      <c r="BL153">
        <v>615</v>
      </c>
      <c r="BR153">
        <v>0</v>
      </c>
      <c r="BS153">
        <v>0</v>
      </c>
      <c r="BT153">
        <v>1094</v>
      </c>
      <c r="BU153">
        <v>169</v>
      </c>
      <c r="BV153">
        <v>5</v>
      </c>
      <c r="BW153">
        <v>5470</v>
      </c>
      <c r="BX153">
        <v>32820</v>
      </c>
      <c r="BY153">
        <v>136</v>
      </c>
      <c r="BZ153">
        <v>820</v>
      </c>
      <c r="CF153">
        <v>0</v>
      </c>
      <c r="CG153">
        <v>0</v>
      </c>
      <c r="CH153">
        <v>1640</v>
      </c>
      <c r="CI153">
        <v>253</v>
      </c>
      <c r="CJ153">
        <v>5</v>
      </c>
      <c r="CK153">
        <v>8200</v>
      </c>
      <c r="CL153">
        <v>49200</v>
      </c>
      <c r="CM153">
        <v>205</v>
      </c>
      <c r="CN153">
        <v>1230</v>
      </c>
      <c r="CT153">
        <v>0</v>
      </c>
      <c r="CU153">
        <v>0</v>
      </c>
      <c r="DD153" t="s">
        <v>772</v>
      </c>
      <c r="DE153">
        <v>7015</v>
      </c>
    </row>
    <row r="154" spans="1:109">
      <c r="A154">
        <v>7016</v>
      </c>
      <c r="B154" t="s">
        <v>887</v>
      </c>
      <c r="C154" t="s">
        <v>77</v>
      </c>
      <c r="E154" t="s">
        <v>43</v>
      </c>
      <c r="H154">
        <v>7</v>
      </c>
      <c r="I154" t="s">
        <v>269</v>
      </c>
      <c r="J154">
        <v>3</v>
      </c>
      <c r="K154">
        <v>0.2</v>
      </c>
      <c r="L154">
        <v>3.1004901960784315</v>
      </c>
      <c r="M154">
        <v>30</v>
      </c>
      <c r="N154">
        <v>42384</v>
      </c>
      <c r="O154" t="s">
        <v>206</v>
      </c>
      <c r="P154">
        <v>0</v>
      </c>
      <c r="Q154">
        <v>0</v>
      </c>
      <c r="R154">
        <v>0</v>
      </c>
      <c r="S154">
        <v>0</v>
      </c>
      <c r="T154">
        <v>0</v>
      </c>
      <c r="U154">
        <v>0</v>
      </c>
      <c r="V154">
        <v>0</v>
      </c>
      <c r="W154">
        <v>0</v>
      </c>
      <c r="X154">
        <v>0</v>
      </c>
      <c r="Y154">
        <v>0</v>
      </c>
      <c r="Z154">
        <v>0</v>
      </c>
      <c r="AA154">
        <v>0</v>
      </c>
      <c r="AB154">
        <v>0</v>
      </c>
      <c r="AC154">
        <v>0</v>
      </c>
      <c r="AD154">
        <v>422</v>
      </c>
      <c r="AE154">
        <v>136</v>
      </c>
      <c r="AF154">
        <v>6</v>
      </c>
      <c r="AG154">
        <v>2532</v>
      </c>
      <c r="AH154">
        <v>7596</v>
      </c>
      <c r="AI154">
        <v>506</v>
      </c>
      <c r="AJ154">
        <v>1519</v>
      </c>
      <c r="AK154">
        <v>6</v>
      </c>
      <c r="AL154">
        <v>0</v>
      </c>
      <c r="AM154">
        <v>0</v>
      </c>
      <c r="AN154">
        <v>0</v>
      </c>
      <c r="AO154">
        <v>0</v>
      </c>
      <c r="AP154">
        <v>0</v>
      </c>
      <c r="AQ154">
        <v>0</v>
      </c>
      <c r="AR154">
        <v>528</v>
      </c>
      <c r="AS154">
        <v>170</v>
      </c>
      <c r="AT154">
        <v>6</v>
      </c>
      <c r="AU154">
        <v>3168</v>
      </c>
      <c r="AV154">
        <v>9504</v>
      </c>
      <c r="AW154">
        <v>633</v>
      </c>
      <c r="AX154">
        <v>1900</v>
      </c>
      <c r="BD154">
        <v>0</v>
      </c>
      <c r="BE154">
        <v>0</v>
      </c>
      <c r="BF154">
        <v>633</v>
      </c>
      <c r="BG154">
        <v>204</v>
      </c>
      <c r="BH154">
        <v>6</v>
      </c>
      <c r="BI154">
        <v>3798</v>
      </c>
      <c r="BJ154">
        <v>11394</v>
      </c>
      <c r="BK154">
        <v>759</v>
      </c>
      <c r="BL154">
        <v>2278</v>
      </c>
      <c r="BR154">
        <v>0</v>
      </c>
      <c r="BS154">
        <v>0</v>
      </c>
      <c r="BT154">
        <v>844</v>
      </c>
      <c r="BU154">
        <v>272</v>
      </c>
      <c r="BV154">
        <v>6</v>
      </c>
      <c r="BW154">
        <v>5064</v>
      </c>
      <c r="BX154">
        <v>15192</v>
      </c>
      <c r="BY154">
        <v>1012</v>
      </c>
      <c r="BZ154">
        <v>3038</v>
      </c>
      <c r="CF154">
        <v>0</v>
      </c>
      <c r="CG154">
        <v>0</v>
      </c>
      <c r="CH154">
        <v>1265</v>
      </c>
      <c r="CI154">
        <v>408</v>
      </c>
      <c r="CJ154">
        <v>6</v>
      </c>
      <c r="CK154">
        <v>7590</v>
      </c>
      <c r="CL154">
        <v>22770</v>
      </c>
      <c r="CM154">
        <v>1518</v>
      </c>
      <c r="CN154">
        <v>4554</v>
      </c>
      <c r="CT154">
        <v>0</v>
      </c>
      <c r="CU154">
        <v>0</v>
      </c>
      <c r="DD154" t="s">
        <v>887</v>
      </c>
      <c r="DE154">
        <v>7016</v>
      </c>
    </row>
    <row r="155" spans="1:109">
      <c r="A155">
        <v>7017</v>
      </c>
      <c r="B155" t="s">
        <v>791</v>
      </c>
      <c r="C155" t="s">
        <v>52</v>
      </c>
      <c r="E155" t="s">
        <v>43</v>
      </c>
      <c r="H155">
        <v>7</v>
      </c>
      <c r="I155" t="s">
        <v>269</v>
      </c>
      <c r="J155">
        <v>3</v>
      </c>
      <c r="K155">
        <v>0.15</v>
      </c>
      <c r="L155">
        <v>2.0238095238095237</v>
      </c>
      <c r="M155">
        <v>30</v>
      </c>
      <c r="N155">
        <v>42384</v>
      </c>
      <c r="O155" t="s">
        <v>206</v>
      </c>
      <c r="P155">
        <v>0</v>
      </c>
      <c r="Q155">
        <v>0</v>
      </c>
      <c r="R155">
        <v>0</v>
      </c>
      <c r="S155">
        <v>0</v>
      </c>
      <c r="T155">
        <v>0</v>
      </c>
      <c r="U155">
        <v>0</v>
      </c>
      <c r="V155">
        <v>0</v>
      </c>
      <c r="W155">
        <v>0</v>
      </c>
      <c r="X155">
        <v>0</v>
      </c>
      <c r="Y155">
        <v>0</v>
      </c>
      <c r="Z155">
        <v>0</v>
      </c>
      <c r="AA155">
        <v>0</v>
      </c>
      <c r="AB155">
        <v>0</v>
      </c>
      <c r="AC155">
        <v>0</v>
      </c>
      <c r="AD155">
        <v>340</v>
      </c>
      <c r="AE155">
        <v>168</v>
      </c>
      <c r="AF155">
        <v>9</v>
      </c>
      <c r="AG155">
        <v>3060</v>
      </c>
      <c r="AH155">
        <v>9180</v>
      </c>
      <c r="AI155">
        <v>459</v>
      </c>
      <c r="AJ155">
        <v>1377</v>
      </c>
      <c r="AK155">
        <v>6</v>
      </c>
      <c r="AL155">
        <v>0</v>
      </c>
      <c r="AM155">
        <v>0</v>
      </c>
      <c r="AN155">
        <v>0</v>
      </c>
      <c r="AO155">
        <v>0</v>
      </c>
      <c r="AP155">
        <v>0</v>
      </c>
      <c r="AQ155">
        <v>0</v>
      </c>
      <c r="AR155">
        <v>425</v>
      </c>
      <c r="AS155">
        <v>210</v>
      </c>
      <c r="AT155">
        <v>9</v>
      </c>
      <c r="AU155">
        <v>3825</v>
      </c>
      <c r="AV155">
        <v>11475</v>
      </c>
      <c r="AW155">
        <v>573</v>
      </c>
      <c r="AX155">
        <v>1721</v>
      </c>
      <c r="BD155">
        <v>0</v>
      </c>
      <c r="BE155">
        <v>0</v>
      </c>
      <c r="BF155">
        <v>510</v>
      </c>
      <c r="BG155">
        <v>252</v>
      </c>
      <c r="BH155">
        <v>9</v>
      </c>
      <c r="BI155">
        <v>4590</v>
      </c>
      <c r="BJ155">
        <v>13770</v>
      </c>
      <c r="BK155">
        <v>688</v>
      </c>
      <c r="BL155">
        <v>2065</v>
      </c>
      <c r="BR155">
        <v>0</v>
      </c>
      <c r="BS155">
        <v>0</v>
      </c>
      <c r="BT155">
        <v>680</v>
      </c>
      <c r="BU155">
        <v>336</v>
      </c>
      <c r="BV155">
        <v>9</v>
      </c>
      <c r="BW155">
        <v>6120</v>
      </c>
      <c r="BX155">
        <v>18360</v>
      </c>
      <c r="BY155">
        <v>918</v>
      </c>
      <c r="BZ155">
        <v>2754</v>
      </c>
      <c r="CF155">
        <v>0</v>
      </c>
      <c r="CG155">
        <v>0</v>
      </c>
      <c r="CH155">
        <v>1020</v>
      </c>
      <c r="CI155">
        <v>504</v>
      </c>
      <c r="CJ155">
        <v>10</v>
      </c>
      <c r="CK155">
        <v>10200</v>
      </c>
      <c r="CL155">
        <v>30600</v>
      </c>
      <c r="CM155">
        <v>1530</v>
      </c>
      <c r="CN155">
        <v>4590</v>
      </c>
      <c r="CT155">
        <v>0</v>
      </c>
      <c r="CU155">
        <v>0</v>
      </c>
      <c r="DD155" t="s">
        <v>791</v>
      </c>
      <c r="DE155">
        <v>7017</v>
      </c>
    </row>
    <row r="156" spans="1:109">
      <c r="A156">
        <v>7018</v>
      </c>
      <c r="B156" t="s">
        <v>888</v>
      </c>
      <c r="C156" t="s">
        <v>42</v>
      </c>
      <c r="E156" t="s">
        <v>43</v>
      </c>
      <c r="F156" t="s">
        <v>43</v>
      </c>
      <c r="H156">
        <v>7</v>
      </c>
      <c r="I156" t="s">
        <v>269</v>
      </c>
      <c r="J156">
        <v>4</v>
      </c>
      <c r="K156">
        <v>0.1</v>
      </c>
      <c r="L156">
        <v>2.6043956043956045</v>
      </c>
      <c r="M156">
        <v>30</v>
      </c>
      <c r="N156">
        <v>42384</v>
      </c>
      <c r="O156" t="s">
        <v>206</v>
      </c>
      <c r="P156">
        <v>0</v>
      </c>
      <c r="Q156">
        <v>0</v>
      </c>
      <c r="R156">
        <v>0</v>
      </c>
      <c r="S156">
        <v>0</v>
      </c>
      <c r="T156">
        <v>0</v>
      </c>
      <c r="U156">
        <v>0</v>
      </c>
      <c r="V156">
        <v>0</v>
      </c>
      <c r="W156">
        <v>0</v>
      </c>
      <c r="X156">
        <v>0</v>
      </c>
      <c r="Y156">
        <v>0</v>
      </c>
      <c r="Z156">
        <v>0</v>
      </c>
      <c r="AA156">
        <v>0</v>
      </c>
      <c r="AB156">
        <v>0</v>
      </c>
      <c r="AC156">
        <v>0</v>
      </c>
      <c r="AD156">
        <v>395</v>
      </c>
      <c r="AE156">
        <v>152</v>
      </c>
      <c r="AF156">
        <v>8</v>
      </c>
      <c r="AG156">
        <v>3160</v>
      </c>
      <c r="AH156">
        <v>12640</v>
      </c>
      <c r="AI156">
        <v>316</v>
      </c>
      <c r="AJ156">
        <v>1264</v>
      </c>
      <c r="AK156">
        <v>6</v>
      </c>
      <c r="AL156">
        <v>0</v>
      </c>
      <c r="AM156">
        <v>0</v>
      </c>
      <c r="AN156">
        <v>0</v>
      </c>
      <c r="AO156">
        <v>0</v>
      </c>
      <c r="AP156">
        <v>0</v>
      </c>
      <c r="AQ156">
        <v>0</v>
      </c>
      <c r="AR156">
        <v>494</v>
      </c>
      <c r="AS156">
        <v>190</v>
      </c>
      <c r="AT156">
        <v>8</v>
      </c>
      <c r="AU156">
        <v>3952</v>
      </c>
      <c r="AV156">
        <v>15808</v>
      </c>
      <c r="AW156">
        <v>395</v>
      </c>
      <c r="AX156">
        <v>1580</v>
      </c>
      <c r="BD156">
        <v>0</v>
      </c>
      <c r="BE156">
        <v>0</v>
      </c>
      <c r="BF156">
        <v>593</v>
      </c>
      <c r="BG156">
        <v>228</v>
      </c>
      <c r="BH156">
        <v>8</v>
      </c>
      <c r="BI156">
        <v>4744</v>
      </c>
      <c r="BJ156">
        <v>18976</v>
      </c>
      <c r="BK156">
        <v>474</v>
      </c>
      <c r="BL156">
        <v>1897</v>
      </c>
      <c r="BR156">
        <v>0</v>
      </c>
      <c r="BS156">
        <v>0</v>
      </c>
      <c r="BT156">
        <v>790</v>
      </c>
      <c r="BU156">
        <v>304</v>
      </c>
      <c r="BV156">
        <v>8</v>
      </c>
      <c r="BW156">
        <v>6320</v>
      </c>
      <c r="BX156">
        <v>25280</v>
      </c>
      <c r="BY156">
        <v>632</v>
      </c>
      <c r="BZ156">
        <v>2528</v>
      </c>
      <c r="CF156">
        <v>0</v>
      </c>
      <c r="CG156">
        <v>0</v>
      </c>
      <c r="CH156">
        <v>1185</v>
      </c>
      <c r="CI156">
        <v>455</v>
      </c>
      <c r="CJ156">
        <v>8</v>
      </c>
      <c r="CK156">
        <v>9480</v>
      </c>
      <c r="CL156">
        <v>37920</v>
      </c>
      <c r="CM156">
        <v>948</v>
      </c>
      <c r="CN156">
        <v>3792</v>
      </c>
      <c r="CT156">
        <v>0</v>
      </c>
      <c r="CU156">
        <v>0</v>
      </c>
      <c r="DD156" t="s">
        <v>888</v>
      </c>
      <c r="DE156">
        <v>7018</v>
      </c>
    </row>
    <row r="157" spans="1:109">
      <c r="A157">
        <v>7019</v>
      </c>
      <c r="B157" t="s">
        <v>753</v>
      </c>
      <c r="C157" t="s">
        <v>54</v>
      </c>
      <c r="E157" t="s">
        <v>43</v>
      </c>
      <c r="F157" t="s">
        <v>43</v>
      </c>
      <c r="H157">
        <v>7</v>
      </c>
      <c r="I157" t="s">
        <v>269</v>
      </c>
      <c r="J157">
        <v>5</v>
      </c>
      <c r="K157">
        <v>7.4999999999999997E-2</v>
      </c>
      <c r="L157">
        <v>4.333333333333333</v>
      </c>
      <c r="M157">
        <v>30</v>
      </c>
      <c r="N157">
        <v>42384</v>
      </c>
      <c r="O157" t="s">
        <v>206</v>
      </c>
      <c r="P157">
        <v>0</v>
      </c>
      <c r="Q157">
        <v>0</v>
      </c>
      <c r="R157">
        <v>0</v>
      </c>
      <c r="S157">
        <v>0</v>
      </c>
      <c r="T157">
        <v>0</v>
      </c>
      <c r="U157">
        <v>0</v>
      </c>
      <c r="V157">
        <v>0</v>
      </c>
      <c r="W157">
        <v>0</v>
      </c>
      <c r="X157">
        <v>0</v>
      </c>
      <c r="Y157">
        <v>0</v>
      </c>
      <c r="Z157">
        <v>0</v>
      </c>
      <c r="AA157">
        <v>0</v>
      </c>
      <c r="AB157">
        <v>0</v>
      </c>
      <c r="AC157">
        <v>0</v>
      </c>
      <c r="AD157">
        <v>520</v>
      </c>
      <c r="AE157">
        <v>120</v>
      </c>
      <c r="AF157">
        <v>8</v>
      </c>
      <c r="AG157">
        <v>4160</v>
      </c>
      <c r="AH157">
        <v>20800</v>
      </c>
      <c r="AI157">
        <v>312</v>
      </c>
      <c r="AJ157">
        <v>1560</v>
      </c>
      <c r="AK157">
        <v>6</v>
      </c>
      <c r="AL157">
        <v>0</v>
      </c>
      <c r="AM157">
        <v>0</v>
      </c>
      <c r="AN157">
        <v>0</v>
      </c>
      <c r="AO157">
        <v>0</v>
      </c>
      <c r="AP157">
        <v>0</v>
      </c>
      <c r="AQ157">
        <v>0</v>
      </c>
      <c r="AR157">
        <v>650</v>
      </c>
      <c r="AS157">
        <v>150</v>
      </c>
      <c r="AT157">
        <v>8</v>
      </c>
      <c r="AU157">
        <v>5200</v>
      </c>
      <c r="AV157">
        <v>26000</v>
      </c>
      <c r="AW157">
        <v>390</v>
      </c>
      <c r="AX157">
        <v>1950</v>
      </c>
      <c r="BD157">
        <v>0</v>
      </c>
      <c r="BE157">
        <v>0</v>
      </c>
      <c r="BF157">
        <v>780</v>
      </c>
      <c r="BG157">
        <v>180</v>
      </c>
      <c r="BH157">
        <v>8</v>
      </c>
      <c r="BI157">
        <v>6240</v>
      </c>
      <c r="BJ157">
        <v>31200</v>
      </c>
      <c r="BK157">
        <v>468</v>
      </c>
      <c r="BL157">
        <v>2340</v>
      </c>
      <c r="BR157">
        <v>0</v>
      </c>
      <c r="BS157">
        <v>0</v>
      </c>
      <c r="BT157">
        <v>1040</v>
      </c>
      <c r="BU157">
        <v>240</v>
      </c>
      <c r="BV157">
        <v>8</v>
      </c>
      <c r="BW157">
        <v>8320</v>
      </c>
      <c r="BX157">
        <v>41600</v>
      </c>
      <c r="BY157">
        <v>624</v>
      </c>
      <c r="BZ157">
        <v>3120</v>
      </c>
      <c r="CF157">
        <v>0</v>
      </c>
      <c r="CG157">
        <v>0</v>
      </c>
      <c r="CH157">
        <v>1560</v>
      </c>
      <c r="CI157">
        <v>360</v>
      </c>
      <c r="CJ157">
        <v>8</v>
      </c>
      <c r="CK157">
        <v>12480</v>
      </c>
      <c r="CL157">
        <v>62400</v>
      </c>
      <c r="CM157">
        <v>936</v>
      </c>
      <c r="CN157">
        <v>4680</v>
      </c>
      <c r="CT157">
        <v>0</v>
      </c>
      <c r="CU157">
        <v>0</v>
      </c>
      <c r="DD157" t="s">
        <v>753</v>
      </c>
      <c r="DE157">
        <v>7019</v>
      </c>
    </row>
    <row r="158" spans="1:109">
      <c r="A158">
        <v>7020</v>
      </c>
      <c r="B158" t="s">
        <v>946</v>
      </c>
      <c r="C158" t="s">
        <v>48</v>
      </c>
      <c r="E158" t="s">
        <v>43</v>
      </c>
      <c r="H158">
        <v>7</v>
      </c>
      <c r="I158" t="s">
        <v>269</v>
      </c>
      <c r="J158">
        <v>6</v>
      </c>
      <c r="K158">
        <v>2.5000000000000001E-2</v>
      </c>
      <c r="L158">
        <v>6.5625</v>
      </c>
      <c r="M158">
        <v>30</v>
      </c>
      <c r="N158">
        <v>42415</v>
      </c>
      <c r="O158" t="s">
        <v>206</v>
      </c>
      <c r="P158">
        <v>0</v>
      </c>
      <c r="Q158">
        <v>0</v>
      </c>
      <c r="R158">
        <v>0</v>
      </c>
      <c r="S158">
        <v>0</v>
      </c>
      <c r="T158">
        <v>0</v>
      </c>
      <c r="U158">
        <v>0</v>
      </c>
      <c r="V158">
        <v>0</v>
      </c>
      <c r="W158">
        <v>0</v>
      </c>
      <c r="X158">
        <v>0</v>
      </c>
      <c r="Y158">
        <v>0</v>
      </c>
      <c r="Z158">
        <v>0</v>
      </c>
      <c r="AA158">
        <v>0</v>
      </c>
      <c r="AB158">
        <v>0</v>
      </c>
      <c r="AC158">
        <v>0</v>
      </c>
      <c r="AD158">
        <v>560</v>
      </c>
      <c r="AE158">
        <v>86</v>
      </c>
      <c r="AF158">
        <v>5</v>
      </c>
      <c r="AG158">
        <v>2800</v>
      </c>
      <c r="AH158">
        <v>16800</v>
      </c>
      <c r="AI158">
        <v>70</v>
      </c>
      <c r="AJ158">
        <v>420</v>
      </c>
      <c r="AP158">
        <v>0</v>
      </c>
      <c r="AQ158">
        <v>0</v>
      </c>
      <c r="AR158">
        <v>700</v>
      </c>
      <c r="AS158">
        <v>107</v>
      </c>
      <c r="AT158">
        <v>5</v>
      </c>
      <c r="AU158">
        <v>3500</v>
      </c>
      <c r="AV158">
        <v>21000</v>
      </c>
      <c r="AW158">
        <v>87</v>
      </c>
      <c r="AX158">
        <v>525</v>
      </c>
      <c r="BD158">
        <v>0</v>
      </c>
      <c r="BE158">
        <v>0</v>
      </c>
      <c r="BF158">
        <v>840</v>
      </c>
      <c r="BG158">
        <v>128</v>
      </c>
      <c r="BH158">
        <v>5</v>
      </c>
      <c r="BI158">
        <v>4200</v>
      </c>
      <c r="BJ158">
        <v>25200</v>
      </c>
      <c r="BK158">
        <v>105</v>
      </c>
      <c r="BL158">
        <v>630</v>
      </c>
      <c r="BR158">
        <v>0</v>
      </c>
      <c r="BS158">
        <v>0</v>
      </c>
      <c r="BT158">
        <v>1120</v>
      </c>
      <c r="BU158">
        <v>171</v>
      </c>
      <c r="BV158">
        <v>5</v>
      </c>
      <c r="BW158">
        <v>5600</v>
      </c>
      <c r="BX158">
        <v>33600</v>
      </c>
      <c r="BY158">
        <v>140</v>
      </c>
      <c r="BZ158">
        <v>840</v>
      </c>
      <c r="CF158">
        <v>0</v>
      </c>
      <c r="CG158">
        <v>0</v>
      </c>
      <c r="CH158">
        <v>1680</v>
      </c>
      <c r="CI158">
        <v>256</v>
      </c>
      <c r="CJ158">
        <v>5</v>
      </c>
      <c r="CK158">
        <v>8400</v>
      </c>
      <c r="CL158">
        <v>50400</v>
      </c>
      <c r="CM158">
        <v>210</v>
      </c>
      <c r="CN158">
        <v>1260</v>
      </c>
      <c r="CT158">
        <v>0</v>
      </c>
      <c r="CU158">
        <v>0</v>
      </c>
      <c r="DD158" t="s">
        <v>946</v>
      </c>
      <c r="DE158">
        <v>7020</v>
      </c>
    </row>
    <row r="159" spans="1:109">
      <c r="A159">
        <v>7021</v>
      </c>
      <c r="B159" t="s">
        <v>952</v>
      </c>
      <c r="C159" t="s">
        <v>77</v>
      </c>
      <c r="E159" t="s">
        <v>43</v>
      </c>
      <c r="H159">
        <v>7</v>
      </c>
      <c r="I159" t="s">
        <v>269</v>
      </c>
      <c r="J159">
        <v>3</v>
      </c>
      <c r="K159">
        <v>0.2</v>
      </c>
      <c r="L159">
        <v>3.125</v>
      </c>
      <c r="M159">
        <v>30</v>
      </c>
      <c r="N159">
        <v>42415</v>
      </c>
      <c r="O159" t="s">
        <v>206</v>
      </c>
      <c r="P159">
        <v>0</v>
      </c>
      <c r="Q159">
        <v>0</v>
      </c>
      <c r="R159">
        <v>0</v>
      </c>
      <c r="S159">
        <v>0</v>
      </c>
      <c r="T159">
        <v>0</v>
      </c>
      <c r="U159">
        <v>0</v>
      </c>
      <c r="V159">
        <v>0</v>
      </c>
      <c r="W159">
        <v>0</v>
      </c>
      <c r="X159">
        <v>0</v>
      </c>
      <c r="Y159">
        <v>0</v>
      </c>
      <c r="Z159">
        <v>0</v>
      </c>
      <c r="AA159">
        <v>0</v>
      </c>
      <c r="AB159">
        <v>0</v>
      </c>
      <c r="AC159">
        <v>0</v>
      </c>
      <c r="AD159">
        <v>434</v>
      </c>
      <c r="AE159">
        <v>139</v>
      </c>
      <c r="AF159">
        <v>6</v>
      </c>
      <c r="AG159">
        <v>2604</v>
      </c>
      <c r="AH159">
        <v>7812</v>
      </c>
      <c r="AI159">
        <v>520</v>
      </c>
      <c r="AJ159">
        <v>1562</v>
      </c>
      <c r="AP159">
        <v>0</v>
      </c>
      <c r="AQ159">
        <v>0</v>
      </c>
      <c r="AR159">
        <v>542</v>
      </c>
      <c r="AS159">
        <v>174</v>
      </c>
      <c r="AT159">
        <v>6</v>
      </c>
      <c r="AU159">
        <v>3252</v>
      </c>
      <c r="AV159">
        <v>9756</v>
      </c>
      <c r="AW159">
        <v>650</v>
      </c>
      <c r="AX159">
        <v>1951</v>
      </c>
      <c r="BD159">
        <v>0</v>
      </c>
      <c r="BE159">
        <v>0</v>
      </c>
      <c r="BF159">
        <v>650</v>
      </c>
      <c r="BG159">
        <v>208</v>
      </c>
      <c r="BH159">
        <v>6</v>
      </c>
      <c r="BI159">
        <v>3900</v>
      </c>
      <c r="BJ159">
        <v>11700</v>
      </c>
      <c r="BK159">
        <v>780</v>
      </c>
      <c r="BL159">
        <v>2340</v>
      </c>
      <c r="BR159">
        <v>0</v>
      </c>
      <c r="BS159">
        <v>0</v>
      </c>
      <c r="BT159">
        <v>867</v>
      </c>
      <c r="BU159">
        <v>278</v>
      </c>
      <c r="BV159">
        <v>6</v>
      </c>
      <c r="BW159">
        <v>5202</v>
      </c>
      <c r="BX159">
        <v>15606</v>
      </c>
      <c r="BY159">
        <v>1040</v>
      </c>
      <c r="BZ159">
        <v>3121</v>
      </c>
      <c r="CF159">
        <v>0</v>
      </c>
      <c r="CG159">
        <v>0</v>
      </c>
      <c r="CH159">
        <v>1300</v>
      </c>
      <c r="CI159">
        <v>416</v>
      </c>
      <c r="CJ159">
        <v>6</v>
      </c>
      <c r="CK159">
        <v>7800</v>
      </c>
      <c r="CL159">
        <v>23400</v>
      </c>
      <c r="CM159">
        <v>1560</v>
      </c>
      <c r="CN159">
        <v>4680</v>
      </c>
      <c r="CT159">
        <v>0</v>
      </c>
      <c r="CU159">
        <v>0</v>
      </c>
      <c r="DD159" t="s">
        <v>952</v>
      </c>
      <c r="DE159">
        <v>7021</v>
      </c>
    </row>
    <row r="160" spans="1:109">
      <c r="A160">
        <v>7022</v>
      </c>
      <c r="B160" t="s">
        <v>957</v>
      </c>
      <c r="C160" t="s">
        <v>52</v>
      </c>
      <c r="E160" t="s">
        <v>43</v>
      </c>
      <c r="H160">
        <v>7</v>
      </c>
      <c r="I160" t="s">
        <v>269</v>
      </c>
      <c r="J160">
        <v>3</v>
      </c>
      <c r="K160">
        <v>0.15</v>
      </c>
      <c r="L160">
        <v>2.043222003929273</v>
      </c>
      <c r="M160">
        <v>30</v>
      </c>
      <c r="N160">
        <v>42415</v>
      </c>
      <c r="O160" t="s">
        <v>206</v>
      </c>
      <c r="P160">
        <v>0</v>
      </c>
      <c r="Q160">
        <v>0</v>
      </c>
      <c r="R160">
        <v>0</v>
      </c>
      <c r="S160">
        <v>0</v>
      </c>
      <c r="T160">
        <v>0</v>
      </c>
      <c r="U160">
        <v>0</v>
      </c>
      <c r="V160">
        <v>0</v>
      </c>
      <c r="W160">
        <v>0</v>
      </c>
      <c r="X160">
        <v>0</v>
      </c>
      <c r="Y160">
        <v>0</v>
      </c>
      <c r="Z160">
        <v>0</v>
      </c>
      <c r="AA160">
        <v>0</v>
      </c>
      <c r="AB160">
        <v>0</v>
      </c>
      <c r="AC160">
        <v>0</v>
      </c>
      <c r="AD160">
        <v>347</v>
      </c>
      <c r="AE160">
        <v>170</v>
      </c>
      <c r="AF160">
        <v>9</v>
      </c>
      <c r="AG160">
        <v>3123</v>
      </c>
      <c r="AH160">
        <v>9369</v>
      </c>
      <c r="AI160">
        <v>468</v>
      </c>
      <c r="AJ160">
        <v>1405</v>
      </c>
      <c r="AP160">
        <v>0</v>
      </c>
      <c r="AQ160">
        <v>0</v>
      </c>
      <c r="AR160">
        <v>434</v>
      </c>
      <c r="AS160">
        <v>213</v>
      </c>
      <c r="AT160">
        <v>9</v>
      </c>
      <c r="AU160">
        <v>3906</v>
      </c>
      <c r="AV160">
        <v>11718</v>
      </c>
      <c r="AW160">
        <v>585</v>
      </c>
      <c r="AX160">
        <v>1757</v>
      </c>
      <c r="BD160">
        <v>0</v>
      </c>
      <c r="BE160">
        <v>0</v>
      </c>
      <c r="BF160">
        <v>520</v>
      </c>
      <c r="BG160">
        <v>255</v>
      </c>
      <c r="BH160">
        <v>9</v>
      </c>
      <c r="BI160">
        <v>4680</v>
      </c>
      <c r="BJ160">
        <v>14040</v>
      </c>
      <c r="BK160">
        <v>702</v>
      </c>
      <c r="BL160">
        <v>2106</v>
      </c>
      <c r="BR160">
        <v>0</v>
      </c>
      <c r="BS160">
        <v>0</v>
      </c>
      <c r="BT160">
        <v>694</v>
      </c>
      <c r="BU160">
        <v>340</v>
      </c>
      <c r="BV160">
        <v>9</v>
      </c>
      <c r="BW160">
        <v>6246</v>
      </c>
      <c r="BX160">
        <v>18738</v>
      </c>
      <c r="BY160">
        <v>936</v>
      </c>
      <c r="BZ160">
        <v>2810</v>
      </c>
      <c r="CF160">
        <v>0</v>
      </c>
      <c r="CG160">
        <v>0</v>
      </c>
      <c r="CH160">
        <v>1040</v>
      </c>
      <c r="CI160">
        <v>509</v>
      </c>
      <c r="CJ160">
        <v>10</v>
      </c>
      <c r="CK160">
        <v>10400</v>
      </c>
      <c r="CL160">
        <v>31200</v>
      </c>
      <c r="CM160">
        <v>1560</v>
      </c>
      <c r="CN160">
        <v>4680</v>
      </c>
      <c r="CT160">
        <v>0</v>
      </c>
      <c r="CU160">
        <v>0</v>
      </c>
      <c r="DD160" t="s">
        <v>957</v>
      </c>
      <c r="DE160">
        <v>7022</v>
      </c>
    </row>
    <row r="161" spans="1:109">
      <c r="A161">
        <v>7023</v>
      </c>
      <c r="B161" t="s">
        <v>962</v>
      </c>
      <c r="C161" t="s">
        <v>42</v>
      </c>
      <c r="E161" t="s">
        <v>43</v>
      </c>
      <c r="H161">
        <v>7</v>
      </c>
      <c r="I161" t="s">
        <v>269</v>
      </c>
      <c r="J161">
        <v>4</v>
      </c>
      <c r="K161">
        <v>0.1</v>
      </c>
      <c r="L161">
        <v>2.6086956521739131</v>
      </c>
      <c r="M161">
        <v>30</v>
      </c>
      <c r="N161">
        <v>42415</v>
      </c>
      <c r="O161" t="s">
        <v>206</v>
      </c>
      <c r="P161">
        <v>0</v>
      </c>
      <c r="Q161">
        <v>0</v>
      </c>
      <c r="R161">
        <v>0</v>
      </c>
      <c r="S161">
        <v>0</v>
      </c>
      <c r="T161">
        <v>0</v>
      </c>
      <c r="U161">
        <v>0</v>
      </c>
      <c r="V161">
        <v>0</v>
      </c>
      <c r="W161">
        <v>0</v>
      </c>
      <c r="X161">
        <v>0</v>
      </c>
      <c r="Y161">
        <v>0</v>
      </c>
      <c r="Z161">
        <v>0</v>
      </c>
      <c r="AA161">
        <v>0</v>
      </c>
      <c r="AB161">
        <v>0</v>
      </c>
      <c r="AC161">
        <v>0</v>
      </c>
      <c r="AD161">
        <v>400</v>
      </c>
      <c r="AE161">
        <v>154</v>
      </c>
      <c r="AF161">
        <v>8</v>
      </c>
      <c r="AG161">
        <v>3200</v>
      </c>
      <c r="AH161">
        <v>12800</v>
      </c>
      <c r="AI161">
        <v>320</v>
      </c>
      <c r="AJ161">
        <v>1280</v>
      </c>
      <c r="AP161">
        <v>0</v>
      </c>
      <c r="AQ161">
        <v>0</v>
      </c>
      <c r="AR161">
        <v>500</v>
      </c>
      <c r="AS161">
        <v>192</v>
      </c>
      <c r="AT161">
        <v>8</v>
      </c>
      <c r="AU161">
        <v>4000</v>
      </c>
      <c r="AV161">
        <v>16000</v>
      </c>
      <c r="AW161">
        <v>400</v>
      </c>
      <c r="AX161">
        <v>1600</v>
      </c>
      <c r="BD161">
        <v>0</v>
      </c>
      <c r="BE161">
        <v>0</v>
      </c>
      <c r="BF161">
        <v>600</v>
      </c>
      <c r="BG161">
        <v>230</v>
      </c>
      <c r="BH161">
        <v>8</v>
      </c>
      <c r="BI161">
        <v>4800</v>
      </c>
      <c r="BJ161">
        <v>19200</v>
      </c>
      <c r="BK161">
        <v>480</v>
      </c>
      <c r="BL161">
        <v>1920</v>
      </c>
      <c r="BR161">
        <v>0</v>
      </c>
      <c r="BS161">
        <v>0</v>
      </c>
      <c r="BT161">
        <v>800</v>
      </c>
      <c r="BU161">
        <v>307</v>
      </c>
      <c r="BV161">
        <v>8</v>
      </c>
      <c r="BW161">
        <v>6400</v>
      </c>
      <c r="BX161">
        <v>25600</v>
      </c>
      <c r="BY161">
        <v>640</v>
      </c>
      <c r="BZ161">
        <v>2560</v>
      </c>
      <c r="CF161">
        <v>0</v>
      </c>
      <c r="CG161">
        <v>0</v>
      </c>
      <c r="CH161">
        <v>1200</v>
      </c>
      <c r="CI161">
        <v>460</v>
      </c>
      <c r="CJ161">
        <v>8</v>
      </c>
      <c r="CK161">
        <v>9600</v>
      </c>
      <c r="CL161">
        <v>38400</v>
      </c>
      <c r="CM161">
        <v>960</v>
      </c>
      <c r="CN161">
        <v>3840</v>
      </c>
      <c r="CT161">
        <v>0</v>
      </c>
      <c r="CU161">
        <v>0</v>
      </c>
      <c r="DD161" t="s">
        <v>962</v>
      </c>
      <c r="DE161">
        <v>7023</v>
      </c>
    </row>
    <row r="162" spans="1:109">
      <c r="A162">
        <v>8001</v>
      </c>
      <c r="B162" t="s">
        <v>889</v>
      </c>
      <c r="C162" t="s">
        <v>186</v>
      </c>
      <c r="E162" t="s">
        <v>43</v>
      </c>
      <c r="F162" t="s">
        <v>43</v>
      </c>
      <c r="H162">
        <v>1</v>
      </c>
      <c r="I162" t="s">
        <v>186</v>
      </c>
      <c r="J162">
        <v>2</v>
      </c>
      <c r="K162">
        <v>0.05</v>
      </c>
      <c r="L162">
        <v>2</v>
      </c>
      <c r="M162">
        <v>1</v>
      </c>
      <c r="N162">
        <v>42309</v>
      </c>
      <c r="O162" t="s">
        <v>206</v>
      </c>
      <c r="P162">
        <v>0</v>
      </c>
      <c r="Q162">
        <v>0</v>
      </c>
      <c r="R162">
        <v>0</v>
      </c>
      <c r="S162">
        <v>0</v>
      </c>
      <c r="T162">
        <v>0</v>
      </c>
      <c r="U162">
        <v>0</v>
      </c>
      <c r="V162">
        <v>0</v>
      </c>
      <c r="W162">
        <v>0</v>
      </c>
      <c r="X162">
        <v>0</v>
      </c>
      <c r="Y162">
        <v>0</v>
      </c>
      <c r="Z162">
        <v>0</v>
      </c>
      <c r="AA162">
        <v>0</v>
      </c>
      <c r="AB162">
        <v>0</v>
      </c>
      <c r="AC162">
        <v>0</v>
      </c>
      <c r="AD162">
        <v>67</v>
      </c>
      <c r="AE162">
        <v>34</v>
      </c>
      <c r="AF162">
        <v>5</v>
      </c>
      <c r="AG162">
        <v>335</v>
      </c>
      <c r="AH162">
        <v>670</v>
      </c>
      <c r="AI162">
        <v>16</v>
      </c>
      <c r="AJ162">
        <v>33</v>
      </c>
      <c r="AK162">
        <v>3</v>
      </c>
      <c r="AL162">
        <v>0</v>
      </c>
      <c r="AM162">
        <v>0</v>
      </c>
      <c r="AN162">
        <v>0</v>
      </c>
      <c r="AO162">
        <v>0</v>
      </c>
      <c r="AP162">
        <v>0</v>
      </c>
      <c r="AQ162">
        <v>0</v>
      </c>
      <c r="AR162">
        <v>84</v>
      </c>
      <c r="AS162">
        <v>42</v>
      </c>
      <c r="AT162">
        <v>5</v>
      </c>
      <c r="AU162">
        <v>420</v>
      </c>
      <c r="AV162">
        <v>840</v>
      </c>
      <c r="AW162">
        <v>21</v>
      </c>
      <c r="AX162">
        <v>42</v>
      </c>
      <c r="AY162">
        <v>12</v>
      </c>
      <c r="AZ162">
        <v>1000</v>
      </c>
      <c r="BA162">
        <v>0</v>
      </c>
      <c r="BB162">
        <v>0</v>
      </c>
      <c r="BC162">
        <v>0</v>
      </c>
      <c r="BD162">
        <v>0.49801587301587302</v>
      </c>
      <c r="BE162">
        <v>83</v>
      </c>
      <c r="BF162">
        <v>100</v>
      </c>
      <c r="BG162">
        <v>50</v>
      </c>
      <c r="BH162">
        <v>5</v>
      </c>
      <c r="BI162">
        <v>500</v>
      </c>
      <c r="BJ162">
        <v>1000</v>
      </c>
      <c r="BK162">
        <v>25</v>
      </c>
      <c r="BL162">
        <v>50</v>
      </c>
      <c r="BM162">
        <v>24</v>
      </c>
      <c r="BN162">
        <v>2000</v>
      </c>
      <c r="BO162">
        <v>0</v>
      </c>
      <c r="BP162">
        <v>0</v>
      </c>
      <c r="BQ162">
        <v>0</v>
      </c>
      <c r="BR162">
        <v>1.0066666666666666</v>
      </c>
      <c r="BS162">
        <v>83</v>
      </c>
      <c r="BT162">
        <v>134</v>
      </c>
      <c r="BU162">
        <v>67</v>
      </c>
      <c r="BV162">
        <v>5</v>
      </c>
      <c r="BW162">
        <v>670</v>
      </c>
      <c r="BX162">
        <v>1340</v>
      </c>
      <c r="BY162">
        <v>33</v>
      </c>
      <c r="BZ162">
        <v>67</v>
      </c>
      <c r="CA162">
        <v>36</v>
      </c>
      <c r="CB162">
        <v>3000</v>
      </c>
      <c r="CC162">
        <v>0</v>
      </c>
      <c r="CD162">
        <v>0</v>
      </c>
      <c r="CE162">
        <v>0</v>
      </c>
      <c r="CF162">
        <v>1.3059701492537312</v>
      </c>
      <c r="CG162">
        <v>83</v>
      </c>
      <c r="CH162">
        <v>200</v>
      </c>
      <c r="CI162">
        <v>100</v>
      </c>
      <c r="CJ162">
        <v>5</v>
      </c>
      <c r="CK162">
        <v>1000</v>
      </c>
      <c r="CL162">
        <v>2000</v>
      </c>
      <c r="CM162">
        <v>50</v>
      </c>
      <c r="CN162">
        <v>100</v>
      </c>
      <c r="CO162">
        <v>48</v>
      </c>
      <c r="CP162">
        <v>5000</v>
      </c>
      <c r="CQ162">
        <v>0</v>
      </c>
      <c r="CR162">
        <v>0</v>
      </c>
      <c r="CS162">
        <v>0</v>
      </c>
      <c r="CT162">
        <v>1.5483333333333331</v>
      </c>
      <c r="CU162">
        <v>104</v>
      </c>
      <c r="CV162">
        <v>123</v>
      </c>
      <c r="CW162">
        <v>11000</v>
      </c>
      <c r="CX162">
        <v>0</v>
      </c>
      <c r="CY162">
        <v>0</v>
      </c>
      <c r="CZ162">
        <v>0</v>
      </c>
      <c r="DA162">
        <v>0.45833333333333331</v>
      </c>
      <c r="DB162">
        <v>89.430894308943095</v>
      </c>
      <c r="DD162" t="s">
        <v>889</v>
      </c>
      <c r="DE162">
        <v>8001</v>
      </c>
    </row>
    <row r="163" spans="1:109">
      <c r="A163">
        <v>8002</v>
      </c>
      <c r="B163" t="s">
        <v>890</v>
      </c>
      <c r="C163" t="s">
        <v>186</v>
      </c>
      <c r="E163" t="s">
        <v>43</v>
      </c>
      <c r="F163" t="s">
        <v>43</v>
      </c>
      <c r="H163">
        <v>1</v>
      </c>
      <c r="I163" t="s">
        <v>186</v>
      </c>
      <c r="J163">
        <v>2</v>
      </c>
      <c r="K163">
        <v>0.05</v>
      </c>
      <c r="L163">
        <v>2</v>
      </c>
      <c r="M163">
        <v>1</v>
      </c>
      <c r="N163">
        <v>42319</v>
      </c>
      <c r="O163" t="s">
        <v>206</v>
      </c>
      <c r="P163">
        <v>0</v>
      </c>
      <c r="Q163">
        <v>0</v>
      </c>
      <c r="R163">
        <v>0</v>
      </c>
      <c r="S163">
        <v>0</v>
      </c>
      <c r="T163">
        <v>0</v>
      </c>
      <c r="U163">
        <v>0</v>
      </c>
      <c r="V163">
        <v>0</v>
      </c>
      <c r="W163">
        <v>0</v>
      </c>
      <c r="X163">
        <v>0</v>
      </c>
      <c r="Y163">
        <v>0</v>
      </c>
      <c r="Z163">
        <v>0</v>
      </c>
      <c r="AA163">
        <v>0</v>
      </c>
      <c r="AB163">
        <v>0</v>
      </c>
      <c r="AC163">
        <v>0</v>
      </c>
      <c r="AD163">
        <v>67</v>
      </c>
      <c r="AE163">
        <v>34</v>
      </c>
      <c r="AF163">
        <v>5</v>
      </c>
      <c r="AG163">
        <v>335</v>
      </c>
      <c r="AH163">
        <v>670</v>
      </c>
      <c r="AI163">
        <v>16</v>
      </c>
      <c r="AJ163">
        <v>33</v>
      </c>
      <c r="AK163">
        <v>4</v>
      </c>
      <c r="AL163">
        <v>0</v>
      </c>
      <c r="AM163">
        <v>0</v>
      </c>
      <c r="AN163">
        <v>0</v>
      </c>
      <c r="AO163">
        <v>0</v>
      </c>
      <c r="AP163">
        <v>0</v>
      </c>
      <c r="AQ163">
        <v>0</v>
      </c>
      <c r="AR163">
        <v>84</v>
      </c>
      <c r="AS163">
        <v>42</v>
      </c>
      <c r="AT163">
        <v>5</v>
      </c>
      <c r="AU163">
        <v>420</v>
      </c>
      <c r="AV163">
        <v>840</v>
      </c>
      <c r="AW163">
        <v>21</v>
      </c>
      <c r="AX163">
        <v>42</v>
      </c>
      <c r="AY163">
        <v>14</v>
      </c>
      <c r="AZ163">
        <v>300000</v>
      </c>
      <c r="BA163">
        <v>0</v>
      </c>
      <c r="BB163">
        <v>0</v>
      </c>
      <c r="BC163">
        <v>0</v>
      </c>
      <c r="BD163">
        <v>30.227182539682541</v>
      </c>
      <c r="BE163">
        <v>21428</v>
      </c>
      <c r="BF163">
        <v>100</v>
      </c>
      <c r="BG163">
        <v>50</v>
      </c>
      <c r="BH163">
        <v>5</v>
      </c>
      <c r="BI163">
        <v>500</v>
      </c>
      <c r="BJ163">
        <v>1000</v>
      </c>
      <c r="BK163">
        <v>25</v>
      </c>
      <c r="BL163">
        <v>50</v>
      </c>
      <c r="BM163">
        <v>26</v>
      </c>
      <c r="BN163">
        <v>500000</v>
      </c>
      <c r="BO163">
        <v>0</v>
      </c>
      <c r="BP163">
        <v>0</v>
      </c>
      <c r="BQ163">
        <v>0</v>
      </c>
      <c r="BR163">
        <v>42.576666666666668</v>
      </c>
      <c r="BS163">
        <v>19230</v>
      </c>
      <c r="BT163">
        <v>134</v>
      </c>
      <c r="BU163">
        <v>67</v>
      </c>
      <c r="BV163">
        <v>5</v>
      </c>
      <c r="BW163">
        <v>670</v>
      </c>
      <c r="BX163">
        <v>1340</v>
      </c>
      <c r="BY163">
        <v>33</v>
      </c>
      <c r="BZ163">
        <v>67</v>
      </c>
      <c r="CA163">
        <v>38</v>
      </c>
      <c r="CB163">
        <v>700000</v>
      </c>
      <c r="CC163">
        <v>0</v>
      </c>
      <c r="CD163">
        <v>0</v>
      </c>
      <c r="CE163">
        <v>0</v>
      </c>
      <c r="CF163">
        <v>44.713930348258707</v>
      </c>
      <c r="CG163">
        <v>18421</v>
      </c>
      <c r="CH163">
        <v>200</v>
      </c>
      <c r="CI163">
        <v>100</v>
      </c>
      <c r="CJ163">
        <v>5</v>
      </c>
      <c r="CK163">
        <v>1000</v>
      </c>
      <c r="CL163">
        <v>2000</v>
      </c>
      <c r="CM163">
        <v>50</v>
      </c>
      <c r="CN163">
        <v>100</v>
      </c>
      <c r="CO163">
        <v>50</v>
      </c>
      <c r="CP163">
        <v>1500000</v>
      </c>
      <c r="CQ163">
        <v>0</v>
      </c>
      <c r="CR163">
        <v>0</v>
      </c>
      <c r="CS163">
        <v>0</v>
      </c>
      <c r="CT163">
        <v>63.895833333333336</v>
      </c>
      <c r="CU163">
        <v>30000</v>
      </c>
      <c r="CV163">
        <v>132</v>
      </c>
      <c r="CW163">
        <v>3000000</v>
      </c>
      <c r="CX163">
        <v>0</v>
      </c>
      <c r="CY163">
        <v>0</v>
      </c>
      <c r="CZ163">
        <v>0</v>
      </c>
      <c r="DA163">
        <v>125</v>
      </c>
      <c r="DB163">
        <v>22727.272727272728</v>
      </c>
      <c r="DD163" t="s">
        <v>890</v>
      </c>
      <c r="DE163">
        <v>8002</v>
      </c>
    </row>
    <row r="164" spans="1:109">
      <c r="A164">
        <v>8003</v>
      </c>
      <c r="B164" t="s">
        <v>891</v>
      </c>
      <c r="C164" t="s">
        <v>186</v>
      </c>
      <c r="E164" t="s">
        <v>43</v>
      </c>
      <c r="F164" t="s">
        <v>43</v>
      </c>
      <c r="H164">
        <v>1</v>
      </c>
      <c r="I164" t="s">
        <v>186</v>
      </c>
      <c r="J164">
        <v>2</v>
      </c>
      <c r="K164">
        <v>0.05</v>
      </c>
      <c r="L164">
        <v>2</v>
      </c>
      <c r="M164">
        <v>1</v>
      </c>
      <c r="N164">
        <v>42330</v>
      </c>
      <c r="O164" t="s">
        <v>206</v>
      </c>
      <c r="P164">
        <v>0</v>
      </c>
      <c r="Q164">
        <v>0</v>
      </c>
      <c r="R164">
        <v>0</v>
      </c>
      <c r="S164">
        <v>0</v>
      </c>
      <c r="T164">
        <v>0</v>
      </c>
      <c r="U164">
        <v>0</v>
      </c>
      <c r="V164">
        <v>0</v>
      </c>
      <c r="W164">
        <v>0</v>
      </c>
      <c r="X164">
        <v>0</v>
      </c>
      <c r="Y164">
        <v>0</v>
      </c>
      <c r="Z164">
        <v>0</v>
      </c>
      <c r="AA164">
        <v>0</v>
      </c>
      <c r="AB164">
        <v>0</v>
      </c>
      <c r="AC164">
        <v>0</v>
      </c>
      <c r="AD164">
        <v>67</v>
      </c>
      <c r="AE164">
        <v>34</v>
      </c>
      <c r="AF164">
        <v>5</v>
      </c>
      <c r="AG164">
        <v>335</v>
      </c>
      <c r="AH164">
        <v>670</v>
      </c>
      <c r="AI164">
        <v>16</v>
      </c>
      <c r="AJ164">
        <v>33</v>
      </c>
      <c r="AK164">
        <v>2</v>
      </c>
      <c r="AL164">
        <v>0</v>
      </c>
      <c r="AM164">
        <v>0</v>
      </c>
      <c r="AN164">
        <v>0</v>
      </c>
      <c r="AO164">
        <v>0</v>
      </c>
      <c r="AP164">
        <v>0</v>
      </c>
      <c r="AQ164">
        <v>0</v>
      </c>
      <c r="AR164">
        <v>84</v>
      </c>
      <c r="AS164">
        <v>42</v>
      </c>
      <c r="AT164">
        <v>5</v>
      </c>
      <c r="AU164">
        <v>420</v>
      </c>
      <c r="AV164">
        <v>840</v>
      </c>
      <c r="AW164">
        <v>21</v>
      </c>
      <c r="AX164">
        <v>42</v>
      </c>
      <c r="AY164">
        <v>8</v>
      </c>
      <c r="AZ164">
        <v>100000</v>
      </c>
      <c r="BA164">
        <v>0</v>
      </c>
      <c r="BB164">
        <v>0</v>
      </c>
      <c r="BC164">
        <v>0</v>
      </c>
      <c r="BD164">
        <v>10.186507936507937</v>
      </c>
      <c r="BE164">
        <v>12500</v>
      </c>
      <c r="BF164">
        <v>100</v>
      </c>
      <c r="BG164">
        <v>50</v>
      </c>
      <c r="BH164">
        <v>5</v>
      </c>
      <c r="BI164">
        <v>500</v>
      </c>
      <c r="BJ164">
        <v>1000</v>
      </c>
      <c r="BK164">
        <v>25</v>
      </c>
      <c r="BL164">
        <v>50</v>
      </c>
      <c r="BM164">
        <v>20</v>
      </c>
      <c r="BN164">
        <v>200000</v>
      </c>
      <c r="BO164">
        <v>0</v>
      </c>
      <c r="BP164">
        <v>0</v>
      </c>
      <c r="BQ164">
        <v>0</v>
      </c>
      <c r="BR164">
        <v>17.366666666666667</v>
      </c>
      <c r="BS164">
        <v>10000</v>
      </c>
      <c r="BT164">
        <v>134</v>
      </c>
      <c r="BU164">
        <v>67</v>
      </c>
      <c r="BV164">
        <v>5</v>
      </c>
      <c r="BW164">
        <v>670</v>
      </c>
      <c r="BX164">
        <v>1340</v>
      </c>
      <c r="BY164">
        <v>33</v>
      </c>
      <c r="BZ164">
        <v>67</v>
      </c>
      <c r="CA164">
        <v>32</v>
      </c>
      <c r="CB164">
        <v>300000</v>
      </c>
      <c r="CC164">
        <v>0</v>
      </c>
      <c r="CD164">
        <v>0</v>
      </c>
      <c r="CE164">
        <v>0</v>
      </c>
      <c r="CF164">
        <v>19.651741293532339</v>
      </c>
      <c r="CG164">
        <v>9375</v>
      </c>
      <c r="CH164">
        <v>200</v>
      </c>
      <c r="CI164">
        <v>100</v>
      </c>
      <c r="CJ164">
        <v>5</v>
      </c>
      <c r="CK164">
        <v>1000</v>
      </c>
      <c r="CL164">
        <v>2000</v>
      </c>
      <c r="CM164">
        <v>50</v>
      </c>
      <c r="CN164">
        <v>100</v>
      </c>
      <c r="CO164">
        <v>44</v>
      </c>
      <c r="CP164">
        <v>400000</v>
      </c>
      <c r="CQ164">
        <v>0</v>
      </c>
      <c r="CR164">
        <v>0</v>
      </c>
      <c r="CS164">
        <v>0</v>
      </c>
      <c r="CT164">
        <v>17.895</v>
      </c>
      <c r="CU164">
        <v>9090</v>
      </c>
      <c r="CV164">
        <v>106</v>
      </c>
      <c r="CW164">
        <v>1000000</v>
      </c>
      <c r="CX164">
        <v>0</v>
      </c>
      <c r="CY164">
        <v>0</v>
      </c>
      <c r="CZ164">
        <v>0</v>
      </c>
      <c r="DA164">
        <v>41.666666666666664</v>
      </c>
      <c r="DB164">
        <v>9433.9622641509432</v>
      </c>
      <c r="DD164" t="s">
        <v>891</v>
      </c>
      <c r="DE164">
        <v>8003</v>
      </c>
    </row>
    <row r="165" spans="1:109">
      <c r="A165">
        <v>8004</v>
      </c>
      <c r="B165" t="s">
        <v>892</v>
      </c>
      <c r="C165" t="s">
        <v>186</v>
      </c>
      <c r="E165" t="s">
        <v>43</v>
      </c>
      <c r="F165" t="s">
        <v>43</v>
      </c>
      <c r="H165">
        <v>1</v>
      </c>
      <c r="I165" t="s">
        <v>186</v>
      </c>
      <c r="J165">
        <v>2</v>
      </c>
      <c r="K165">
        <v>0.05</v>
      </c>
      <c r="L165">
        <v>2</v>
      </c>
      <c r="M165">
        <v>1</v>
      </c>
      <c r="N165">
        <v>42339</v>
      </c>
      <c r="O165" t="s">
        <v>206</v>
      </c>
      <c r="P165">
        <v>0</v>
      </c>
      <c r="Q165">
        <v>0</v>
      </c>
      <c r="R165">
        <v>0</v>
      </c>
      <c r="S165">
        <v>0</v>
      </c>
      <c r="T165">
        <v>0</v>
      </c>
      <c r="U165">
        <v>0</v>
      </c>
      <c r="V165">
        <v>0</v>
      </c>
      <c r="W165">
        <v>0</v>
      </c>
      <c r="X165">
        <v>0</v>
      </c>
      <c r="Y165">
        <v>0</v>
      </c>
      <c r="Z165">
        <v>0</v>
      </c>
      <c r="AA165">
        <v>0</v>
      </c>
      <c r="AB165">
        <v>0</v>
      </c>
      <c r="AC165">
        <v>0</v>
      </c>
      <c r="AD165">
        <v>67</v>
      </c>
      <c r="AE165">
        <v>34</v>
      </c>
      <c r="AF165">
        <v>5</v>
      </c>
      <c r="AG165">
        <v>335</v>
      </c>
      <c r="AH165">
        <v>670</v>
      </c>
      <c r="AI165">
        <v>16</v>
      </c>
      <c r="AJ165">
        <v>33</v>
      </c>
      <c r="AK165">
        <v>5</v>
      </c>
      <c r="AL165">
        <v>0</v>
      </c>
      <c r="AM165">
        <v>0</v>
      </c>
      <c r="AN165">
        <v>0</v>
      </c>
      <c r="AO165">
        <v>0</v>
      </c>
      <c r="AP165">
        <v>0</v>
      </c>
      <c r="AQ165">
        <v>0</v>
      </c>
      <c r="AR165">
        <v>84</v>
      </c>
      <c r="AS165">
        <v>42</v>
      </c>
      <c r="AT165">
        <v>5</v>
      </c>
      <c r="AU165">
        <v>420</v>
      </c>
      <c r="AV165">
        <v>840</v>
      </c>
      <c r="AW165">
        <v>21</v>
      </c>
      <c r="AX165">
        <v>42</v>
      </c>
      <c r="AY165">
        <v>15</v>
      </c>
      <c r="AZ165">
        <v>1000</v>
      </c>
      <c r="BA165">
        <v>0</v>
      </c>
      <c r="BB165">
        <v>0</v>
      </c>
      <c r="BC165">
        <v>0</v>
      </c>
      <c r="BD165">
        <v>0.59771825396825395</v>
      </c>
      <c r="BE165">
        <v>66</v>
      </c>
      <c r="BF165">
        <v>100</v>
      </c>
      <c r="BG165">
        <v>50</v>
      </c>
      <c r="BH165">
        <v>5</v>
      </c>
      <c r="BI165">
        <v>500</v>
      </c>
      <c r="BJ165">
        <v>1000</v>
      </c>
      <c r="BK165">
        <v>25</v>
      </c>
      <c r="BL165">
        <v>50</v>
      </c>
      <c r="BM165">
        <v>28</v>
      </c>
      <c r="BN165">
        <v>2000</v>
      </c>
      <c r="BO165">
        <v>0</v>
      </c>
      <c r="BP165">
        <v>0</v>
      </c>
      <c r="BQ165">
        <v>0</v>
      </c>
      <c r="BR165">
        <v>1.1466666666666667</v>
      </c>
      <c r="BS165">
        <v>71</v>
      </c>
      <c r="BT165">
        <v>134</v>
      </c>
      <c r="BU165">
        <v>67</v>
      </c>
      <c r="BV165">
        <v>5</v>
      </c>
      <c r="BW165">
        <v>670</v>
      </c>
      <c r="BX165">
        <v>1340</v>
      </c>
      <c r="BY165">
        <v>33</v>
      </c>
      <c r="BZ165">
        <v>67</v>
      </c>
      <c r="CA165">
        <v>42</v>
      </c>
      <c r="CB165">
        <v>3000</v>
      </c>
      <c r="CC165">
        <v>0</v>
      </c>
      <c r="CD165">
        <v>0</v>
      </c>
      <c r="CE165">
        <v>0</v>
      </c>
      <c r="CF165">
        <v>1.4925373134328357</v>
      </c>
      <c r="CG165">
        <v>71</v>
      </c>
      <c r="CH165">
        <v>200</v>
      </c>
      <c r="CI165">
        <v>100</v>
      </c>
      <c r="CJ165">
        <v>5</v>
      </c>
      <c r="CK165">
        <v>1000</v>
      </c>
      <c r="CL165">
        <v>2000</v>
      </c>
      <c r="CM165">
        <v>50</v>
      </c>
      <c r="CN165">
        <v>100</v>
      </c>
      <c r="CO165">
        <v>54</v>
      </c>
      <c r="CP165">
        <v>4000</v>
      </c>
      <c r="CQ165">
        <v>0</v>
      </c>
      <c r="CR165">
        <v>0</v>
      </c>
      <c r="CS165">
        <v>0</v>
      </c>
      <c r="CT165">
        <v>1.6741666666666666</v>
      </c>
      <c r="CU165">
        <v>74</v>
      </c>
      <c r="CV165">
        <v>144</v>
      </c>
      <c r="CW165">
        <v>10000</v>
      </c>
      <c r="CX165">
        <v>0</v>
      </c>
      <c r="CY165">
        <v>0</v>
      </c>
      <c r="CZ165">
        <v>0</v>
      </c>
      <c r="DA165">
        <v>0.41666666666666669</v>
      </c>
      <c r="DB165">
        <v>69.444444444444443</v>
      </c>
      <c r="DD165" t="s">
        <v>892</v>
      </c>
      <c r="DE165">
        <v>8004</v>
      </c>
    </row>
    <row r="166" spans="1:109">
      <c r="A166">
        <v>8005</v>
      </c>
      <c r="B166" t="s">
        <v>893</v>
      </c>
      <c r="C166" t="s">
        <v>186</v>
      </c>
      <c r="E166" t="s">
        <v>43</v>
      </c>
      <c r="F166" t="s">
        <v>43</v>
      </c>
      <c r="H166">
        <v>2</v>
      </c>
      <c r="I166" t="s">
        <v>186</v>
      </c>
      <c r="J166">
        <v>2</v>
      </c>
      <c r="K166">
        <v>0.05</v>
      </c>
      <c r="L166">
        <v>2</v>
      </c>
      <c r="M166">
        <v>1</v>
      </c>
      <c r="N166">
        <v>42339</v>
      </c>
      <c r="O166" t="s">
        <v>206</v>
      </c>
      <c r="P166">
        <v>0</v>
      </c>
      <c r="Q166">
        <v>0</v>
      </c>
      <c r="R166">
        <v>0</v>
      </c>
      <c r="S166">
        <v>0</v>
      </c>
      <c r="T166">
        <v>0</v>
      </c>
      <c r="U166">
        <v>0</v>
      </c>
      <c r="V166">
        <v>0</v>
      </c>
      <c r="W166">
        <v>0</v>
      </c>
      <c r="X166">
        <v>0</v>
      </c>
      <c r="Y166">
        <v>0</v>
      </c>
      <c r="Z166">
        <v>0</v>
      </c>
      <c r="AA166">
        <v>0</v>
      </c>
      <c r="AB166">
        <v>0</v>
      </c>
      <c r="AC166">
        <v>0</v>
      </c>
      <c r="AD166">
        <v>67</v>
      </c>
      <c r="AE166">
        <v>34</v>
      </c>
      <c r="AF166">
        <v>5</v>
      </c>
      <c r="AG166">
        <v>335</v>
      </c>
      <c r="AH166">
        <v>670</v>
      </c>
      <c r="AI166">
        <v>16</v>
      </c>
      <c r="AJ166">
        <v>33</v>
      </c>
      <c r="AK166">
        <v>5</v>
      </c>
      <c r="AL166">
        <v>0</v>
      </c>
      <c r="AM166">
        <v>0</v>
      </c>
      <c r="AN166">
        <v>0</v>
      </c>
      <c r="AO166">
        <v>0</v>
      </c>
      <c r="AP166">
        <v>0</v>
      </c>
      <c r="AQ166">
        <v>0</v>
      </c>
      <c r="AR166">
        <v>84</v>
      </c>
      <c r="AS166">
        <v>42</v>
      </c>
      <c r="AT166">
        <v>5</v>
      </c>
      <c r="AU166">
        <v>420</v>
      </c>
      <c r="AV166">
        <v>840</v>
      </c>
      <c r="AW166">
        <v>21</v>
      </c>
      <c r="AX166">
        <v>42</v>
      </c>
      <c r="AY166">
        <v>15</v>
      </c>
      <c r="AZ166">
        <v>400000</v>
      </c>
      <c r="BA166">
        <v>0</v>
      </c>
      <c r="BB166">
        <v>0</v>
      </c>
      <c r="BC166">
        <v>0</v>
      </c>
      <c r="BD166">
        <v>40.181051587301589</v>
      </c>
      <c r="BE166">
        <v>26666</v>
      </c>
      <c r="BF166">
        <v>100</v>
      </c>
      <c r="BG166">
        <v>50</v>
      </c>
      <c r="BH166">
        <v>5</v>
      </c>
      <c r="BI166">
        <v>500</v>
      </c>
      <c r="BJ166">
        <v>1000</v>
      </c>
      <c r="BK166">
        <v>25</v>
      </c>
      <c r="BL166">
        <v>50</v>
      </c>
      <c r="BM166">
        <v>28</v>
      </c>
      <c r="BN166">
        <v>800000</v>
      </c>
      <c r="BO166">
        <v>0</v>
      </c>
      <c r="BP166">
        <v>0</v>
      </c>
      <c r="BQ166">
        <v>0</v>
      </c>
      <c r="BR166">
        <v>67.646666666666661</v>
      </c>
      <c r="BS166">
        <v>28571</v>
      </c>
      <c r="BT166">
        <v>134</v>
      </c>
      <c r="BU166">
        <v>67</v>
      </c>
      <c r="BV166">
        <v>5</v>
      </c>
      <c r="BW166">
        <v>670</v>
      </c>
      <c r="BX166">
        <v>1340</v>
      </c>
      <c r="BY166">
        <v>33</v>
      </c>
      <c r="BZ166">
        <v>67</v>
      </c>
      <c r="CA166">
        <v>42</v>
      </c>
      <c r="CB166">
        <v>1200000</v>
      </c>
      <c r="CC166">
        <v>0</v>
      </c>
      <c r="CD166">
        <v>0</v>
      </c>
      <c r="CE166">
        <v>0</v>
      </c>
      <c r="CF166">
        <v>75.932835820895519</v>
      </c>
      <c r="CG166">
        <v>28571</v>
      </c>
      <c r="CH166">
        <v>200</v>
      </c>
      <c r="CI166">
        <v>100</v>
      </c>
      <c r="CJ166">
        <v>5</v>
      </c>
      <c r="CK166">
        <v>1000</v>
      </c>
      <c r="CL166">
        <v>2000</v>
      </c>
      <c r="CM166">
        <v>50</v>
      </c>
      <c r="CN166">
        <v>100</v>
      </c>
      <c r="CO166">
        <v>54</v>
      </c>
      <c r="CP166">
        <v>1600000</v>
      </c>
      <c r="CQ166">
        <v>0</v>
      </c>
      <c r="CR166">
        <v>0</v>
      </c>
      <c r="CS166">
        <v>0</v>
      </c>
      <c r="CT166">
        <v>68.174166666666665</v>
      </c>
      <c r="CU166">
        <v>29629</v>
      </c>
      <c r="CV166">
        <v>144</v>
      </c>
      <c r="CW166">
        <v>4000000</v>
      </c>
      <c r="CX166">
        <v>0</v>
      </c>
      <c r="CY166">
        <v>0</v>
      </c>
      <c r="CZ166">
        <v>0</v>
      </c>
      <c r="DA166">
        <v>166.66666666666666</v>
      </c>
      <c r="DB166">
        <v>27777.777777777777</v>
      </c>
      <c r="DD166" t="s">
        <v>893</v>
      </c>
      <c r="DE166">
        <v>8005</v>
      </c>
    </row>
    <row r="167" spans="1:109">
      <c r="A167">
        <v>8006</v>
      </c>
      <c r="B167" t="s">
        <v>894</v>
      </c>
      <c r="C167" t="s">
        <v>186</v>
      </c>
      <c r="E167" t="s">
        <v>43</v>
      </c>
      <c r="F167" t="s">
        <v>43</v>
      </c>
      <c r="H167">
        <v>2</v>
      </c>
      <c r="I167" t="s">
        <v>186</v>
      </c>
      <c r="J167">
        <v>2</v>
      </c>
      <c r="K167">
        <v>0.05</v>
      </c>
      <c r="L167">
        <v>2</v>
      </c>
      <c r="M167">
        <v>1</v>
      </c>
      <c r="N167">
        <v>42351</v>
      </c>
      <c r="O167" t="s">
        <v>206</v>
      </c>
      <c r="P167">
        <v>0</v>
      </c>
      <c r="Q167">
        <v>0</v>
      </c>
      <c r="R167">
        <v>0</v>
      </c>
      <c r="S167">
        <v>0</v>
      </c>
      <c r="T167">
        <v>0</v>
      </c>
      <c r="U167">
        <v>0</v>
      </c>
      <c r="V167">
        <v>0</v>
      </c>
      <c r="W167">
        <v>0</v>
      </c>
      <c r="X167">
        <v>0</v>
      </c>
      <c r="Y167">
        <v>0</v>
      </c>
      <c r="Z167">
        <v>0</v>
      </c>
      <c r="AA167">
        <v>0</v>
      </c>
      <c r="AB167">
        <v>0</v>
      </c>
      <c r="AC167">
        <v>0</v>
      </c>
      <c r="AD167">
        <v>67</v>
      </c>
      <c r="AE167">
        <v>34</v>
      </c>
      <c r="AF167">
        <v>5</v>
      </c>
      <c r="AG167">
        <v>335</v>
      </c>
      <c r="AH167">
        <v>670</v>
      </c>
      <c r="AI167">
        <v>16</v>
      </c>
      <c r="AJ167">
        <v>33</v>
      </c>
      <c r="AK167">
        <v>6</v>
      </c>
      <c r="AL167">
        <v>0</v>
      </c>
      <c r="AM167">
        <v>0</v>
      </c>
      <c r="AN167">
        <v>0</v>
      </c>
      <c r="AO167">
        <v>0</v>
      </c>
      <c r="AP167">
        <v>0</v>
      </c>
      <c r="AQ167">
        <v>0</v>
      </c>
      <c r="AR167">
        <v>84</v>
      </c>
      <c r="AS167">
        <v>42</v>
      </c>
      <c r="AT167">
        <v>5</v>
      </c>
      <c r="AU167">
        <v>420</v>
      </c>
      <c r="AV167">
        <v>840</v>
      </c>
      <c r="AW167">
        <v>21</v>
      </c>
      <c r="AX167">
        <v>42</v>
      </c>
      <c r="AY167">
        <v>18</v>
      </c>
      <c r="AZ167">
        <v>300000</v>
      </c>
      <c r="BA167">
        <v>0</v>
      </c>
      <c r="BB167">
        <v>0</v>
      </c>
      <c r="BC167">
        <v>0</v>
      </c>
      <c r="BD167">
        <v>30.360119047619047</v>
      </c>
      <c r="BE167">
        <v>16666</v>
      </c>
      <c r="BF167">
        <v>100</v>
      </c>
      <c r="BG167">
        <v>50</v>
      </c>
      <c r="BH167">
        <v>5</v>
      </c>
      <c r="BI167">
        <v>500</v>
      </c>
      <c r="BJ167">
        <v>1000</v>
      </c>
      <c r="BK167">
        <v>25</v>
      </c>
      <c r="BL167">
        <v>50</v>
      </c>
      <c r="BM167">
        <v>30</v>
      </c>
      <c r="BN167">
        <v>600000</v>
      </c>
      <c r="BO167">
        <v>0</v>
      </c>
      <c r="BP167">
        <v>0</v>
      </c>
      <c r="BQ167">
        <v>0</v>
      </c>
      <c r="BR167">
        <v>51.050000000000004</v>
      </c>
      <c r="BS167">
        <v>20000</v>
      </c>
      <c r="BT167">
        <v>134</v>
      </c>
      <c r="BU167">
        <v>67</v>
      </c>
      <c r="BV167">
        <v>5</v>
      </c>
      <c r="BW167">
        <v>670</v>
      </c>
      <c r="BX167">
        <v>1340</v>
      </c>
      <c r="BY167">
        <v>33</v>
      </c>
      <c r="BZ167">
        <v>67</v>
      </c>
      <c r="CA167">
        <v>42</v>
      </c>
      <c r="CB167">
        <v>900000</v>
      </c>
      <c r="CC167">
        <v>0</v>
      </c>
      <c r="CD167">
        <v>0</v>
      </c>
      <c r="CE167">
        <v>0</v>
      </c>
      <c r="CF167">
        <v>57.276119402985074</v>
      </c>
      <c r="CG167">
        <v>21428</v>
      </c>
      <c r="CH167">
        <v>200</v>
      </c>
      <c r="CI167">
        <v>100</v>
      </c>
      <c r="CJ167">
        <v>5</v>
      </c>
      <c r="CK167">
        <v>1000</v>
      </c>
      <c r="CL167">
        <v>2000</v>
      </c>
      <c r="CM167">
        <v>50</v>
      </c>
      <c r="CN167">
        <v>100</v>
      </c>
      <c r="CO167">
        <v>60</v>
      </c>
      <c r="CP167">
        <v>1200000</v>
      </c>
      <c r="CQ167">
        <v>0</v>
      </c>
      <c r="CR167">
        <v>0</v>
      </c>
      <c r="CS167">
        <v>0</v>
      </c>
      <c r="CT167">
        <v>51.675000000000004</v>
      </c>
      <c r="CU167">
        <v>20000</v>
      </c>
      <c r="CV167">
        <v>156</v>
      </c>
      <c r="CW167">
        <v>3000000</v>
      </c>
      <c r="CX167">
        <v>0</v>
      </c>
      <c r="CY167">
        <v>0</v>
      </c>
      <c r="CZ167">
        <v>0</v>
      </c>
      <c r="DA167">
        <v>125</v>
      </c>
      <c r="DB167">
        <v>19230.76923076923</v>
      </c>
      <c r="DD167" t="s">
        <v>894</v>
      </c>
      <c r="DE167">
        <v>8006</v>
      </c>
    </row>
    <row r="168" spans="1:109">
      <c r="A168">
        <v>8007</v>
      </c>
      <c r="B168" t="s">
        <v>895</v>
      </c>
      <c r="C168" t="s">
        <v>186</v>
      </c>
      <c r="E168" t="s">
        <v>43</v>
      </c>
      <c r="F168" t="s">
        <v>43</v>
      </c>
      <c r="H168">
        <v>2</v>
      </c>
      <c r="I168" t="s">
        <v>186</v>
      </c>
      <c r="J168">
        <v>2</v>
      </c>
      <c r="K168">
        <v>0.05</v>
      </c>
      <c r="L168">
        <v>2</v>
      </c>
      <c r="M168">
        <v>1</v>
      </c>
      <c r="N168">
        <v>42351</v>
      </c>
      <c r="O168" t="s">
        <v>206</v>
      </c>
      <c r="P168">
        <v>0</v>
      </c>
      <c r="Q168">
        <v>0</v>
      </c>
      <c r="R168">
        <v>0</v>
      </c>
      <c r="S168">
        <v>0</v>
      </c>
      <c r="T168">
        <v>0</v>
      </c>
      <c r="U168">
        <v>0</v>
      </c>
      <c r="V168">
        <v>0</v>
      </c>
      <c r="W168">
        <v>0</v>
      </c>
      <c r="X168">
        <v>0</v>
      </c>
      <c r="Y168">
        <v>0</v>
      </c>
      <c r="Z168">
        <v>0</v>
      </c>
      <c r="AA168">
        <v>0</v>
      </c>
      <c r="AB168">
        <v>0</v>
      </c>
      <c r="AC168">
        <v>0</v>
      </c>
      <c r="AD168">
        <v>67</v>
      </c>
      <c r="AE168">
        <v>34</v>
      </c>
      <c r="AF168">
        <v>5</v>
      </c>
      <c r="AG168">
        <v>335</v>
      </c>
      <c r="AH168">
        <v>670</v>
      </c>
      <c r="AI168">
        <v>16</v>
      </c>
      <c r="AJ168">
        <v>33</v>
      </c>
      <c r="AK168">
        <v>6</v>
      </c>
      <c r="AL168">
        <v>0</v>
      </c>
      <c r="AM168">
        <v>0</v>
      </c>
      <c r="AN168">
        <v>0</v>
      </c>
      <c r="AO168">
        <v>0</v>
      </c>
      <c r="AP168">
        <v>0</v>
      </c>
      <c r="AQ168">
        <v>0</v>
      </c>
      <c r="AR168">
        <v>84</v>
      </c>
      <c r="AS168">
        <v>42</v>
      </c>
      <c r="AT168">
        <v>5</v>
      </c>
      <c r="AU168">
        <v>420</v>
      </c>
      <c r="AV168">
        <v>840</v>
      </c>
      <c r="AW168">
        <v>21</v>
      </c>
      <c r="AX168">
        <v>42</v>
      </c>
      <c r="AY168">
        <v>18</v>
      </c>
      <c r="AZ168">
        <v>300000</v>
      </c>
      <c r="BA168">
        <v>0</v>
      </c>
      <c r="BB168">
        <v>0</v>
      </c>
      <c r="BC168">
        <v>0</v>
      </c>
      <c r="BD168">
        <v>30.360119047619047</v>
      </c>
      <c r="BE168">
        <v>16666</v>
      </c>
      <c r="BF168">
        <v>100</v>
      </c>
      <c r="BG168">
        <v>50</v>
      </c>
      <c r="BH168">
        <v>5</v>
      </c>
      <c r="BI168">
        <v>500</v>
      </c>
      <c r="BJ168">
        <v>1000</v>
      </c>
      <c r="BK168">
        <v>25</v>
      </c>
      <c r="BL168">
        <v>50</v>
      </c>
      <c r="BM168">
        <v>30</v>
      </c>
      <c r="BN168">
        <v>600000</v>
      </c>
      <c r="BO168">
        <v>0</v>
      </c>
      <c r="BP168">
        <v>0</v>
      </c>
      <c r="BQ168">
        <v>0</v>
      </c>
      <c r="BR168">
        <v>51.050000000000004</v>
      </c>
      <c r="BS168">
        <v>20000</v>
      </c>
      <c r="BT168">
        <v>134</v>
      </c>
      <c r="BU168">
        <v>67</v>
      </c>
      <c r="BV168">
        <v>5</v>
      </c>
      <c r="BW168">
        <v>670</v>
      </c>
      <c r="BX168">
        <v>1340</v>
      </c>
      <c r="BY168">
        <v>33</v>
      </c>
      <c r="BZ168">
        <v>67</v>
      </c>
      <c r="CA168">
        <v>42</v>
      </c>
      <c r="CB168">
        <v>900000</v>
      </c>
      <c r="CC168">
        <v>0</v>
      </c>
      <c r="CD168">
        <v>0</v>
      </c>
      <c r="CE168">
        <v>0</v>
      </c>
      <c r="CF168">
        <v>57.276119402985074</v>
      </c>
      <c r="CG168">
        <v>21428</v>
      </c>
      <c r="CH168">
        <v>200</v>
      </c>
      <c r="CI168">
        <v>100</v>
      </c>
      <c r="CJ168">
        <v>5</v>
      </c>
      <c r="CK168">
        <v>1000</v>
      </c>
      <c r="CL168">
        <v>2000</v>
      </c>
      <c r="CM168">
        <v>50</v>
      </c>
      <c r="CN168">
        <v>100</v>
      </c>
      <c r="CO168">
        <v>60</v>
      </c>
      <c r="CP168">
        <v>1200000</v>
      </c>
      <c r="CQ168">
        <v>0</v>
      </c>
      <c r="CR168">
        <v>0</v>
      </c>
      <c r="CS168">
        <v>0</v>
      </c>
      <c r="CT168">
        <v>51.675000000000004</v>
      </c>
      <c r="CU168">
        <v>20000</v>
      </c>
      <c r="CV168">
        <v>156</v>
      </c>
      <c r="CW168">
        <v>3000000</v>
      </c>
      <c r="CX168">
        <v>0</v>
      </c>
      <c r="CY168">
        <v>0</v>
      </c>
      <c r="CZ168">
        <v>0</v>
      </c>
      <c r="DA168">
        <v>125</v>
      </c>
      <c r="DB168">
        <v>19230.76923076923</v>
      </c>
      <c r="DD168" t="s">
        <v>895</v>
      </c>
      <c r="DE168">
        <v>8007</v>
      </c>
    </row>
    <row r="169" spans="1:109">
      <c r="A169">
        <v>8008</v>
      </c>
      <c r="B169" t="s">
        <v>896</v>
      </c>
      <c r="C169" t="s">
        <v>186</v>
      </c>
      <c r="E169" t="s">
        <v>43</v>
      </c>
      <c r="F169" t="s">
        <v>43</v>
      </c>
      <c r="H169">
        <v>1</v>
      </c>
      <c r="I169" t="s">
        <v>186</v>
      </c>
      <c r="J169">
        <v>2</v>
      </c>
      <c r="K169">
        <v>0.05</v>
      </c>
      <c r="L169">
        <v>2</v>
      </c>
      <c r="M169">
        <v>1</v>
      </c>
      <c r="N169">
        <v>42364</v>
      </c>
      <c r="O169" t="s">
        <v>206</v>
      </c>
      <c r="P169">
        <v>0</v>
      </c>
      <c r="Q169">
        <v>0</v>
      </c>
      <c r="R169">
        <v>0</v>
      </c>
      <c r="S169">
        <v>0</v>
      </c>
      <c r="T169">
        <v>0</v>
      </c>
      <c r="U169">
        <v>0</v>
      </c>
      <c r="V169">
        <v>0</v>
      </c>
      <c r="W169">
        <v>0</v>
      </c>
      <c r="X169">
        <v>0</v>
      </c>
      <c r="Y169">
        <v>0</v>
      </c>
      <c r="Z169">
        <v>0</v>
      </c>
      <c r="AA169">
        <v>0</v>
      </c>
      <c r="AB169">
        <v>0</v>
      </c>
      <c r="AC169">
        <v>0</v>
      </c>
      <c r="AD169">
        <v>67</v>
      </c>
      <c r="AE169">
        <v>34</v>
      </c>
      <c r="AF169">
        <v>5</v>
      </c>
      <c r="AG169">
        <v>335</v>
      </c>
      <c r="AH169">
        <v>670</v>
      </c>
      <c r="AI169">
        <v>16</v>
      </c>
      <c r="AJ169">
        <v>33</v>
      </c>
      <c r="AK169">
        <v>3</v>
      </c>
      <c r="AL169">
        <v>0</v>
      </c>
      <c r="AM169">
        <v>0</v>
      </c>
      <c r="AN169">
        <v>0</v>
      </c>
      <c r="AO169">
        <v>0</v>
      </c>
      <c r="AP169">
        <v>0</v>
      </c>
      <c r="AQ169">
        <v>0</v>
      </c>
      <c r="AR169">
        <v>84</v>
      </c>
      <c r="AS169">
        <v>42</v>
      </c>
      <c r="AT169">
        <v>5</v>
      </c>
      <c r="AU169">
        <v>420</v>
      </c>
      <c r="AV169">
        <v>840</v>
      </c>
      <c r="AW169">
        <v>21</v>
      </c>
      <c r="AX169">
        <v>42</v>
      </c>
      <c r="AY169">
        <v>12</v>
      </c>
      <c r="AZ169">
        <v>10</v>
      </c>
      <c r="BA169">
        <v>0</v>
      </c>
      <c r="BB169">
        <v>0</v>
      </c>
      <c r="BC169">
        <v>0</v>
      </c>
      <c r="BD169">
        <v>0.39980158730158727</v>
      </c>
      <c r="BE169">
        <v>0</v>
      </c>
      <c r="BF169">
        <v>100</v>
      </c>
      <c r="BG169">
        <v>50</v>
      </c>
      <c r="BH169">
        <v>5</v>
      </c>
      <c r="BI169">
        <v>500</v>
      </c>
      <c r="BJ169">
        <v>1000</v>
      </c>
      <c r="BK169">
        <v>25</v>
      </c>
      <c r="BL169">
        <v>50</v>
      </c>
      <c r="BM169">
        <v>18</v>
      </c>
      <c r="BN169">
        <v>20</v>
      </c>
      <c r="BO169">
        <v>0</v>
      </c>
      <c r="BP169">
        <v>0</v>
      </c>
      <c r="BQ169">
        <v>0</v>
      </c>
      <c r="BR169">
        <v>0.63166666666666671</v>
      </c>
      <c r="BS169">
        <v>1</v>
      </c>
      <c r="BT169">
        <v>134</v>
      </c>
      <c r="BU169">
        <v>67</v>
      </c>
      <c r="BV169">
        <v>5</v>
      </c>
      <c r="BW169">
        <v>670</v>
      </c>
      <c r="BX169">
        <v>1340</v>
      </c>
      <c r="BY169">
        <v>33</v>
      </c>
      <c r="BZ169">
        <v>67</v>
      </c>
      <c r="CA169">
        <v>27</v>
      </c>
      <c r="CB169">
        <v>30</v>
      </c>
      <c r="CC169">
        <v>0</v>
      </c>
      <c r="CD169">
        <v>0</v>
      </c>
      <c r="CE169">
        <v>0</v>
      </c>
      <c r="CF169">
        <v>0.84141791044776115</v>
      </c>
      <c r="CG169">
        <v>1</v>
      </c>
      <c r="CH169">
        <v>200</v>
      </c>
      <c r="CI169">
        <v>100</v>
      </c>
      <c r="CJ169">
        <v>5</v>
      </c>
      <c r="CK169">
        <v>1000</v>
      </c>
      <c r="CL169">
        <v>2000</v>
      </c>
      <c r="CM169">
        <v>50</v>
      </c>
      <c r="CN169">
        <v>100</v>
      </c>
      <c r="CO169">
        <v>36</v>
      </c>
      <c r="CP169">
        <v>40</v>
      </c>
      <c r="CQ169">
        <v>0</v>
      </c>
      <c r="CR169">
        <v>0</v>
      </c>
      <c r="CS169">
        <v>0</v>
      </c>
      <c r="CT169">
        <v>1.0066666666666666</v>
      </c>
      <c r="CU169">
        <v>1</v>
      </c>
      <c r="CV169">
        <v>96</v>
      </c>
      <c r="CW169">
        <v>100</v>
      </c>
      <c r="CX169">
        <v>0</v>
      </c>
      <c r="CY169">
        <v>0</v>
      </c>
      <c r="CZ169">
        <v>0</v>
      </c>
      <c r="DA169">
        <v>4.1666666666666666E-3</v>
      </c>
      <c r="DB169">
        <v>1.0416666666666667</v>
      </c>
      <c r="DD169" t="s">
        <v>896</v>
      </c>
      <c r="DE169">
        <v>8008</v>
      </c>
    </row>
    <row r="170" spans="1:109">
      <c r="A170">
        <v>8009</v>
      </c>
      <c r="B170" t="s">
        <v>897</v>
      </c>
      <c r="C170" t="s">
        <v>186</v>
      </c>
      <c r="E170" t="s">
        <v>43</v>
      </c>
      <c r="F170" t="s">
        <v>43</v>
      </c>
      <c r="H170">
        <v>2</v>
      </c>
      <c r="I170" t="s">
        <v>186</v>
      </c>
      <c r="J170">
        <v>2</v>
      </c>
      <c r="K170">
        <v>0.05</v>
      </c>
      <c r="L170">
        <v>2</v>
      </c>
      <c r="M170">
        <v>1</v>
      </c>
      <c r="N170">
        <v>42364</v>
      </c>
      <c r="O170" t="s">
        <v>206</v>
      </c>
      <c r="P170">
        <v>0</v>
      </c>
      <c r="Q170">
        <v>0</v>
      </c>
      <c r="R170">
        <v>0</v>
      </c>
      <c r="S170">
        <v>0</v>
      </c>
      <c r="T170">
        <v>0</v>
      </c>
      <c r="U170">
        <v>0</v>
      </c>
      <c r="V170">
        <v>0</v>
      </c>
      <c r="W170">
        <v>0</v>
      </c>
      <c r="X170">
        <v>0</v>
      </c>
      <c r="Y170">
        <v>0</v>
      </c>
      <c r="Z170">
        <v>0</v>
      </c>
      <c r="AA170">
        <v>0</v>
      </c>
      <c r="AB170">
        <v>0</v>
      </c>
      <c r="AC170">
        <v>0</v>
      </c>
      <c r="AD170">
        <v>67</v>
      </c>
      <c r="AE170">
        <v>34</v>
      </c>
      <c r="AF170">
        <v>5</v>
      </c>
      <c r="AG170">
        <v>335</v>
      </c>
      <c r="AH170">
        <v>670</v>
      </c>
      <c r="AI170">
        <v>16</v>
      </c>
      <c r="AJ170">
        <v>33</v>
      </c>
      <c r="AK170">
        <v>3</v>
      </c>
      <c r="AL170">
        <v>0</v>
      </c>
      <c r="AM170">
        <v>0</v>
      </c>
      <c r="AN170">
        <v>0</v>
      </c>
      <c r="AO170">
        <v>0</v>
      </c>
      <c r="AP170">
        <v>0</v>
      </c>
      <c r="AQ170">
        <v>0</v>
      </c>
      <c r="AR170">
        <v>84</v>
      </c>
      <c r="AS170">
        <v>42</v>
      </c>
      <c r="AT170">
        <v>5</v>
      </c>
      <c r="AU170">
        <v>420</v>
      </c>
      <c r="AV170">
        <v>840</v>
      </c>
      <c r="AW170">
        <v>21</v>
      </c>
      <c r="AX170">
        <v>42</v>
      </c>
      <c r="AY170">
        <v>12</v>
      </c>
      <c r="AZ170">
        <v>10</v>
      </c>
      <c r="BA170">
        <v>0</v>
      </c>
      <c r="BB170">
        <v>0</v>
      </c>
      <c r="BC170">
        <v>0</v>
      </c>
      <c r="BD170">
        <v>0.39980158730158727</v>
      </c>
      <c r="BE170">
        <v>0</v>
      </c>
      <c r="BF170">
        <v>100</v>
      </c>
      <c r="BG170">
        <v>50</v>
      </c>
      <c r="BH170">
        <v>5</v>
      </c>
      <c r="BI170">
        <v>500</v>
      </c>
      <c r="BJ170">
        <v>1000</v>
      </c>
      <c r="BK170">
        <v>25</v>
      </c>
      <c r="BL170">
        <v>50</v>
      </c>
      <c r="BM170">
        <v>18</v>
      </c>
      <c r="BN170">
        <v>20</v>
      </c>
      <c r="BO170">
        <v>0</v>
      </c>
      <c r="BP170">
        <v>0</v>
      </c>
      <c r="BQ170">
        <v>0</v>
      </c>
      <c r="BR170">
        <v>0.63166666666666671</v>
      </c>
      <c r="BS170">
        <v>1</v>
      </c>
      <c r="BT170">
        <v>134</v>
      </c>
      <c r="BU170">
        <v>67</v>
      </c>
      <c r="BV170">
        <v>5</v>
      </c>
      <c r="BW170">
        <v>670</v>
      </c>
      <c r="BX170">
        <v>1340</v>
      </c>
      <c r="BY170">
        <v>33</v>
      </c>
      <c r="BZ170">
        <v>67</v>
      </c>
      <c r="CA170">
        <v>27</v>
      </c>
      <c r="CB170">
        <v>30</v>
      </c>
      <c r="CC170">
        <v>0</v>
      </c>
      <c r="CD170">
        <v>0</v>
      </c>
      <c r="CE170">
        <v>0</v>
      </c>
      <c r="CF170">
        <v>0.84141791044776115</v>
      </c>
      <c r="CG170">
        <v>1</v>
      </c>
      <c r="CH170">
        <v>200</v>
      </c>
      <c r="CI170">
        <v>100</v>
      </c>
      <c r="CJ170">
        <v>5</v>
      </c>
      <c r="CK170">
        <v>1000</v>
      </c>
      <c r="CL170">
        <v>2000</v>
      </c>
      <c r="CM170">
        <v>50</v>
      </c>
      <c r="CN170">
        <v>100</v>
      </c>
      <c r="CO170">
        <v>36</v>
      </c>
      <c r="CP170">
        <v>40</v>
      </c>
      <c r="CQ170">
        <v>0</v>
      </c>
      <c r="CR170">
        <v>0</v>
      </c>
      <c r="CS170">
        <v>0</v>
      </c>
      <c r="CT170">
        <v>1.0066666666666666</v>
      </c>
      <c r="CU170">
        <v>1</v>
      </c>
      <c r="CV170">
        <v>96</v>
      </c>
      <c r="CW170">
        <v>100</v>
      </c>
      <c r="CX170">
        <v>0</v>
      </c>
      <c r="CY170">
        <v>0</v>
      </c>
      <c r="CZ170">
        <v>0</v>
      </c>
      <c r="DA170">
        <v>4.1666666666666666E-3</v>
      </c>
      <c r="DB170">
        <v>1.0416666666666667</v>
      </c>
      <c r="DD170" t="s">
        <v>897</v>
      </c>
      <c r="DE170">
        <v>8009</v>
      </c>
    </row>
    <row r="171" spans="1:109">
      <c r="A171">
        <v>8010</v>
      </c>
      <c r="B171" t="s">
        <v>898</v>
      </c>
      <c r="C171" t="s">
        <v>186</v>
      </c>
      <c r="E171" t="s">
        <v>43</v>
      </c>
      <c r="F171" t="s">
        <v>43</v>
      </c>
      <c r="H171">
        <v>1</v>
      </c>
      <c r="I171" t="s">
        <v>186</v>
      </c>
      <c r="J171">
        <v>2</v>
      </c>
      <c r="K171">
        <v>0.05</v>
      </c>
      <c r="L171">
        <v>2</v>
      </c>
      <c r="M171">
        <v>1</v>
      </c>
      <c r="N171">
        <v>42370</v>
      </c>
      <c r="O171" t="s">
        <v>206</v>
      </c>
      <c r="P171">
        <v>0</v>
      </c>
      <c r="Q171">
        <v>0</v>
      </c>
      <c r="R171">
        <v>0</v>
      </c>
      <c r="S171">
        <v>0</v>
      </c>
      <c r="T171">
        <v>0</v>
      </c>
      <c r="U171">
        <v>0</v>
      </c>
      <c r="V171">
        <v>0</v>
      </c>
      <c r="W171">
        <v>0</v>
      </c>
      <c r="X171">
        <v>0</v>
      </c>
      <c r="Y171">
        <v>0</v>
      </c>
      <c r="Z171">
        <v>0</v>
      </c>
      <c r="AA171">
        <v>0</v>
      </c>
      <c r="AB171">
        <v>0</v>
      </c>
      <c r="AC171">
        <v>0</v>
      </c>
      <c r="AD171">
        <v>67</v>
      </c>
      <c r="AE171">
        <v>34</v>
      </c>
      <c r="AF171">
        <v>5</v>
      </c>
      <c r="AG171">
        <v>335</v>
      </c>
      <c r="AH171">
        <v>670</v>
      </c>
      <c r="AI171">
        <v>16</v>
      </c>
      <c r="AJ171">
        <v>33</v>
      </c>
      <c r="AK171">
        <v>4</v>
      </c>
      <c r="AL171">
        <v>0</v>
      </c>
      <c r="AM171">
        <v>0</v>
      </c>
      <c r="AN171">
        <v>0</v>
      </c>
      <c r="AO171">
        <v>0</v>
      </c>
      <c r="AP171">
        <v>0</v>
      </c>
      <c r="AQ171">
        <v>0</v>
      </c>
      <c r="AR171">
        <v>84</v>
      </c>
      <c r="AS171">
        <v>42</v>
      </c>
      <c r="AT171">
        <v>5</v>
      </c>
      <c r="AU171">
        <v>420</v>
      </c>
      <c r="AV171">
        <v>840</v>
      </c>
      <c r="AW171">
        <v>21</v>
      </c>
      <c r="AX171">
        <v>42</v>
      </c>
      <c r="AY171">
        <v>20</v>
      </c>
      <c r="AZ171">
        <v>10</v>
      </c>
      <c r="BA171">
        <v>0</v>
      </c>
      <c r="BB171">
        <v>0</v>
      </c>
      <c r="BC171">
        <v>0</v>
      </c>
      <c r="BD171">
        <v>0.66567460317460314</v>
      </c>
      <c r="BE171">
        <v>0</v>
      </c>
      <c r="BF171">
        <v>100</v>
      </c>
      <c r="BG171">
        <v>50</v>
      </c>
      <c r="BH171">
        <v>5</v>
      </c>
      <c r="BI171">
        <v>500</v>
      </c>
      <c r="BJ171">
        <v>1000</v>
      </c>
      <c r="BK171">
        <v>25</v>
      </c>
      <c r="BL171">
        <v>50</v>
      </c>
      <c r="BM171">
        <v>34</v>
      </c>
      <c r="BN171">
        <v>20</v>
      </c>
      <c r="BO171">
        <v>0</v>
      </c>
      <c r="BP171">
        <v>0</v>
      </c>
      <c r="BQ171">
        <v>0</v>
      </c>
      <c r="BR171">
        <v>1.1916666666666667</v>
      </c>
      <c r="BS171">
        <v>0</v>
      </c>
      <c r="BT171">
        <v>134</v>
      </c>
      <c r="BU171">
        <v>67</v>
      </c>
      <c r="BV171">
        <v>5</v>
      </c>
      <c r="BW171">
        <v>670</v>
      </c>
      <c r="BX171">
        <v>1340</v>
      </c>
      <c r="BY171">
        <v>33</v>
      </c>
      <c r="BZ171">
        <v>67</v>
      </c>
      <c r="CA171">
        <v>48</v>
      </c>
      <c r="CB171">
        <v>30</v>
      </c>
      <c r="CC171">
        <v>0</v>
      </c>
      <c r="CD171">
        <v>0</v>
      </c>
      <c r="CE171">
        <v>0</v>
      </c>
      <c r="CF171">
        <v>1.494402985074627</v>
      </c>
      <c r="CG171">
        <v>0</v>
      </c>
      <c r="CH171">
        <v>200</v>
      </c>
      <c r="CI171">
        <v>100</v>
      </c>
      <c r="CJ171">
        <v>5</v>
      </c>
      <c r="CK171">
        <v>1000</v>
      </c>
      <c r="CL171">
        <v>2000</v>
      </c>
      <c r="CM171">
        <v>50</v>
      </c>
      <c r="CN171">
        <v>100</v>
      </c>
      <c r="CO171">
        <v>62</v>
      </c>
      <c r="CP171">
        <v>40</v>
      </c>
      <c r="CQ171">
        <v>0</v>
      </c>
      <c r="CR171">
        <v>0</v>
      </c>
      <c r="CS171">
        <v>0</v>
      </c>
      <c r="CT171">
        <v>1.7324999999999999</v>
      </c>
      <c r="CU171">
        <v>0</v>
      </c>
      <c r="CV171">
        <v>168</v>
      </c>
      <c r="CW171">
        <v>100</v>
      </c>
      <c r="CX171">
        <v>0</v>
      </c>
      <c r="CY171">
        <v>0</v>
      </c>
      <c r="CZ171">
        <v>0</v>
      </c>
      <c r="DA171">
        <v>4.1666666666666666E-3</v>
      </c>
      <c r="DB171">
        <v>0.59523809523809523</v>
      </c>
      <c r="DD171" t="s">
        <v>898</v>
      </c>
      <c r="DE171">
        <v>8010</v>
      </c>
    </row>
    <row r="172" spans="1:109">
      <c r="A172">
        <v>8011</v>
      </c>
      <c r="B172" t="s">
        <v>899</v>
      </c>
      <c r="C172" t="s">
        <v>186</v>
      </c>
      <c r="E172" t="s">
        <v>43</v>
      </c>
      <c r="F172" t="s">
        <v>43</v>
      </c>
      <c r="H172">
        <v>2</v>
      </c>
      <c r="I172" t="s">
        <v>186</v>
      </c>
      <c r="J172">
        <v>2</v>
      </c>
      <c r="K172">
        <v>0.05</v>
      </c>
      <c r="L172">
        <v>2</v>
      </c>
      <c r="M172">
        <v>1</v>
      </c>
      <c r="N172">
        <v>42370</v>
      </c>
      <c r="O172" t="s">
        <v>206</v>
      </c>
      <c r="P172">
        <v>0</v>
      </c>
      <c r="Q172">
        <v>0</v>
      </c>
      <c r="R172">
        <v>0</v>
      </c>
      <c r="S172">
        <v>0</v>
      </c>
      <c r="T172">
        <v>0</v>
      </c>
      <c r="U172">
        <v>0</v>
      </c>
      <c r="V172">
        <v>0</v>
      </c>
      <c r="W172">
        <v>0</v>
      </c>
      <c r="X172">
        <v>0</v>
      </c>
      <c r="Y172">
        <v>0</v>
      </c>
      <c r="Z172">
        <v>0</v>
      </c>
      <c r="AA172">
        <v>0</v>
      </c>
      <c r="AB172">
        <v>0</v>
      </c>
      <c r="AC172">
        <v>0</v>
      </c>
      <c r="AD172">
        <v>67</v>
      </c>
      <c r="AE172">
        <v>34</v>
      </c>
      <c r="AF172">
        <v>5</v>
      </c>
      <c r="AG172">
        <v>335</v>
      </c>
      <c r="AH172">
        <v>670</v>
      </c>
      <c r="AI172">
        <v>16</v>
      </c>
      <c r="AJ172">
        <v>33</v>
      </c>
      <c r="AK172">
        <v>4</v>
      </c>
      <c r="AL172">
        <v>0</v>
      </c>
      <c r="AM172">
        <v>0</v>
      </c>
      <c r="AN172">
        <v>0</v>
      </c>
      <c r="AO172">
        <v>0</v>
      </c>
      <c r="AP172">
        <v>0</v>
      </c>
      <c r="AQ172">
        <v>0</v>
      </c>
      <c r="AR172">
        <v>84</v>
      </c>
      <c r="AS172">
        <v>42</v>
      </c>
      <c r="AT172">
        <v>5</v>
      </c>
      <c r="AU172">
        <v>420</v>
      </c>
      <c r="AV172">
        <v>840</v>
      </c>
      <c r="AW172">
        <v>21</v>
      </c>
      <c r="AX172">
        <v>42</v>
      </c>
      <c r="AY172">
        <v>20</v>
      </c>
      <c r="AZ172">
        <v>10</v>
      </c>
      <c r="BA172">
        <v>0</v>
      </c>
      <c r="BB172">
        <v>0</v>
      </c>
      <c r="BC172">
        <v>0</v>
      </c>
      <c r="BD172">
        <v>0.66567460317460314</v>
      </c>
      <c r="BE172">
        <v>0</v>
      </c>
      <c r="BF172">
        <v>100</v>
      </c>
      <c r="BG172">
        <v>50</v>
      </c>
      <c r="BH172">
        <v>5</v>
      </c>
      <c r="BI172">
        <v>500</v>
      </c>
      <c r="BJ172">
        <v>1000</v>
      </c>
      <c r="BK172">
        <v>25</v>
      </c>
      <c r="BL172">
        <v>50</v>
      </c>
      <c r="BM172">
        <v>34</v>
      </c>
      <c r="BN172">
        <v>20</v>
      </c>
      <c r="BO172">
        <v>0</v>
      </c>
      <c r="BP172">
        <v>0</v>
      </c>
      <c r="BQ172">
        <v>0</v>
      </c>
      <c r="BR172">
        <v>1.1916666666666667</v>
      </c>
      <c r="BS172">
        <v>0</v>
      </c>
      <c r="BT172">
        <v>134</v>
      </c>
      <c r="BU172">
        <v>67</v>
      </c>
      <c r="BV172">
        <v>5</v>
      </c>
      <c r="BW172">
        <v>670</v>
      </c>
      <c r="BX172">
        <v>1340</v>
      </c>
      <c r="BY172">
        <v>33</v>
      </c>
      <c r="BZ172">
        <v>67</v>
      </c>
      <c r="CA172">
        <v>48</v>
      </c>
      <c r="CB172">
        <v>30</v>
      </c>
      <c r="CC172">
        <v>0</v>
      </c>
      <c r="CD172">
        <v>0</v>
      </c>
      <c r="CE172">
        <v>0</v>
      </c>
      <c r="CF172">
        <v>1.494402985074627</v>
      </c>
      <c r="CG172">
        <v>0</v>
      </c>
      <c r="CH172">
        <v>200</v>
      </c>
      <c r="CI172">
        <v>100</v>
      </c>
      <c r="CJ172">
        <v>5</v>
      </c>
      <c r="CK172">
        <v>1000</v>
      </c>
      <c r="CL172">
        <v>2000</v>
      </c>
      <c r="CM172">
        <v>50</v>
      </c>
      <c r="CN172">
        <v>100</v>
      </c>
      <c r="CO172">
        <v>62</v>
      </c>
      <c r="CP172">
        <v>40</v>
      </c>
      <c r="CQ172">
        <v>0</v>
      </c>
      <c r="CR172">
        <v>0</v>
      </c>
      <c r="CS172">
        <v>0</v>
      </c>
      <c r="CT172">
        <v>1.7324999999999999</v>
      </c>
      <c r="CU172">
        <v>0</v>
      </c>
      <c r="CV172">
        <v>168</v>
      </c>
      <c r="CW172">
        <v>100</v>
      </c>
      <c r="CX172">
        <v>0</v>
      </c>
      <c r="CY172">
        <v>0</v>
      </c>
      <c r="CZ172">
        <v>0</v>
      </c>
      <c r="DA172">
        <v>4.1666666666666666E-3</v>
      </c>
      <c r="DB172">
        <v>0.59523809523809523</v>
      </c>
      <c r="DD172" t="s">
        <v>899</v>
      </c>
      <c r="DE172">
        <v>8011</v>
      </c>
    </row>
    <row r="173" spans="1:109">
      <c r="A173">
        <v>8012</v>
      </c>
      <c r="B173" t="s">
        <v>900</v>
      </c>
      <c r="C173" t="s">
        <v>186</v>
      </c>
      <c r="E173" t="s">
        <v>43</v>
      </c>
      <c r="F173" t="s">
        <v>43</v>
      </c>
      <c r="H173">
        <v>1</v>
      </c>
      <c r="I173" t="s">
        <v>186</v>
      </c>
      <c r="J173">
        <v>2</v>
      </c>
      <c r="K173">
        <v>0.05</v>
      </c>
      <c r="L173">
        <v>2</v>
      </c>
      <c r="M173">
        <v>1</v>
      </c>
      <c r="N173">
        <v>42385</v>
      </c>
      <c r="O173" t="s">
        <v>206</v>
      </c>
      <c r="P173">
        <v>0</v>
      </c>
      <c r="Q173">
        <v>0</v>
      </c>
      <c r="R173">
        <v>0</v>
      </c>
      <c r="S173">
        <v>0</v>
      </c>
      <c r="T173">
        <v>0</v>
      </c>
      <c r="U173">
        <v>0</v>
      </c>
      <c r="V173">
        <v>0</v>
      </c>
      <c r="W173">
        <v>0</v>
      </c>
      <c r="X173">
        <v>0</v>
      </c>
      <c r="Y173">
        <v>0</v>
      </c>
      <c r="Z173">
        <v>0</v>
      </c>
      <c r="AA173">
        <v>0</v>
      </c>
      <c r="AB173">
        <v>0</v>
      </c>
      <c r="AC173">
        <v>0</v>
      </c>
      <c r="AD173">
        <v>67</v>
      </c>
      <c r="AE173">
        <v>34</v>
      </c>
      <c r="AF173">
        <v>5</v>
      </c>
      <c r="AG173">
        <v>335</v>
      </c>
      <c r="AH173">
        <v>670</v>
      </c>
      <c r="AI173">
        <v>16</v>
      </c>
      <c r="AJ173">
        <v>33</v>
      </c>
      <c r="AK173">
        <v>6</v>
      </c>
      <c r="AL173">
        <v>0</v>
      </c>
      <c r="AM173">
        <v>0</v>
      </c>
      <c r="AN173">
        <v>0</v>
      </c>
      <c r="AO173">
        <v>0</v>
      </c>
      <c r="AP173">
        <v>0</v>
      </c>
      <c r="AQ173">
        <v>0</v>
      </c>
      <c r="AR173">
        <v>84</v>
      </c>
      <c r="AS173">
        <v>42</v>
      </c>
      <c r="AT173">
        <v>5</v>
      </c>
      <c r="AU173">
        <v>420</v>
      </c>
      <c r="AV173">
        <v>840</v>
      </c>
      <c r="AW173">
        <v>21</v>
      </c>
      <c r="AX173">
        <v>42</v>
      </c>
      <c r="AY173">
        <v>20</v>
      </c>
      <c r="AZ173">
        <v>10</v>
      </c>
      <c r="BA173">
        <v>0</v>
      </c>
      <c r="BB173">
        <v>0</v>
      </c>
      <c r="BC173">
        <v>0</v>
      </c>
      <c r="BD173">
        <v>0.66567460317460314</v>
      </c>
      <c r="BE173">
        <v>0</v>
      </c>
      <c r="BF173">
        <v>100</v>
      </c>
      <c r="BG173">
        <v>50</v>
      </c>
      <c r="BH173">
        <v>5</v>
      </c>
      <c r="BI173">
        <v>500</v>
      </c>
      <c r="BJ173">
        <v>1000</v>
      </c>
      <c r="BK173">
        <v>25</v>
      </c>
      <c r="BL173">
        <v>50</v>
      </c>
      <c r="BM173">
        <v>34</v>
      </c>
      <c r="BN173">
        <v>20</v>
      </c>
      <c r="BO173">
        <v>0</v>
      </c>
      <c r="BP173">
        <v>0</v>
      </c>
      <c r="BQ173">
        <v>0</v>
      </c>
      <c r="BR173">
        <v>1.1916666666666667</v>
      </c>
      <c r="BS173">
        <v>0</v>
      </c>
      <c r="BT173">
        <v>134</v>
      </c>
      <c r="BU173">
        <v>67</v>
      </c>
      <c r="BV173">
        <v>5</v>
      </c>
      <c r="BW173">
        <v>670</v>
      </c>
      <c r="BX173">
        <v>1340</v>
      </c>
      <c r="BY173">
        <v>33</v>
      </c>
      <c r="BZ173">
        <v>67</v>
      </c>
      <c r="CA173">
        <v>48</v>
      </c>
      <c r="CB173">
        <v>30</v>
      </c>
      <c r="CC173">
        <v>0</v>
      </c>
      <c r="CD173">
        <v>0</v>
      </c>
      <c r="CE173">
        <v>0</v>
      </c>
      <c r="CF173">
        <v>1.494402985074627</v>
      </c>
      <c r="CG173">
        <v>0</v>
      </c>
      <c r="CH173">
        <v>200</v>
      </c>
      <c r="CI173">
        <v>100</v>
      </c>
      <c r="CJ173">
        <v>5</v>
      </c>
      <c r="CK173">
        <v>1000</v>
      </c>
      <c r="CL173">
        <v>2000</v>
      </c>
      <c r="CM173">
        <v>50</v>
      </c>
      <c r="CN173">
        <v>100</v>
      </c>
      <c r="CO173">
        <v>60</v>
      </c>
      <c r="CP173">
        <v>40</v>
      </c>
      <c r="CQ173">
        <v>0</v>
      </c>
      <c r="CR173">
        <v>0</v>
      </c>
      <c r="CS173">
        <v>0</v>
      </c>
      <c r="CT173">
        <v>1.6766666666666667</v>
      </c>
      <c r="CU173">
        <v>0</v>
      </c>
      <c r="CV173">
        <v>168</v>
      </c>
      <c r="CW173">
        <v>100</v>
      </c>
      <c r="CX173">
        <v>0</v>
      </c>
      <c r="CY173">
        <v>0</v>
      </c>
      <c r="CZ173">
        <v>0</v>
      </c>
      <c r="DA173">
        <v>4.1666666666666666E-3</v>
      </c>
      <c r="DB173">
        <v>0.59523809523809523</v>
      </c>
      <c r="DD173" t="s">
        <v>900</v>
      </c>
      <c r="DE173">
        <v>8012</v>
      </c>
    </row>
    <row r="174" spans="1:109">
      <c r="A174">
        <v>8013</v>
      </c>
      <c r="B174" t="s">
        <v>901</v>
      </c>
      <c r="C174" t="s">
        <v>186</v>
      </c>
      <c r="E174" t="s">
        <v>43</v>
      </c>
      <c r="F174" t="s">
        <v>43</v>
      </c>
      <c r="H174">
        <v>2</v>
      </c>
      <c r="I174" t="s">
        <v>186</v>
      </c>
      <c r="J174">
        <v>2</v>
      </c>
      <c r="K174">
        <v>0.05</v>
      </c>
      <c r="L174">
        <v>2</v>
      </c>
      <c r="M174">
        <v>1</v>
      </c>
      <c r="N174">
        <v>42385</v>
      </c>
      <c r="O174" t="s">
        <v>206</v>
      </c>
      <c r="P174">
        <v>0</v>
      </c>
      <c r="Q174">
        <v>0</v>
      </c>
      <c r="R174">
        <v>0</v>
      </c>
      <c r="S174">
        <v>0</v>
      </c>
      <c r="T174">
        <v>0</v>
      </c>
      <c r="U174">
        <v>0</v>
      </c>
      <c r="V174">
        <v>0</v>
      </c>
      <c r="W174">
        <v>0</v>
      </c>
      <c r="X174">
        <v>0</v>
      </c>
      <c r="Y174">
        <v>0</v>
      </c>
      <c r="Z174">
        <v>0</v>
      </c>
      <c r="AA174">
        <v>0</v>
      </c>
      <c r="AB174">
        <v>0</v>
      </c>
      <c r="AC174">
        <v>0</v>
      </c>
      <c r="AD174">
        <v>67</v>
      </c>
      <c r="AE174">
        <v>34</v>
      </c>
      <c r="AF174">
        <v>5</v>
      </c>
      <c r="AG174">
        <v>335</v>
      </c>
      <c r="AH174">
        <v>670</v>
      </c>
      <c r="AI174">
        <v>16</v>
      </c>
      <c r="AJ174">
        <v>33</v>
      </c>
      <c r="AK174">
        <v>6</v>
      </c>
      <c r="AL174">
        <v>0</v>
      </c>
      <c r="AM174">
        <v>0</v>
      </c>
      <c r="AN174">
        <v>0</v>
      </c>
      <c r="AO174">
        <v>0</v>
      </c>
      <c r="AP174">
        <v>0</v>
      </c>
      <c r="AQ174">
        <v>0</v>
      </c>
      <c r="AR174">
        <v>84</v>
      </c>
      <c r="AS174">
        <v>42</v>
      </c>
      <c r="AT174">
        <v>5</v>
      </c>
      <c r="AU174">
        <v>420</v>
      </c>
      <c r="AV174">
        <v>840</v>
      </c>
      <c r="AW174">
        <v>21</v>
      </c>
      <c r="AX174">
        <v>42</v>
      </c>
      <c r="AY174">
        <v>20</v>
      </c>
      <c r="AZ174">
        <v>10</v>
      </c>
      <c r="BA174">
        <v>0</v>
      </c>
      <c r="BB174">
        <v>0</v>
      </c>
      <c r="BC174">
        <v>0</v>
      </c>
      <c r="BD174">
        <v>0.66567460317460314</v>
      </c>
      <c r="BE174">
        <v>0</v>
      </c>
      <c r="BF174">
        <v>100</v>
      </c>
      <c r="BG174">
        <v>50</v>
      </c>
      <c r="BH174">
        <v>5</v>
      </c>
      <c r="BI174">
        <v>500</v>
      </c>
      <c r="BJ174">
        <v>1000</v>
      </c>
      <c r="BK174">
        <v>25</v>
      </c>
      <c r="BL174">
        <v>50</v>
      </c>
      <c r="BM174">
        <v>34</v>
      </c>
      <c r="BN174">
        <v>20</v>
      </c>
      <c r="BO174">
        <v>0</v>
      </c>
      <c r="BP174">
        <v>0</v>
      </c>
      <c r="BQ174">
        <v>0</v>
      </c>
      <c r="BR174">
        <v>1.1916666666666667</v>
      </c>
      <c r="BS174">
        <v>0</v>
      </c>
      <c r="BT174">
        <v>134</v>
      </c>
      <c r="BU174">
        <v>67</v>
      </c>
      <c r="BV174">
        <v>5</v>
      </c>
      <c r="BW174">
        <v>670</v>
      </c>
      <c r="BX174">
        <v>1340</v>
      </c>
      <c r="BY174">
        <v>33</v>
      </c>
      <c r="BZ174">
        <v>67</v>
      </c>
      <c r="CA174">
        <v>48</v>
      </c>
      <c r="CB174">
        <v>30</v>
      </c>
      <c r="CC174">
        <v>0</v>
      </c>
      <c r="CD174">
        <v>0</v>
      </c>
      <c r="CE174">
        <v>0</v>
      </c>
      <c r="CF174">
        <v>1.494402985074627</v>
      </c>
      <c r="CG174">
        <v>0</v>
      </c>
      <c r="CH174">
        <v>200</v>
      </c>
      <c r="CI174">
        <v>100</v>
      </c>
      <c r="CJ174">
        <v>5</v>
      </c>
      <c r="CK174">
        <v>1000</v>
      </c>
      <c r="CL174">
        <v>2000</v>
      </c>
      <c r="CM174">
        <v>50</v>
      </c>
      <c r="CN174">
        <v>100</v>
      </c>
      <c r="CO174">
        <v>60</v>
      </c>
      <c r="CP174">
        <v>40</v>
      </c>
      <c r="CQ174">
        <v>0</v>
      </c>
      <c r="CR174">
        <v>0</v>
      </c>
      <c r="CS174">
        <v>0</v>
      </c>
      <c r="CT174">
        <v>1.6766666666666667</v>
      </c>
      <c r="CU174">
        <v>0</v>
      </c>
      <c r="CV174">
        <v>168</v>
      </c>
      <c r="CW174">
        <v>100</v>
      </c>
      <c r="CX174">
        <v>0</v>
      </c>
      <c r="CY174">
        <v>0</v>
      </c>
      <c r="CZ174">
        <v>0</v>
      </c>
      <c r="DA174">
        <v>4.1666666666666666E-3</v>
      </c>
      <c r="DB174">
        <v>0.59523809523809523</v>
      </c>
      <c r="DD174" t="s">
        <v>901</v>
      </c>
      <c r="DE174">
        <v>8013</v>
      </c>
    </row>
    <row r="175" spans="1:109">
      <c r="A175">
        <v>8014</v>
      </c>
      <c r="B175" t="s">
        <v>902</v>
      </c>
      <c r="C175" t="s">
        <v>186</v>
      </c>
      <c r="E175" t="s">
        <v>43</v>
      </c>
      <c r="F175" t="s">
        <v>43</v>
      </c>
      <c r="H175">
        <v>1</v>
      </c>
      <c r="I175" t="s">
        <v>186</v>
      </c>
      <c r="J175">
        <v>2</v>
      </c>
      <c r="K175">
        <v>0.05</v>
      </c>
      <c r="L175">
        <v>2</v>
      </c>
      <c r="M175">
        <v>1</v>
      </c>
      <c r="N175">
        <v>42395</v>
      </c>
      <c r="O175" t="s">
        <v>206</v>
      </c>
      <c r="P175">
        <v>0</v>
      </c>
      <c r="Q175">
        <v>0</v>
      </c>
      <c r="R175">
        <v>0</v>
      </c>
      <c r="S175">
        <v>0</v>
      </c>
      <c r="T175">
        <v>0</v>
      </c>
      <c r="U175">
        <v>0</v>
      </c>
      <c r="V175">
        <v>0</v>
      </c>
      <c r="W175">
        <v>0</v>
      </c>
      <c r="X175">
        <v>0</v>
      </c>
      <c r="Y175">
        <v>0</v>
      </c>
      <c r="Z175">
        <v>0</v>
      </c>
      <c r="AA175">
        <v>0</v>
      </c>
      <c r="AB175">
        <v>0</v>
      </c>
      <c r="AC175">
        <v>0</v>
      </c>
      <c r="AD175">
        <v>67</v>
      </c>
      <c r="AE175">
        <v>34</v>
      </c>
      <c r="AF175">
        <v>5</v>
      </c>
      <c r="AG175">
        <v>335</v>
      </c>
      <c r="AH175">
        <v>670</v>
      </c>
      <c r="AI175">
        <v>16</v>
      </c>
      <c r="AJ175">
        <v>33</v>
      </c>
      <c r="AK175">
        <v>3</v>
      </c>
      <c r="AL175">
        <v>0</v>
      </c>
      <c r="AM175">
        <v>0</v>
      </c>
      <c r="AN175">
        <v>0</v>
      </c>
      <c r="AO175">
        <v>0</v>
      </c>
      <c r="AP175">
        <v>0</v>
      </c>
      <c r="AQ175">
        <v>0</v>
      </c>
      <c r="AR175">
        <v>84</v>
      </c>
      <c r="AS175">
        <v>42</v>
      </c>
      <c r="AT175">
        <v>5</v>
      </c>
      <c r="AU175">
        <v>420</v>
      </c>
      <c r="AV175">
        <v>840</v>
      </c>
      <c r="AW175">
        <v>21</v>
      </c>
      <c r="AX175">
        <v>42</v>
      </c>
      <c r="AY175">
        <v>12</v>
      </c>
      <c r="AZ175">
        <v>10</v>
      </c>
      <c r="BA175">
        <v>0</v>
      </c>
      <c r="BB175">
        <v>0</v>
      </c>
      <c r="BC175">
        <v>0</v>
      </c>
      <c r="BD175">
        <v>0.39980158730158727</v>
      </c>
      <c r="BE175">
        <v>0</v>
      </c>
      <c r="BF175">
        <v>100</v>
      </c>
      <c r="BG175">
        <v>50</v>
      </c>
      <c r="BH175">
        <v>5</v>
      </c>
      <c r="BI175">
        <v>500</v>
      </c>
      <c r="BJ175">
        <v>1000</v>
      </c>
      <c r="BK175">
        <v>25</v>
      </c>
      <c r="BL175">
        <v>50</v>
      </c>
      <c r="BM175">
        <v>18</v>
      </c>
      <c r="BN175">
        <v>20</v>
      </c>
      <c r="BO175">
        <v>0</v>
      </c>
      <c r="BP175">
        <v>0</v>
      </c>
      <c r="BQ175">
        <v>0</v>
      </c>
      <c r="BR175">
        <v>0.63166666666666671</v>
      </c>
      <c r="BS175">
        <v>1</v>
      </c>
      <c r="BT175">
        <v>134</v>
      </c>
      <c r="BU175">
        <v>67</v>
      </c>
      <c r="BV175">
        <v>5</v>
      </c>
      <c r="BW175">
        <v>670</v>
      </c>
      <c r="BX175">
        <v>1340</v>
      </c>
      <c r="BY175">
        <v>33</v>
      </c>
      <c r="BZ175">
        <v>67</v>
      </c>
      <c r="CA175">
        <v>27</v>
      </c>
      <c r="CB175">
        <v>30</v>
      </c>
      <c r="CC175">
        <v>0</v>
      </c>
      <c r="CD175">
        <v>0</v>
      </c>
      <c r="CE175">
        <v>0</v>
      </c>
      <c r="CF175">
        <v>0.84141791044776115</v>
      </c>
      <c r="CG175">
        <v>1</v>
      </c>
      <c r="CH175">
        <v>200</v>
      </c>
      <c r="CI175">
        <v>100</v>
      </c>
      <c r="CJ175">
        <v>5</v>
      </c>
      <c r="CK175">
        <v>1000</v>
      </c>
      <c r="CL175">
        <v>2000</v>
      </c>
      <c r="CM175">
        <v>50</v>
      </c>
      <c r="CN175">
        <v>100</v>
      </c>
      <c r="CO175">
        <v>36</v>
      </c>
      <c r="CP175">
        <v>40</v>
      </c>
      <c r="CQ175">
        <v>0</v>
      </c>
      <c r="CR175">
        <v>0</v>
      </c>
      <c r="CS175">
        <v>0</v>
      </c>
      <c r="CT175">
        <v>1.0066666666666666</v>
      </c>
      <c r="CU175">
        <v>1</v>
      </c>
      <c r="CV175">
        <v>96</v>
      </c>
      <c r="CW175">
        <v>100</v>
      </c>
      <c r="CX175">
        <v>0</v>
      </c>
      <c r="CY175">
        <v>0</v>
      </c>
      <c r="CZ175">
        <v>0</v>
      </c>
      <c r="DA175">
        <v>4.1666666666666666E-3</v>
      </c>
      <c r="DB175">
        <v>1.0416666666666667</v>
      </c>
      <c r="DD175" t="s">
        <v>902</v>
      </c>
      <c r="DE175">
        <v>8014</v>
      </c>
    </row>
    <row r="176" spans="1:109">
      <c r="A176">
        <v>8015</v>
      </c>
      <c r="B176" t="s">
        <v>903</v>
      </c>
      <c r="C176" t="s">
        <v>186</v>
      </c>
      <c r="E176" t="s">
        <v>43</v>
      </c>
      <c r="F176" t="s">
        <v>43</v>
      </c>
      <c r="H176">
        <v>2</v>
      </c>
      <c r="I176" t="s">
        <v>186</v>
      </c>
      <c r="J176">
        <v>2</v>
      </c>
      <c r="K176">
        <v>0.05</v>
      </c>
      <c r="L176">
        <v>2</v>
      </c>
      <c r="M176">
        <v>1</v>
      </c>
      <c r="N176">
        <v>42395</v>
      </c>
      <c r="O176" t="s">
        <v>206</v>
      </c>
      <c r="P176">
        <v>0</v>
      </c>
      <c r="Q176">
        <v>0</v>
      </c>
      <c r="R176">
        <v>0</v>
      </c>
      <c r="S176">
        <v>0</v>
      </c>
      <c r="T176">
        <v>0</v>
      </c>
      <c r="U176">
        <v>0</v>
      </c>
      <c r="V176">
        <v>0</v>
      </c>
      <c r="W176">
        <v>0</v>
      </c>
      <c r="X176">
        <v>0</v>
      </c>
      <c r="Y176">
        <v>0</v>
      </c>
      <c r="Z176">
        <v>0</v>
      </c>
      <c r="AA176">
        <v>0</v>
      </c>
      <c r="AB176">
        <v>0</v>
      </c>
      <c r="AC176">
        <v>0</v>
      </c>
      <c r="AD176">
        <v>67</v>
      </c>
      <c r="AE176">
        <v>34</v>
      </c>
      <c r="AF176">
        <v>5</v>
      </c>
      <c r="AG176">
        <v>335</v>
      </c>
      <c r="AH176">
        <v>670</v>
      </c>
      <c r="AI176">
        <v>16</v>
      </c>
      <c r="AJ176">
        <v>33</v>
      </c>
      <c r="AK176">
        <v>3</v>
      </c>
      <c r="AL176">
        <v>0</v>
      </c>
      <c r="AM176">
        <v>0</v>
      </c>
      <c r="AN176">
        <v>0</v>
      </c>
      <c r="AO176">
        <v>0</v>
      </c>
      <c r="AP176">
        <v>0</v>
      </c>
      <c r="AQ176">
        <v>0</v>
      </c>
      <c r="AR176">
        <v>84</v>
      </c>
      <c r="AS176">
        <v>42</v>
      </c>
      <c r="AT176">
        <v>5</v>
      </c>
      <c r="AU176">
        <v>420</v>
      </c>
      <c r="AV176">
        <v>840</v>
      </c>
      <c r="AW176">
        <v>21</v>
      </c>
      <c r="AX176">
        <v>42</v>
      </c>
      <c r="AY176">
        <v>12</v>
      </c>
      <c r="AZ176">
        <v>10</v>
      </c>
      <c r="BA176">
        <v>0</v>
      </c>
      <c r="BB176">
        <v>0</v>
      </c>
      <c r="BC176">
        <v>0</v>
      </c>
      <c r="BD176">
        <v>0.39980158730158727</v>
      </c>
      <c r="BE176">
        <v>0</v>
      </c>
      <c r="BF176">
        <v>100</v>
      </c>
      <c r="BG176">
        <v>50</v>
      </c>
      <c r="BH176">
        <v>5</v>
      </c>
      <c r="BI176">
        <v>500</v>
      </c>
      <c r="BJ176">
        <v>1000</v>
      </c>
      <c r="BK176">
        <v>25</v>
      </c>
      <c r="BL176">
        <v>50</v>
      </c>
      <c r="BM176">
        <v>18</v>
      </c>
      <c r="BN176">
        <v>20</v>
      </c>
      <c r="BO176">
        <v>0</v>
      </c>
      <c r="BP176">
        <v>0</v>
      </c>
      <c r="BQ176">
        <v>0</v>
      </c>
      <c r="BR176">
        <v>0.63166666666666671</v>
      </c>
      <c r="BS176">
        <v>1</v>
      </c>
      <c r="BT176">
        <v>134</v>
      </c>
      <c r="BU176">
        <v>67</v>
      </c>
      <c r="BV176">
        <v>5</v>
      </c>
      <c r="BW176">
        <v>670</v>
      </c>
      <c r="BX176">
        <v>1340</v>
      </c>
      <c r="BY176">
        <v>33</v>
      </c>
      <c r="BZ176">
        <v>67</v>
      </c>
      <c r="CA176">
        <v>27</v>
      </c>
      <c r="CB176">
        <v>30</v>
      </c>
      <c r="CC176">
        <v>0</v>
      </c>
      <c r="CD176">
        <v>0</v>
      </c>
      <c r="CE176">
        <v>0</v>
      </c>
      <c r="CF176">
        <v>0.84141791044776115</v>
      </c>
      <c r="CG176">
        <v>1</v>
      </c>
      <c r="CH176">
        <v>200</v>
      </c>
      <c r="CI176">
        <v>100</v>
      </c>
      <c r="CJ176">
        <v>5</v>
      </c>
      <c r="CK176">
        <v>1000</v>
      </c>
      <c r="CL176">
        <v>2000</v>
      </c>
      <c r="CM176">
        <v>50</v>
      </c>
      <c r="CN176">
        <v>100</v>
      </c>
      <c r="CO176">
        <v>36</v>
      </c>
      <c r="CP176">
        <v>40</v>
      </c>
      <c r="CQ176">
        <v>0</v>
      </c>
      <c r="CR176">
        <v>0</v>
      </c>
      <c r="CS176">
        <v>0</v>
      </c>
      <c r="CT176">
        <v>1.0066666666666666</v>
      </c>
      <c r="CU176">
        <v>1</v>
      </c>
      <c r="CV176">
        <v>96</v>
      </c>
      <c r="CW176">
        <v>100</v>
      </c>
      <c r="CX176">
        <v>0</v>
      </c>
      <c r="CY176">
        <v>0</v>
      </c>
      <c r="CZ176">
        <v>0</v>
      </c>
      <c r="DA176">
        <v>4.1666666666666666E-3</v>
      </c>
      <c r="DB176">
        <v>1.0416666666666667</v>
      </c>
      <c r="DD176" t="s">
        <v>903</v>
      </c>
      <c r="DE176">
        <v>8015</v>
      </c>
    </row>
    <row r="177" spans="1:109">
      <c r="A177">
        <v>8016</v>
      </c>
      <c r="B177" t="s">
        <v>904</v>
      </c>
      <c r="C177" t="s">
        <v>186</v>
      </c>
      <c r="E177" t="s">
        <v>43</v>
      </c>
      <c r="F177" t="s">
        <v>43</v>
      </c>
      <c r="H177">
        <v>2</v>
      </c>
      <c r="I177" t="s">
        <v>186</v>
      </c>
      <c r="J177">
        <v>2</v>
      </c>
      <c r="K177">
        <v>0.05</v>
      </c>
      <c r="L177">
        <v>2</v>
      </c>
      <c r="M177">
        <v>1</v>
      </c>
      <c r="N177">
        <v>42401</v>
      </c>
      <c r="O177" t="s">
        <v>206</v>
      </c>
      <c r="P177">
        <v>0</v>
      </c>
      <c r="Q177">
        <v>0</v>
      </c>
      <c r="R177">
        <v>0</v>
      </c>
      <c r="S177">
        <v>0</v>
      </c>
      <c r="T177">
        <v>0</v>
      </c>
      <c r="U177">
        <v>0</v>
      </c>
      <c r="V177">
        <v>0</v>
      </c>
      <c r="W177">
        <v>0</v>
      </c>
      <c r="X177">
        <v>0</v>
      </c>
      <c r="Y177">
        <v>0</v>
      </c>
      <c r="Z177">
        <v>0</v>
      </c>
      <c r="AA177">
        <v>0</v>
      </c>
      <c r="AB177">
        <v>0</v>
      </c>
      <c r="AC177">
        <v>0</v>
      </c>
      <c r="AD177">
        <v>67</v>
      </c>
      <c r="AE177">
        <v>34</v>
      </c>
      <c r="AF177">
        <v>5</v>
      </c>
      <c r="AG177">
        <v>335</v>
      </c>
      <c r="AH177">
        <v>670</v>
      </c>
      <c r="AI177">
        <v>16</v>
      </c>
      <c r="AJ177">
        <v>33</v>
      </c>
      <c r="AK177">
        <v>4</v>
      </c>
      <c r="AL177">
        <v>0</v>
      </c>
      <c r="AM177">
        <v>0</v>
      </c>
      <c r="AN177">
        <v>0</v>
      </c>
      <c r="AO177">
        <v>0</v>
      </c>
      <c r="AP177">
        <v>0</v>
      </c>
      <c r="AQ177">
        <v>0</v>
      </c>
      <c r="AR177">
        <v>84</v>
      </c>
      <c r="AS177">
        <v>42</v>
      </c>
      <c r="AT177">
        <v>5</v>
      </c>
      <c r="AU177">
        <v>420</v>
      </c>
      <c r="AV177">
        <v>840</v>
      </c>
      <c r="AW177">
        <v>21</v>
      </c>
      <c r="AX177">
        <v>42</v>
      </c>
      <c r="AY177">
        <v>10</v>
      </c>
      <c r="AZ177">
        <v>10</v>
      </c>
      <c r="BA177">
        <v>0</v>
      </c>
      <c r="BB177">
        <v>0</v>
      </c>
      <c r="BC177">
        <v>0</v>
      </c>
      <c r="BD177">
        <v>0.33333333333333331</v>
      </c>
      <c r="BE177">
        <v>1</v>
      </c>
      <c r="BF177">
        <v>100</v>
      </c>
      <c r="BG177">
        <v>50</v>
      </c>
      <c r="BH177">
        <v>5</v>
      </c>
      <c r="BI177">
        <v>500</v>
      </c>
      <c r="BJ177">
        <v>1000</v>
      </c>
      <c r="BK177">
        <v>25</v>
      </c>
      <c r="BL177">
        <v>50</v>
      </c>
      <c r="BM177">
        <v>20</v>
      </c>
      <c r="BN177">
        <v>20</v>
      </c>
      <c r="BO177">
        <v>0</v>
      </c>
      <c r="BP177">
        <v>0</v>
      </c>
      <c r="BQ177">
        <v>0</v>
      </c>
      <c r="BR177">
        <v>0.70166666666666666</v>
      </c>
      <c r="BS177">
        <v>1</v>
      </c>
      <c r="BT177">
        <v>134</v>
      </c>
      <c r="BU177">
        <v>67</v>
      </c>
      <c r="BV177">
        <v>5</v>
      </c>
      <c r="BW177">
        <v>670</v>
      </c>
      <c r="BX177">
        <v>1340</v>
      </c>
      <c r="BY177">
        <v>33</v>
      </c>
      <c r="BZ177">
        <v>67</v>
      </c>
      <c r="CA177">
        <v>40</v>
      </c>
      <c r="CB177">
        <v>30</v>
      </c>
      <c r="CC177">
        <v>0</v>
      </c>
      <c r="CD177">
        <v>0</v>
      </c>
      <c r="CE177">
        <v>0</v>
      </c>
      <c r="CF177">
        <v>1.2456467661691544</v>
      </c>
      <c r="CG177">
        <v>0</v>
      </c>
      <c r="CH177">
        <v>200</v>
      </c>
      <c r="CI177">
        <v>100</v>
      </c>
      <c r="CJ177">
        <v>5</v>
      </c>
      <c r="CK177">
        <v>1000</v>
      </c>
      <c r="CL177">
        <v>2000</v>
      </c>
      <c r="CM177">
        <v>50</v>
      </c>
      <c r="CN177">
        <v>100</v>
      </c>
      <c r="CO177">
        <v>70</v>
      </c>
      <c r="CP177">
        <v>40</v>
      </c>
      <c r="CQ177">
        <v>0</v>
      </c>
      <c r="CR177">
        <v>0</v>
      </c>
      <c r="CS177">
        <v>0</v>
      </c>
      <c r="CT177">
        <v>1.9558333333333333</v>
      </c>
      <c r="CU177">
        <v>0</v>
      </c>
      <c r="CV177">
        <v>144</v>
      </c>
      <c r="CW177">
        <v>100</v>
      </c>
      <c r="CX177">
        <v>0</v>
      </c>
      <c r="CY177">
        <v>0</v>
      </c>
      <c r="CZ177">
        <v>0</v>
      </c>
      <c r="DA177">
        <v>4.1666666666666666E-3</v>
      </c>
      <c r="DB177">
        <v>0.69444444444444442</v>
      </c>
      <c r="DD177" t="s">
        <v>904</v>
      </c>
      <c r="DE177">
        <v>8016</v>
      </c>
    </row>
    <row r="178" spans="1:109">
      <c r="A178">
        <v>8017</v>
      </c>
      <c r="B178" t="s">
        <v>905</v>
      </c>
      <c r="C178" t="s">
        <v>186</v>
      </c>
      <c r="E178" t="s">
        <v>43</v>
      </c>
      <c r="F178" t="s">
        <v>43</v>
      </c>
      <c r="H178">
        <v>1</v>
      </c>
      <c r="I178" t="s">
        <v>186</v>
      </c>
      <c r="J178">
        <v>2</v>
      </c>
      <c r="K178">
        <v>0.05</v>
      </c>
      <c r="L178">
        <v>2</v>
      </c>
      <c r="M178">
        <v>1</v>
      </c>
      <c r="N178">
        <v>42401</v>
      </c>
      <c r="O178" t="s">
        <v>206</v>
      </c>
      <c r="P178">
        <v>0</v>
      </c>
      <c r="Q178">
        <v>0</v>
      </c>
      <c r="R178">
        <v>0</v>
      </c>
      <c r="S178">
        <v>0</v>
      </c>
      <c r="T178">
        <v>0</v>
      </c>
      <c r="U178">
        <v>0</v>
      </c>
      <c r="V178">
        <v>0</v>
      </c>
      <c r="W178">
        <v>0</v>
      </c>
      <c r="X178">
        <v>0</v>
      </c>
      <c r="Y178">
        <v>0</v>
      </c>
      <c r="Z178">
        <v>0</v>
      </c>
      <c r="AA178">
        <v>0</v>
      </c>
      <c r="AB178">
        <v>0</v>
      </c>
      <c r="AC178">
        <v>0</v>
      </c>
      <c r="AD178">
        <v>67</v>
      </c>
      <c r="AE178">
        <v>34</v>
      </c>
      <c r="AF178">
        <v>5</v>
      </c>
      <c r="AG178">
        <v>335</v>
      </c>
      <c r="AH178">
        <v>670</v>
      </c>
      <c r="AI178">
        <v>16</v>
      </c>
      <c r="AJ178">
        <v>33</v>
      </c>
      <c r="AK178">
        <v>4</v>
      </c>
      <c r="AL178">
        <v>0</v>
      </c>
      <c r="AM178">
        <v>0</v>
      </c>
      <c r="AN178">
        <v>0</v>
      </c>
      <c r="AO178">
        <v>0</v>
      </c>
      <c r="AP178">
        <v>0</v>
      </c>
      <c r="AQ178">
        <v>0</v>
      </c>
      <c r="AR178">
        <v>84</v>
      </c>
      <c r="AS178">
        <v>42</v>
      </c>
      <c r="AT178">
        <v>5</v>
      </c>
      <c r="AU178">
        <v>420</v>
      </c>
      <c r="AV178">
        <v>840</v>
      </c>
      <c r="AW178">
        <v>21</v>
      </c>
      <c r="AX178">
        <v>42</v>
      </c>
      <c r="AY178">
        <v>10</v>
      </c>
      <c r="AZ178">
        <v>10</v>
      </c>
      <c r="BA178">
        <v>0</v>
      </c>
      <c r="BB178">
        <v>0</v>
      </c>
      <c r="BC178">
        <v>0</v>
      </c>
      <c r="BD178">
        <v>0.33333333333333331</v>
      </c>
      <c r="BE178">
        <v>1</v>
      </c>
      <c r="BF178">
        <v>100</v>
      </c>
      <c r="BG178">
        <v>50</v>
      </c>
      <c r="BH178">
        <v>5</v>
      </c>
      <c r="BI178">
        <v>500</v>
      </c>
      <c r="BJ178">
        <v>1000</v>
      </c>
      <c r="BK178">
        <v>25</v>
      </c>
      <c r="BL178">
        <v>50</v>
      </c>
      <c r="BM178">
        <v>20</v>
      </c>
      <c r="BN178">
        <v>20</v>
      </c>
      <c r="BO178">
        <v>0</v>
      </c>
      <c r="BP178">
        <v>0</v>
      </c>
      <c r="BQ178">
        <v>0</v>
      </c>
      <c r="BR178">
        <v>0.70166666666666666</v>
      </c>
      <c r="BS178">
        <v>1</v>
      </c>
      <c r="BT178">
        <v>134</v>
      </c>
      <c r="BU178">
        <v>67</v>
      </c>
      <c r="BV178">
        <v>5</v>
      </c>
      <c r="BW178">
        <v>670</v>
      </c>
      <c r="BX178">
        <v>1340</v>
      </c>
      <c r="BY178">
        <v>33</v>
      </c>
      <c r="BZ178">
        <v>67</v>
      </c>
      <c r="CA178">
        <v>40</v>
      </c>
      <c r="CB178">
        <v>30</v>
      </c>
      <c r="CC178">
        <v>0</v>
      </c>
      <c r="CD178">
        <v>0</v>
      </c>
      <c r="CE178">
        <v>0</v>
      </c>
      <c r="CF178">
        <v>1.2456467661691544</v>
      </c>
      <c r="CG178">
        <v>0</v>
      </c>
      <c r="CH178">
        <v>200</v>
      </c>
      <c r="CI178">
        <v>100</v>
      </c>
      <c r="CJ178">
        <v>5</v>
      </c>
      <c r="CK178">
        <v>1000</v>
      </c>
      <c r="CL178">
        <v>2000</v>
      </c>
      <c r="CM178">
        <v>50</v>
      </c>
      <c r="CN178">
        <v>100</v>
      </c>
      <c r="CO178">
        <v>70</v>
      </c>
      <c r="CP178">
        <v>40</v>
      </c>
      <c r="CQ178">
        <v>0</v>
      </c>
      <c r="CR178">
        <v>0</v>
      </c>
      <c r="CS178">
        <v>0</v>
      </c>
      <c r="CT178">
        <v>1.9558333333333333</v>
      </c>
      <c r="CU178">
        <v>0</v>
      </c>
      <c r="CV178">
        <v>144</v>
      </c>
      <c r="CW178">
        <v>100</v>
      </c>
      <c r="CX178">
        <v>0</v>
      </c>
      <c r="CY178">
        <v>0</v>
      </c>
      <c r="CZ178">
        <v>0</v>
      </c>
      <c r="DA178">
        <v>4.1666666666666666E-3</v>
      </c>
      <c r="DB178">
        <v>0.69444444444444442</v>
      </c>
      <c r="DD178" t="s">
        <v>905</v>
      </c>
      <c r="DE178">
        <v>8017</v>
      </c>
    </row>
    <row r="179" spans="1:109">
      <c r="A179">
        <v>8018</v>
      </c>
      <c r="B179" t="s">
        <v>906</v>
      </c>
      <c r="C179" t="s">
        <v>186</v>
      </c>
      <c r="E179" t="s">
        <v>43</v>
      </c>
      <c r="F179" t="s">
        <v>43</v>
      </c>
      <c r="H179">
        <v>2</v>
      </c>
      <c r="I179" t="s">
        <v>186</v>
      </c>
      <c r="J179">
        <v>2</v>
      </c>
      <c r="K179">
        <v>0.05</v>
      </c>
      <c r="L179">
        <v>2</v>
      </c>
      <c r="M179">
        <v>1</v>
      </c>
      <c r="N179">
        <v>42413</v>
      </c>
      <c r="O179" t="s">
        <v>206</v>
      </c>
      <c r="P179">
        <v>0</v>
      </c>
      <c r="Q179">
        <v>0</v>
      </c>
      <c r="R179">
        <v>0</v>
      </c>
      <c r="S179">
        <v>0</v>
      </c>
      <c r="T179">
        <v>0</v>
      </c>
      <c r="U179">
        <v>0</v>
      </c>
      <c r="V179">
        <v>0</v>
      </c>
      <c r="W179">
        <v>0</v>
      </c>
      <c r="X179">
        <v>0</v>
      </c>
      <c r="Y179">
        <v>0</v>
      </c>
      <c r="Z179">
        <v>0</v>
      </c>
      <c r="AA179">
        <v>0</v>
      </c>
      <c r="AB179">
        <v>0</v>
      </c>
      <c r="AC179">
        <v>0</v>
      </c>
      <c r="AD179">
        <v>67</v>
      </c>
      <c r="AE179">
        <v>34</v>
      </c>
      <c r="AF179">
        <v>5</v>
      </c>
      <c r="AG179">
        <v>335</v>
      </c>
      <c r="AH179">
        <v>670</v>
      </c>
      <c r="AI179">
        <v>16</v>
      </c>
      <c r="AJ179">
        <v>33</v>
      </c>
      <c r="AK179">
        <v>4</v>
      </c>
      <c r="AL179">
        <v>0</v>
      </c>
      <c r="AM179">
        <v>0</v>
      </c>
      <c r="AN179">
        <v>0</v>
      </c>
      <c r="AO179">
        <v>0</v>
      </c>
      <c r="AP179">
        <v>0</v>
      </c>
      <c r="AQ179">
        <v>0</v>
      </c>
      <c r="AR179">
        <v>84</v>
      </c>
      <c r="AS179">
        <v>42</v>
      </c>
      <c r="AT179">
        <v>5</v>
      </c>
      <c r="AU179">
        <v>420</v>
      </c>
      <c r="AV179">
        <v>840</v>
      </c>
      <c r="AW179">
        <v>21</v>
      </c>
      <c r="AX179">
        <v>42</v>
      </c>
      <c r="AY179">
        <v>10</v>
      </c>
      <c r="AZ179">
        <v>10</v>
      </c>
      <c r="BA179">
        <v>0</v>
      </c>
      <c r="BB179">
        <v>0</v>
      </c>
      <c r="BC179">
        <v>0</v>
      </c>
      <c r="BD179">
        <v>0.33333333333333331</v>
      </c>
      <c r="BE179">
        <v>1</v>
      </c>
      <c r="BF179">
        <v>100</v>
      </c>
      <c r="BG179">
        <v>50</v>
      </c>
      <c r="BH179">
        <v>5</v>
      </c>
      <c r="BI179">
        <v>500</v>
      </c>
      <c r="BJ179">
        <v>1000</v>
      </c>
      <c r="BK179">
        <v>25</v>
      </c>
      <c r="BL179">
        <v>50</v>
      </c>
      <c r="BM179">
        <v>20</v>
      </c>
      <c r="BN179">
        <v>20</v>
      </c>
      <c r="BO179">
        <v>0</v>
      </c>
      <c r="BP179">
        <v>0</v>
      </c>
      <c r="BQ179">
        <v>0</v>
      </c>
      <c r="BR179">
        <v>0.70166666666666666</v>
      </c>
      <c r="BS179">
        <v>1</v>
      </c>
      <c r="BT179">
        <v>134</v>
      </c>
      <c r="BU179">
        <v>67</v>
      </c>
      <c r="BV179">
        <v>5</v>
      </c>
      <c r="BW179">
        <v>670</v>
      </c>
      <c r="BX179">
        <v>1340</v>
      </c>
      <c r="BY179">
        <v>33</v>
      </c>
      <c r="BZ179">
        <v>67</v>
      </c>
      <c r="CA179">
        <v>40</v>
      </c>
      <c r="CB179">
        <v>30</v>
      </c>
      <c r="CC179">
        <v>0</v>
      </c>
      <c r="CD179">
        <v>0</v>
      </c>
      <c r="CE179">
        <v>0</v>
      </c>
      <c r="CF179">
        <v>1.2456467661691544</v>
      </c>
      <c r="CG179">
        <v>0</v>
      </c>
      <c r="CH179">
        <v>200</v>
      </c>
      <c r="CI179">
        <v>100</v>
      </c>
      <c r="CJ179">
        <v>5</v>
      </c>
      <c r="CK179">
        <v>1000</v>
      </c>
      <c r="CL179">
        <v>2000</v>
      </c>
      <c r="CM179">
        <v>50</v>
      </c>
      <c r="CN179">
        <v>100</v>
      </c>
      <c r="CO179">
        <v>70</v>
      </c>
      <c r="CP179">
        <v>40</v>
      </c>
      <c r="CQ179">
        <v>0</v>
      </c>
      <c r="CR179">
        <v>0</v>
      </c>
      <c r="CS179">
        <v>0</v>
      </c>
      <c r="CT179">
        <v>1.9558333333333333</v>
      </c>
      <c r="CU179">
        <v>0</v>
      </c>
      <c r="CV179">
        <v>144</v>
      </c>
      <c r="CW179">
        <v>100</v>
      </c>
      <c r="CX179">
        <v>0</v>
      </c>
      <c r="CY179">
        <v>0</v>
      </c>
      <c r="CZ179">
        <v>0</v>
      </c>
      <c r="DA179">
        <v>4.1666666666666666E-3</v>
      </c>
      <c r="DB179">
        <v>0.69444444444444442</v>
      </c>
      <c r="DD179" t="s">
        <v>906</v>
      </c>
      <c r="DE179">
        <v>8018</v>
      </c>
    </row>
    <row r="180" spans="1:109">
      <c r="A180">
        <v>8019</v>
      </c>
      <c r="B180" t="s">
        <v>907</v>
      </c>
      <c r="C180" t="s">
        <v>186</v>
      </c>
      <c r="E180" t="s">
        <v>43</v>
      </c>
      <c r="F180" t="s">
        <v>43</v>
      </c>
      <c r="H180">
        <v>1</v>
      </c>
      <c r="I180" t="s">
        <v>186</v>
      </c>
      <c r="J180">
        <v>2</v>
      </c>
      <c r="K180">
        <v>0.05</v>
      </c>
      <c r="L180">
        <v>2</v>
      </c>
      <c r="M180">
        <v>1</v>
      </c>
      <c r="N180">
        <v>42413</v>
      </c>
      <c r="O180" t="s">
        <v>206</v>
      </c>
      <c r="P180">
        <v>0</v>
      </c>
      <c r="Q180">
        <v>0</v>
      </c>
      <c r="R180">
        <v>0</v>
      </c>
      <c r="S180">
        <v>0</v>
      </c>
      <c r="T180">
        <v>0</v>
      </c>
      <c r="U180">
        <v>0</v>
      </c>
      <c r="V180">
        <v>0</v>
      </c>
      <c r="W180">
        <v>0</v>
      </c>
      <c r="X180">
        <v>0</v>
      </c>
      <c r="Y180">
        <v>0</v>
      </c>
      <c r="Z180">
        <v>0</v>
      </c>
      <c r="AA180">
        <v>0</v>
      </c>
      <c r="AB180">
        <v>0</v>
      </c>
      <c r="AC180">
        <v>0</v>
      </c>
      <c r="AD180">
        <v>67</v>
      </c>
      <c r="AE180">
        <v>34</v>
      </c>
      <c r="AF180">
        <v>5</v>
      </c>
      <c r="AG180">
        <v>335</v>
      </c>
      <c r="AH180">
        <v>670</v>
      </c>
      <c r="AI180">
        <v>16</v>
      </c>
      <c r="AJ180">
        <v>33</v>
      </c>
      <c r="AK180">
        <v>4</v>
      </c>
      <c r="AL180">
        <v>0</v>
      </c>
      <c r="AM180">
        <v>0</v>
      </c>
      <c r="AN180">
        <v>0</v>
      </c>
      <c r="AO180">
        <v>0</v>
      </c>
      <c r="AP180">
        <v>0</v>
      </c>
      <c r="AQ180">
        <v>0</v>
      </c>
      <c r="AR180">
        <v>84</v>
      </c>
      <c r="AS180">
        <v>42</v>
      </c>
      <c r="AT180">
        <v>5</v>
      </c>
      <c r="AU180">
        <v>420</v>
      </c>
      <c r="AV180">
        <v>840</v>
      </c>
      <c r="AW180">
        <v>21</v>
      </c>
      <c r="AX180">
        <v>42</v>
      </c>
      <c r="AY180">
        <v>10</v>
      </c>
      <c r="AZ180">
        <v>10</v>
      </c>
      <c r="BA180">
        <v>0</v>
      </c>
      <c r="BB180">
        <v>0</v>
      </c>
      <c r="BC180">
        <v>0</v>
      </c>
      <c r="BD180">
        <v>0.33333333333333331</v>
      </c>
      <c r="BE180">
        <v>1</v>
      </c>
      <c r="BF180">
        <v>100</v>
      </c>
      <c r="BG180">
        <v>50</v>
      </c>
      <c r="BH180">
        <v>5</v>
      </c>
      <c r="BI180">
        <v>500</v>
      </c>
      <c r="BJ180">
        <v>1000</v>
      </c>
      <c r="BK180">
        <v>25</v>
      </c>
      <c r="BL180">
        <v>50</v>
      </c>
      <c r="BM180">
        <v>20</v>
      </c>
      <c r="BN180">
        <v>20</v>
      </c>
      <c r="BO180">
        <v>0</v>
      </c>
      <c r="BP180">
        <v>0</v>
      </c>
      <c r="BQ180">
        <v>0</v>
      </c>
      <c r="BR180">
        <v>0.70166666666666666</v>
      </c>
      <c r="BS180">
        <v>1</v>
      </c>
      <c r="BT180">
        <v>134</v>
      </c>
      <c r="BU180">
        <v>67</v>
      </c>
      <c r="BV180">
        <v>5</v>
      </c>
      <c r="BW180">
        <v>670</v>
      </c>
      <c r="BX180">
        <v>1340</v>
      </c>
      <c r="BY180">
        <v>33</v>
      </c>
      <c r="BZ180">
        <v>67</v>
      </c>
      <c r="CA180">
        <v>40</v>
      </c>
      <c r="CB180">
        <v>30</v>
      </c>
      <c r="CC180">
        <v>0</v>
      </c>
      <c r="CD180">
        <v>0</v>
      </c>
      <c r="CE180">
        <v>0</v>
      </c>
      <c r="CF180">
        <v>1.2456467661691544</v>
      </c>
      <c r="CG180">
        <v>0</v>
      </c>
      <c r="CH180">
        <v>200</v>
      </c>
      <c r="CI180">
        <v>100</v>
      </c>
      <c r="CJ180">
        <v>5</v>
      </c>
      <c r="CK180">
        <v>1000</v>
      </c>
      <c r="CL180">
        <v>2000</v>
      </c>
      <c r="CM180">
        <v>50</v>
      </c>
      <c r="CN180">
        <v>100</v>
      </c>
      <c r="CO180">
        <v>70</v>
      </c>
      <c r="CP180">
        <v>40</v>
      </c>
      <c r="CQ180">
        <v>0</v>
      </c>
      <c r="CR180">
        <v>0</v>
      </c>
      <c r="CS180">
        <v>0</v>
      </c>
      <c r="CT180">
        <v>1.9558333333333333</v>
      </c>
      <c r="CU180">
        <v>0</v>
      </c>
      <c r="CV180">
        <v>144</v>
      </c>
      <c r="CW180">
        <v>100</v>
      </c>
      <c r="CX180">
        <v>0</v>
      </c>
      <c r="CY180">
        <v>0</v>
      </c>
      <c r="CZ180">
        <v>0</v>
      </c>
      <c r="DA180">
        <v>4.1666666666666666E-3</v>
      </c>
      <c r="DB180">
        <v>0.69444444444444442</v>
      </c>
      <c r="DD180" t="s">
        <v>907</v>
      </c>
      <c r="DE180">
        <v>8019</v>
      </c>
    </row>
  </sheetData>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BK122"/>
  <sheetViews>
    <sheetView zoomScale="85" zoomScaleNormal="85" workbookViewId="0">
      <pane xSplit="30" ySplit="44" topLeftCell="AE45" activePane="bottomRight" state="frozen"/>
      <selection pane="topRight" activeCell="AE1" sqref="AE1"/>
      <selection pane="bottomLeft" activeCell="A45" sqref="A45"/>
      <selection pane="bottomRight" activeCell="G72" sqref="G72"/>
    </sheetView>
  </sheetViews>
  <sheetFormatPr defaultRowHeight="13.2"/>
  <cols>
    <col min="1" max="1" width="3.5546875" style="1132" customWidth="1"/>
    <col min="2" max="2" width="27.77734375" style="1132" bestFit="1" customWidth="1"/>
    <col min="3" max="3" width="7.33203125" style="1133" hidden="1" customWidth="1"/>
    <col min="4" max="4" width="4.109375" style="1133" customWidth="1"/>
    <col min="5" max="8" width="3" style="1132" bestFit="1" customWidth="1"/>
    <col min="9" max="9" width="4" style="1133" customWidth="1"/>
    <col min="10" max="10" width="3.21875" style="1133" bestFit="1" customWidth="1"/>
    <col min="11" max="11" width="5" style="1133" bestFit="1" customWidth="1"/>
    <col min="12" max="12" width="6.77734375" style="1133" bestFit="1" customWidth="1"/>
    <col min="13" max="13" width="7.77734375" style="1133" customWidth="1"/>
    <col min="14" max="14" width="7.77734375" style="1133" hidden="1" customWidth="1"/>
    <col min="15" max="16" width="7.77734375" style="1133" customWidth="1"/>
    <col min="17" max="17" width="3.6640625" style="1133" bestFit="1" customWidth="1"/>
    <col min="18" max="18" width="7.77734375" style="1133" bestFit="1" customWidth="1"/>
    <col min="19" max="19" width="8.88671875" style="1133" bestFit="1" customWidth="1"/>
    <col min="20" max="21" width="8.77734375" style="1133" hidden="1" customWidth="1"/>
    <col min="22" max="25" width="8.88671875" style="1132" hidden="1" customWidth="1"/>
    <col min="26" max="26" width="3.6640625" style="1132" hidden="1" customWidth="1"/>
    <col min="27" max="30" width="8.88671875" style="1132" hidden="1" customWidth="1"/>
    <col min="31" max="31" width="6.77734375" style="1132" bestFit="1" customWidth="1"/>
    <col min="32" max="32" width="8.88671875" style="1132" hidden="1" customWidth="1"/>
    <col min="33" max="33" width="6.77734375" style="1132" bestFit="1" customWidth="1"/>
    <col min="34" max="34" width="7.77734375" style="1132" bestFit="1" customWidth="1"/>
    <col min="35" max="35" width="3.6640625" style="1132" bestFit="1" customWidth="1"/>
    <col min="36" max="36" width="7.77734375" style="1132" bestFit="1" customWidth="1"/>
    <col min="37" max="37" width="8.88671875" style="1132"/>
    <col min="38" max="39" width="0" style="1132" hidden="1" customWidth="1"/>
    <col min="40" max="40" width="6.109375" style="1133" bestFit="1" customWidth="1"/>
    <col min="41" max="41" width="5.44140625" style="1133" bestFit="1" customWidth="1"/>
    <col min="42" max="42" width="5.109375" style="1133" bestFit="1" customWidth="1"/>
    <col min="43" max="43" width="6.88671875" style="1133" bestFit="1" customWidth="1"/>
    <col min="44" max="44" width="7.77734375" style="1132" bestFit="1" customWidth="1"/>
    <col min="45" max="45" width="11.44140625" style="1132" bestFit="1" customWidth="1"/>
    <col min="46" max="46" width="3.21875" style="1132" bestFit="1" customWidth="1"/>
    <col min="47" max="47" width="3.6640625" style="1132" bestFit="1" customWidth="1"/>
    <col min="48" max="48" width="3.21875" style="1132" bestFit="1" customWidth="1"/>
    <col min="49" max="49" width="8.33203125" style="1132" bestFit="1" customWidth="1"/>
    <col min="50" max="50" width="8.88671875" style="1132"/>
    <col min="51" max="51" width="6.77734375" style="1132" bestFit="1" customWidth="1"/>
    <col min="52" max="52" width="8.33203125" style="1132" bestFit="1" customWidth="1"/>
    <col min="53" max="53" width="7" style="1132" bestFit="1" customWidth="1"/>
    <col min="54" max="54" width="7.77734375" style="1132" bestFit="1" customWidth="1"/>
    <col min="55" max="56" width="8.33203125" style="1132" bestFit="1" customWidth="1"/>
    <col min="57" max="63" width="8.88671875" style="1132" hidden="1" customWidth="1"/>
    <col min="64" max="16384" width="8.88671875" style="1132"/>
  </cols>
  <sheetData>
    <row r="1" spans="2:43" ht="13.8" thickBot="1">
      <c r="B1" s="1143">
        <v>175.75</v>
      </c>
    </row>
    <row r="2" spans="2:43">
      <c r="B2" s="1114"/>
      <c r="C2" s="1051"/>
      <c r="D2" s="1051"/>
      <c r="E2" s="1051"/>
      <c r="F2" s="1051"/>
      <c r="G2" s="1051"/>
      <c r="H2" s="1051"/>
      <c r="I2" s="1052"/>
      <c r="J2" s="1052"/>
      <c r="K2" s="1052"/>
      <c r="L2" s="1052"/>
      <c r="M2" s="1052"/>
      <c r="N2" s="1052"/>
      <c r="Q2" s="1053"/>
      <c r="R2" s="1053"/>
      <c r="AN2" s="1052"/>
      <c r="AO2" s="1052"/>
      <c r="AP2" s="1052"/>
      <c r="AQ2" s="1052"/>
    </row>
    <row r="3" spans="2:43">
      <c r="B3" s="1115"/>
      <c r="C3" s="1051"/>
      <c r="D3" s="1051"/>
      <c r="E3" s="1051"/>
      <c r="F3" s="1051"/>
      <c r="G3" s="1051"/>
      <c r="H3" s="1051"/>
      <c r="I3" s="1052"/>
      <c r="J3" s="1052"/>
      <c r="K3" s="1052"/>
      <c r="L3" s="1052"/>
      <c r="M3" s="1052"/>
      <c r="N3" s="1052"/>
      <c r="Q3" s="1053"/>
      <c r="R3" s="1053"/>
      <c r="AN3" s="1052"/>
      <c r="AO3" s="1052"/>
      <c r="AP3" s="1052"/>
      <c r="AQ3" s="1052"/>
    </row>
    <row r="4" spans="2:43">
      <c r="B4" s="1114"/>
      <c r="C4" s="1051"/>
      <c r="D4" s="1051"/>
      <c r="E4" s="1051"/>
      <c r="F4" s="1051"/>
      <c r="G4" s="1051"/>
      <c r="H4" s="1051"/>
      <c r="I4" s="1052"/>
      <c r="J4" s="1052"/>
      <c r="K4" s="1052"/>
      <c r="L4" s="1052"/>
      <c r="M4" s="1052"/>
      <c r="N4" s="1052"/>
      <c r="Q4" s="1053"/>
      <c r="R4" s="1053"/>
      <c r="AN4" s="1052"/>
      <c r="AO4" s="1052"/>
      <c r="AP4" s="1052"/>
      <c r="AQ4" s="1052"/>
    </row>
    <row r="5" spans="2:43">
      <c r="B5" s="1114"/>
      <c r="C5" s="1051"/>
      <c r="D5" s="1051"/>
      <c r="E5" s="1051"/>
      <c r="F5" s="1051"/>
      <c r="G5" s="1051"/>
      <c r="H5" s="1051"/>
      <c r="I5" s="1052"/>
      <c r="J5" s="1052"/>
      <c r="K5" s="1052"/>
      <c r="L5" s="1052"/>
      <c r="M5" s="1052"/>
      <c r="N5" s="1052"/>
      <c r="Q5" s="1053"/>
      <c r="R5" s="1053"/>
      <c r="AN5" s="1052"/>
      <c r="AO5" s="1052"/>
      <c r="AP5" s="1052"/>
      <c r="AQ5" s="1052"/>
    </row>
    <row r="6" spans="2:43">
      <c r="B6" s="1114"/>
      <c r="C6" s="1051"/>
      <c r="D6" s="1051"/>
      <c r="E6" s="1051"/>
      <c r="F6" s="1051"/>
      <c r="G6" s="1051"/>
      <c r="H6" s="1051"/>
      <c r="I6" s="1052"/>
      <c r="J6" s="1052"/>
      <c r="K6" s="1052"/>
      <c r="L6" s="1052"/>
      <c r="M6" s="1052"/>
      <c r="N6" s="1052"/>
      <c r="Q6" s="1053"/>
      <c r="R6" s="1053"/>
      <c r="AN6" s="1052"/>
      <c r="AO6" s="1052"/>
      <c r="AP6" s="1052"/>
      <c r="AQ6" s="1052"/>
    </row>
    <row r="7" spans="2:43">
      <c r="B7" s="1114"/>
      <c r="C7" s="1051"/>
      <c r="D7" s="1051"/>
      <c r="E7" s="1051"/>
      <c r="F7" s="1051"/>
      <c r="G7" s="1051"/>
      <c r="H7" s="1051"/>
      <c r="I7" s="1052"/>
      <c r="J7" s="1052"/>
      <c r="K7" s="1052"/>
      <c r="L7" s="1052"/>
      <c r="M7" s="1052"/>
      <c r="N7" s="1052"/>
      <c r="Q7" s="1053"/>
      <c r="R7" s="1053"/>
      <c r="AN7" s="1052"/>
      <c r="AO7" s="1052"/>
      <c r="AP7" s="1052"/>
      <c r="AQ7" s="1052"/>
    </row>
    <row r="8" spans="2:43">
      <c r="B8" s="1114"/>
      <c r="C8" s="1051"/>
      <c r="D8" s="1051"/>
      <c r="E8" s="1051"/>
      <c r="F8" s="1051"/>
      <c r="G8" s="1051"/>
      <c r="H8" s="1051"/>
      <c r="I8" s="1052"/>
      <c r="J8" s="1052"/>
      <c r="K8" s="1052"/>
      <c r="L8" s="1052"/>
      <c r="M8" s="1052"/>
      <c r="N8" s="1052"/>
      <c r="Q8" s="1053"/>
      <c r="R8" s="1053"/>
      <c r="AN8" s="1052"/>
      <c r="AO8" s="1052"/>
      <c r="AP8" s="1052"/>
      <c r="AQ8" s="1052"/>
    </row>
    <row r="9" spans="2:43">
      <c r="B9" s="1114"/>
      <c r="C9" s="1051"/>
      <c r="D9" s="1051"/>
      <c r="E9" s="1051"/>
      <c r="F9" s="1051"/>
      <c r="G9" s="1051"/>
      <c r="H9" s="1051"/>
      <c r="I9" s="1052"/>
      <c r="J9" s="1052"/>
      <c r="K9" s="1052"/>
      <c r="L9" s="1052"/>
      <c r="M9" s="1052"/>
      <c r="N9" s="1052"/>
      <c r="Q9" s="1053"/>
      <c r="R9" s="1053"/>
      <c r="AN9" s="1052"/>
      <c r="AO9" s="1052"/>
      <c r="AP9" s="1052"/>
      <c r="AQ9" s="1052"/>
    </row>
    <row r="10" spans="2:43">
      <c r="B10" s="1114"/>
      <c r="C10" s="1051"/>
      <c r="D10" s="1051"/>
      <c r="E10" s="1051"/>
      <c r="F10" s="1051"/>
      <c r="G10" s="1051"/>
      <c r="H10" s="1051"/>
      <c r="I10" s="1052"/>
      <c r="J10" s="1052"/>
      <c r="K10" s="1052"/>
      <c r="L10" s="1052"/>
      <c r="M10" s="1052"/>
      <c r="N10" s="1052"/>
      <c r="Q10" s="1053"/>
      <c r="R10" s="1053"/>
      <c r="AN10" s="1052"/>
      <c r="AO10" s="1052"/>
      <c r="AP10" s="1052"/>
      <c r="AQ10" s="1052"/>
    </row>
    <row r="11" spans="2:43" hidden="1">
      <c r="B11" s="1114"/>
      <c r="C11" s="1051"/>
      <c r="D11" s="1051"/>
      <c r="E11" s="1051"/>
      <c r="F11" s="1051"/>
      <c r="G11" s="1051"/>
      <c r="H11" s="1051"/>
      <c r="I11" s="1052"/>
      <c r="J11" s="1052"/>
      <c r="K11" s="1052"/>
      <c r="L11" s="1052"/>
      <c r="M11" s="1052"/>
      <c r="N11" s="1052"/>
      <c r="Q11" s="1053"/>
      <c r="R11" s="1053"/>
      <c r="AN11" s="1052"/>
      <c r="AO11" s="1052"/>
      <c r="AP11" s="1052"/>
      <c r="AQ11" s="1052"/>
    </row>
    <row r="12" spans="2:43" hidden="1">
      <c r="B12" s="1114"/>
      <c r="C12" s="1051"/>
      <c r="D12" s="1051"/>
      <c r="E12" s="1051"/>
      <c r="F12" s="1051"/>
      <c r="G12" s="1051"/>
      <c r="H12" s="1051"/>
      <c r="I12" s="1052"/>
      <c r="J12" s="1052"/>
      <c r="K12" s="1052"/>
      <c r="L12" s="1052"/>
      <c r="M12" s="1052"/>
      <c r="N12" s="1052"/>
      <c r="Q12" s="1053"/>
      <c r="R12" s="1053"/>
      <c r="AN12" s="1052"/>
      <c r="AO12" s="1052"/>
      <c r="AP12" s="1052"/>
      <c r="AQ12" s="1052"/>
    </row>
    <row r="13" spans="2:43" hidden="1">
      <c r="B13" s="1114"/>
      <c r="C13" s="1051"/>
      <c r="D13" s="1051"/>
      <c r="E13" s="1051"/>
      <c r="F13" s="1051"/>
      <c r="G13" s="1051"/>
      <c r="H13" s="1051"/>
      <c r="I13" s="1052"/>
      <c r="J13" s="1052"/>
      <c r="K13" s="1052"/>
      <c r="L13" s="1052"/>
      <c r="M13" s="1052"/>
      <c r="N13" s="1052"/>
      <c r="Q13" s="1053"/>
      <c r="R13" s="1053"/>
      <c r="AN13" s="1052"/>
      <c r="AO13" s="1052"/>
      <c r="AP13" s="1052"/>
      <c r="AQ13" s="1052"/>
    </row>
    <row r="14" spans="2:43" hidden="1">
      <c r="B14" s="1114"/>
      <c r="C14" s="1051"/>
      <c r="D14" s="1051"/>
      <c r="E14" s="1051"/>
      <c r="F14" s="1051"/>
      <c r="G14" s="1051"/>
      <c r="H14" s="1051"/>
      <c r="I14" s="1052"/>
      <c r="J14" s="1052"/>
      <c r="K14" s="1052"/>
      <c r="L14" s="1052"/>
      <c r="M14" s="1052"/>
      <c r="N14" s="1052"/>
      <c r="Q14" s="1053"/>
      <c r="R14" s="1053"/>
      <c r="AN14" s="1052"/>
      <c r="AO14" s="1052"/>
      <c r="AP14" s="1052"/>
      <c r="AQ14" s="1052"/>
    </row>
    <row r="15" spans="2:43" hidden="1">
      <c r="B15" s="1114" t="s">
        <v>929</v>
      </c>
      <c r="C15" s="1051"/>
      <c r="D15" s="1128"/>
      <c r="E15" s="1051"/>
      <c r="F15" s="1051"/>
      <c r="G15" s="1051"/>
      <c r="H15" s="1051"/>
      <c r="I15" s="1052"/>
      <c r="J15" s="1052"/>
      <c r="K15" s="1052"/>
      <c r="L15" s="1052"/>
      <c r="M15" s="1052"/>
      <c r="N15" s="1052"/>
      <c r="Q15" s="1053"/>
      <c r="R15" s="1053"/>
      <c r="AN15" s="1052"/>
      <c r="AO15" s="1052"/>
      <c r="AP15" s="1052"/>
      <c r="AQ15" s="1052"/>
    </row>
    <row r="16" spans="2:43" hidden="1">
      <c r="B16" s="1120">
        <f ca="1">SUM(BF45:BF119)*$B$1/100</f>
        <v>29223.71</v>
      </c>
      <c r="C16" s="1051"/>
      <c r="D16" s="1128"/>
      <c r="E16" s="1051"/>
      <c r="F16" s="1051"/>
      <c r="G16" s="1051"/>
      <c r="H16" s="1051"/>
      <c r="I16" s="1052"/>
      <c r="J16" s="1052"/>
      <c r="K16" s="1052"/>
      <c r="L16" s="1052"/>
      <c r="M16" s="1052"/>
      <c r="N16" s="1052"/>
      <c r="Q16" s="1053"/>
      <c r="R16" s="1053"/>
      <c r="AN16" s="1052"/>
      <c r="AO16" s="1052"/>
      <c r="AP16" s="1052"/>
      <c r="AQ16" s="1052"/>
    </row>
    <row r="17" spans="2:43" hidden="1">
      <c r="B17" s="1121" t="s">
        <v>931</v>
      </c>
      <c r="C17" s="1051"/>
      <c r="D17" s="1128"/>
      <c r="E17" s="1051"/>
      <c r="F17" s="1051"/>
      <c r="G17" s="1051"/>
      <c r="H17" s="1051"/>
      <c r="I17" s="1052"/>
      <c r="J17" s="1052"/>
      <c r="K17" s="1052"/>
      <c r="L17" s="1052"/>
      <c r="M17" s="1052"/>
      <c r="N17" s="1052"/>
      <c r="Q17" s="1053"/>
      <c r="R17" s="1053"/>
      <c r="AN17" s="1052"/>
      <c r="AO17" s="1052"/>
      <c r="AP17" s="1052"/>
      <c r="AQ17" s="1052"/>
    </row>
    <row r="18" spans="2:43" hidden="1">
      <c r="B18" s="1122">
        <f ca="1">B20*1.1</f>
        <v>35783</v>
      </c>
      <c r="C18" s="1051"/>
      <c r="D18" s="1128"/>
      <c r="E18" s="1051"/>
      <c r="F18" s="1051"/>
      <c r="G18" s="1051"/>
      <c r="H18" s="1051"/>
      <c r="I18" s="1052"/>
      <c r="J18" s="1052"/>
      <c r="K18" s="1052"/>
      <c r="L18" s="1052"/>
      <c r="M18" s="1052"/>
      <c r="N18" s="1052"/>
      <c r="Q18" s="1053"/>
      <c r="R18" s="1053"/>
      <c r="AN18" s="1052"/>
      <c r="AO18" s="1052"/>
      <c r="AP18" s="1052"/>
      <c r="AQ18" s="1052"/>
    </row>
    <row r="19" spans="2:43" hidden="1">
      <c r="B19" s="1114" t="s">
        <v>930</v>
      </c>
      <c r="C19" s="1051"/>
      <c r="D19" s="1128"/>
      <c r="E19" s="1051"/>
      <c r="F19" s="1051"/>
      <c r="G19" s="1051"/>
      <c r="H19" s="1051"/>
      <c r="I19" s="1052"/>
      <c r="J19" s="1052"/>
      <c r="K19" s="1052"/>
      <c r="L19" s="1052"/>
      <c r="M19" s="1052"/>
      <c r="N19" s="1052"/>
      <c r="Q19" s="1053"/>
      <c r="R19" s="1053"/>
      <c r="AN19" s="1052"/>
      <c r="AO19" s="1052"/>
      <c r="AP19" s="1052"/>
      <c r="AQ19" s="1052"/>
    </row>
    <row r="20" spans="2:43" hidden="1">
      <c r="B20" s="1120">
        <f ca="1">SUM(BE45:BE119)</f>
        <v>32530</v>
      </c>
      <c r="C20" s="1051"/>
      <c r="D20" s="1128"/>
      <c r="E20" s="1051"/>
      <c r="F20" s="1051"/>
      <c r="G20" s="1051"/>
      <c r="H20" s="1051"/>
      <c r="I20" s="1052"/>
      <c r="J20" s="1052"/>
      <c r="K20" s="1052"/>
      <c r="L20" s="1052"/>
      <c r="M20" s="1052"/>
      <c r="N20" s="1052"/>
      <c r="Q20" s="1053"/>
      <c r="R20" s="1053"/>
      <c r="AN20" s="1052"/>
      <c r="AO20" s="1052"/>
      <c r="AP20" s="1052"/>
      <c r="AQ20" s="1052"/>
    </row>
    <row r="21" spans="2:43" hidden="1">
      <c r="B21" s="1114" t="s">
        <v>932</v>
      </c>
      <c r="C21" s="1051"/>
      <c r="D21" s="1128"/>
      <c r="E21" s="1051"/>
      <c r="F21" s="1051"/>
      <c r="G21" s="1051"/>
      <c r="H21" s="1051"/>
      <c r="I21" s="1052"/>
      <c r="J21" s="1052"/>
      <c r="K21" s="1052"/>
      <c r="L21" s="1052"/>
      <c r="M21" s="1052"/>
      <c r="N21" s="1052"/>
      <c r="Q21" s="1053"/>
      <c r="R21" s="1053"/>
      <c r="AN21" s="1052"/>
      <c r="AO21" s="1052"/>
      <c r="AP21" s="1052"/>
      <c r="AQ21" s="1052"/>
    </row>
    <row r="22" spans="2:43" hidden="1">
      <c r="B22" s="1120">
        <f ca="1">SUM(BG45:BG119)*B30</f>
        <v>213734.6507334768</v>
      </c>
      <c r="C22" s="1051"/>
      <c r="D22" s="1128"/>
      <c r="E22" s="1051"/>
      <c r="F22" s="1051"/>
      <c r="G22" s="1051"/>
      <c r="H22" s="1051"/>
      <c r="I22" s="1052"/>
      <c r="J22" s="1052"/>
      <c r="K22" s="1052"/>
      <c r="L22" s="1052"/>
      <c r="M22" s="1052"/>
      <c r="N22" s="1052"/>
      <c r="Q22" s="1053"/>
      <c r="R22" s="1053"/>
      <c r="AN22" s="1052"/>
      <c r="AO22" s="1052"/>
      <c r="AP22" s="1052"/>
      <c r="AQ22" s="1052"/>
    </row>
    <row r="23" spans="2:43" hidden="1">
      <c r="B23" s="1114" t="s">
        <v>933</v>
      </c>
      <c r="C23" s="1051"/>
      <c r="D23" s="1128"/>
      <c r="E23" s="1051"/>
      <c r="F23" s="1051"/>
      <c r="G23" s="1051"/>
      <c r="H23" s="1051"/>
      <c r="I23" s="1052"/>
      <c r="J23" s="1052"/>
      <c r="K23" s="1052"/>
      <c r="L23" s="1052"/>
      <c r="M23" s="1052"/>
      <c r="N23" s="1052"/>
      <c r="Q23" s="1053"/>
      <c r="R23" s="1053"/>
      <c r="AN23" s="1052"/>
      <c r="AO23" s="1052"/>
      <c r="AP23" s="1052"/>
      <c r="AQ23" s="1052"/>
    </row>
    <row r="24" spans="2:43" hidden="1">
      <c r="B24" s="1120">
        <f ca="1">SUM(BH45:BH119)*B30</f>
        <v>1285354.5311699971</v>
      </c>
      <c r="C24" s="1051"/>
      <c r="D24" s="1128"/>
      <c r="E24" s="1051"/>
      <c r="F24" s="1051"/>
      <c r="G24" s="1051"/>
      <c r="H24" s="1051"/>
      <c r="I24" s="1052"/>
      <c r="J24" s="1052"/>
      <c r="K24" s="1052"/>
      <c r="L24" s="1052"/>
      <c r="M24" s="1052"/>
      <c r="N24" s="1052"/>
      <c r="Q24" s="1053"/>
      <c r="R24" s="1053"/>
      <c r="AN24" s="1052"/>
      <c r="AO24" s="1052"/>
      <c r="AP24" s="1052"/>
      <c r="AQ24" s="1052"/>
    </row>
    <row r="25" spans="2:43" hidden="1">
      <c r="B25" s="1114" t="s">
        <v>934</v>
      </c>
      <c r="C25" s="1051"/>
      <c r="D25" s="1128"/>
      <c r="E25" s="1051"/>
      <c r="F25" s="1051"/>
      <c r="G25" s="1051"/>
      <c r="H25" s="1051"/>
      <c r="I25" s="1052"/>
      <c r="J25" s="1052"/>
      <c r="K25" s="1052"/>
      <c r="L25" s="1052"/>
      <c r="M25" s="1052"/>
      <c r="N25" s="1052"/>
      <c r="Q25" s="1053"/>
      <c r="R25" s="1053"/>
      <c r="AN25" s="1052"/>
      <c r="AO25" s="1052"/>
      <c r="AP25" s="1052"/>
      <c r="AQ25" s="1052"/>
    </row>
    <row r="26" spans="2:43" hidden="1">
      <c r="B26" s="1120">
        <f ca="1">SUM(BI45:BI119)*B30</f>
        <v>15277.541108515217</v>
      </c>
      <c r="C26" s="1051"/>
      <c r="D26" s="1128"/>
      <c r="E26" s="1051"/>
      <c r="F26" s="1051"/>
      <c r="G26" s="1051"/>
      <c r="H26" s="1051"/>
      <c r="I26" s="1052"/>
      <c r="J26" s="1052"/>
      <c r="K26" s="1052"/>
      <c r="L26" s="1052"/>
      <c r="M26" s="1052"/>
      <c r="N26" s="1052"/>
      <c r="Q26" s="1053"/>
      <c r="R26" s="1053"/>
      <c r="AN26" s="1052"/>
      <c r="AO26" s="1052"/>
      <c r="AP26" s="1052"/>
      <c r="AQ26" s="1052"/>
    </row>
    <row r="27" spans="2:43" hidden="1">
      <c r="B27" s="1114" t="s">
        <v>935</v>
      </c>
      <c r="C27" s="1051"/>
      <c r="D27" s="1128"/>
      <c r="E27" s="1051"/>
      <c r="F27" s="1051"/>
      <c r="G27" s="1051"/>
      <c r="H27" s="1051"/>
      <c r="I27" s="1052"/>
      <c r="J27" s="1052"/>
      <c r="K27" s="1052"/>
      <c r="L27" s="1052"/>
      <c r="M27" s="1052"/>
      <c r="N27" s="1052"/>
      <c r="Q27" s="1053"/>
      <c r="R27" s="1053"/>
      <c r="AN27" s="1052"/>
      <c r="AO27" s="1052"/>
      <c r="AP27" s="1052"/>
      <c r="AQ27" s="1052"/>
    </row>
    <row r="28" spans="2:43" hidden="1">
      <c r="B28" s="1120">
        <f ca="1">SUM(BJ45:BJ119)*B30</f>
        <v>70339.035409468182</v>
      </c>
      <c r="C28" s="1051"/>
      <c r="D28" s="1128"/>
      <c r="E28" s="1051"/>
      <c r="F28" s="1051"/>
      <c r="G28" s="1051"/>
      <c r="H28" s="1051"/>
      <c r="I28" s="1052"/>
      <c r="J28" s="1052"/>
      <c r="K28" s="1052"/>
      <c r="L28" s="1052"/>
      <c r="M28" s="1052"/>
      <c r="N28" s="1052"/>
      <c r="Q28" s="1053"/>
      <c r="R28" s="1053"/>
      <c r="AN28" s="1052"/>
      <c r="AO28" s="1052"/>
      <c r="AP28" s="1052"/>
      <c r="AQ28" s="1052"/>
    </row>
    <row r="29" spans="2:43" hidden="1">
      <c r="B29" s="1120" t="s">
        <v>938</v>
      </c>
      <c r="C29" s="1051"/>
      <c r="D29" s="1128"/>
      <c r="E29" s="1051"/>
      <c r="F29" s="1051"/>
      <c r="G29" s="1051"/>
      <c r="H29" s="1051"/>
      <c r="I29" s="1052"/>
      <c r="J29" s="1052"/>
      <c r="K29" s="1052"/>
      <c r="L29" s="1052"/>
      <c r="M29" s="1052"/>
      <c r="N29" s="1052"/>
      <c r="Q29" s="1053"/>
      <c r="R29" s="1053"/>
      <c r="AN29" s="1052"/>
      <c r="AO29" s="1052"/>
      <c r="AP29" s="1052"/>
      <c r="AQ29" s="1052"/>
    </row>
    <row r="30" spans="2:43" hidden="1">
      <c r="B30" s="1130">
        <f ca="1">IF(B16&gt;=B20, 1, B16/B20)</f>
        <v>0.89836181985859209</v>
      </c>
      <c r="C30" s="1051"/>
      <c r="D30" s="1128"/>
      <c r="E30" s="1051"/>
      <c r="F30" s="1051"/>
      <c r="G30" s="1051"/>
      <c r="H30" s="1051"/>
      <c r="I30" s="1052"/>
      <c r="J30" s="1052"/>
      <c r="K30" s="1052"/>
      <c r="L30" s="1052"/>
      <c r="M30" s="1052"/>
      <c r="N30" s="1052"/>
      <c r="Q30" s="1053"/>
      <c r="R30" s="1053"/>
      <c r="AN30" s="1052"/>
      <c r="AO30" s="1052"/>
      <c r="AP30" s="1052"/>
      <c r="AQ30" s="1052"/>
    </row>
    <row r="31" spans="2:43" hidden="1">
      <c r="B31" s="1120" t="s">
        <v>939</v>
      </c>
      <c r="C31" s="1051"/>
      <c r="D31" s="1128"/>
      <c r="E31" s="1051"/>
      <c r="F31" s="1051"/>
      <c r="G31" s="1051"/>
      <c r="H31" s="1051"/>
      <c r="I31" s="1052"/>
      <c r="J31" s="1052"/>
      <c r="K31" s="1052"/>
      <c r="L31" s="1052"/>
      <c r="M31" s="1052"/>
      <c r="N31" s="1052"/>
      <c r="Q31" s="1053"/>
      <c r="R31" s="1053"/>
      <c r="AN31" s="1052"/>
      <c r="AO31" s="1052"/>
      <c r="AP31" s="1052"/>
      <c r="AQ31" s="1052"/>
    </row>
    <row r="32" spans="2:43" hidden="1">
      <c r="B32" s="1129">
        <f ca="1">B16/B20</f>
        <v>0.89836181985859209</v>
      </c>
      <c r="C32" s="1051"/>
      <c r="D32" s="1128"/>
      <c r="E32" s="1051"/>
      <c r="F32" s="1051"/>
      <c r="G32" s="1051"/>
      <c r="H32" s="1051"/>
      <c r="I32" s="1052"/>
      <c r="J32" s="1052"/>
      <c r="K32" s="1052"/>
      <c r="L32" s="1052"/>
      <c r="M32" s="1052"/>
      <c r="N32" s="1052"/>
      <c r="Q32" s="1053"/>
      <c r="R32" s="1053"/>
      <c r="AN32" s="1052"/>
      <c r="AO32" s="1052"/>
      <c r="AP32" s="1052"/>
      <c r="AQ32" s="1052"/>
    </row>
    <row r="33" spans="2:63" hidden="1">
      <c r="B33" s="1114" t="s">
        <v>940</v>
      </c>
      <c r="C33" s="1051"/>
      <c r="D33" s="1128"/>
      <c r="E33" s="1051"/>
      <c r="F33" s="1051"/>
      <c r="G33" s="1051"/>
      <c r="H33" s="1051"/>
      <c r="I33" s="1052"/>
      <c r="J33" s="1052"/>
      <c r="K33" s="1052"/>
      <c r="L33" s="1052"/>
      <c r="M33" s="1052"/>
      <c r="N33" s="1052"/>
      <c r="Q33" s="1053"/>
      <c r="R33" s="1053"/>
      <c r="AN33" s="1052"/>
      <c r="AO33" s="1052"/>
      <c r="AP33" s="1052"/>
      <c r="AQ33" s="1052"/>
    </row>
    <row r="34" spans="2:63" hidden="1">
      <c r="B34" s="1116">
        <f ca="1">SUM(BK45:BK119)</f>
        <v>35284</v>
      </c>
      <c r="C34" s="1051"/>
      <c r="D34" s="1128"/>
      <c r="E34" s="1051"/>
      <c r="F34" s="1051"/>
      <c r="G34" s="1051"/>
      <c r="H34" s="1051"/>
      <c r="I34" s="1052"/>
      <c r="J34" s="1052"/>
      <c r="K34" s="1052"/>
      <c r="L34" s="1052"/>
      <c r="M34" s="1052"/>
      <c r="N34" s="1052"/>
      <c r="Q34" s="1053"/>
      <c r="R34" s="1053"/>
      <c r="AN34" s="1052"/>
      <c r="AO34" s="1052"/>
      <c r="AP34" s="1052"/>
      <c r="AQ34" s="1052"/>
    </row>
    <row r="35" spans="2:63" hidden="1">
      <c r="B35" s="1114" t="s">
        <v>941</v>
      </c>
      <c r="C35" s="1051"/>
      <c r="D35" s="1128"/>
      <c r="E35" s="1051"/>
      <c r="F35" s="1051"/>
      <c r="G35" s="1051"/>
      <c r="H35" s="1051"/>
      <c r="I35" s="1052"/>
      <c r="J35" s="1052"/>
      <c r="K35" s="1052"/>
      <c r="L35" s="1052"/>
      <c r="M35" s="1052"/>
      <c r="N35" s="1052"/>
      <c r="Q35" s="1053"/>
      <c r="R35" s="1053"/>
      <c r="AN35" s="1052"/>
      <c r="AO35" s="1052"/>
      <c r="AP35" s="1052"/>
      <c r="AQ35" s="1052"/>
    </row>
    <row r="36" spans="2:63" hidden="1">
      <c r="B36" s="1116">
        <f ca="1">IF(B16&lt;B20, B16, B20)</f>
        <v>29223.71</v>
      </c>
      <c r="C36" s="1051"/>
      <c r="D36" s="1128"/>
      <c r="E36" s="1051"/>
      <c r="F36" s="1051"/>
      <c r="G36" s="1051"/>
      <c r="H36" s="1051"/>
      <c r="I36" s="1052"/>
      <c r="J36" s="1052"/>
      <c r="K36" s="1052"/>
      <c r="L36" s="1052"/>
      <c r="M36" s="1052"/>
      <c r="N36" s="1052"/>
      <c r="Q36" s="1053"/>
      <c r="R36" s="1053"/>
      <c r="AN36" s="1052"/>
      <c r="AO36" s="1052"/>
      <c r="AP36" s="1052"/>
      <c r="AQ36" s="1052"/>
    </row>
    <row r="37" spans="2:63" hidden="1">
      <c r="B37" s="1114" t="s">
        <v>942</v>
      </c>
      <c r="C37" s="1051"/>
      <c r="D37" s="1128"/>
      <c r="E37" s="1051"/>
      <c r="F37" s="1051"/>
      <c r="G37" s="1051"/>
      <c r="H37" s="1051"/>
      <c r="I37" s="1052"/>
      <c r="J37" s="1052"/>
      <c r="K37" s="1052"/>
      <c r="L37" s="1052"/>
      <c r="M37" s="1052"/>
      <c r="N37" s="1052"/>
      <c r="Q37" s="1053"/>
      <c r="R37" s="1053"/>
      <c r="AN37" s="1052"/>
      <c r="AO37" s="1052"/>
      <c r="AP37" s="1052"/>
      <c r="AQ37" s="1052"/>
    </row>
    <row r="38" spans="2:63" hidden="1">
      <c r="B38" s="1120">
        <f ca="1">IF(AND(B16&gt;B20, B20&lt;&gt;B34), B16*0.999365, B16)</f>
        <v>29223.71</v>
      </c>
      <c r="C38" s="1051"/>
      <c r="D38" s="1128"/>
      <c r="E38" s="1051"/>
      <c r="F38" s="1051"/>
      <c r="G38" s="1051"/>
      <c r="H38" s="1051"/>
      <c r="I38" s="1052"/>
      <c r="J38" s="1052"/>
      <c r="K38" s="1052"/>
      <c r="L38" s="1052"/>
      <c r="M38" s="1052"/>
      <c r="N38" s="1052"/>
      <c r="Q38" s="1053"/>
      <c r="R38" s="1053"/>
      <c r="AN38" s="1052"/>
      <c r="AO38" s="1052"/>
      <c r="AP38" s="1052"/>
      <c r="AQ38" s="1052"/>
    </row>
    <row r="39" spans="2:63" hidden="1">
      <c r="B39" s="1114" t="s">
        <v>943</v>
      </c>
      <c r="C39" s="1051"/>
      <c r="D39" s="1128"/>
      <c r="E39" s="1051"/>
      <c r="F39" s="1051"/>
      <c r="G39" s="1051"/>
      <c r="H39" s="1051"/>
      <c r="I39" s="1052"/>
      <c r="J39" s="1052"/>
      <c r="K39" s="1052"/>
      <c r="L39" s="1052"/>
      <c r="M39" s="1052"/>
      <c r="N39" s="1052"/>
      <c r="Q39" s="1053"/>
      <c r="R39" s="1053"/>
      <c r="AN39" s="1052"/>
      <c r="AO39" s="1052"/>
      <c r="AP39" s="1052"/>
      <c r="AQ39" s="1052"/>
    </row>
    <row r="40" spans="2:63" hidden="1">
      <c r="B40" s="1136" t="str">
        <f ca="1">IF(B32&gt;1.1,"来島者多すぎでアバター客が…", IF(B32&lt;0.85, "来島者少なすぎでカネー生産が…",IF(B32&lt;0.95, "まあいい感じ！", "ちょうど良い♪")))</f>
        <v>まあいい感じ！</v>
      </c>
      <c r="C40" s="1051"/>
      <c r="D40" s="1128"/>
      <c r="E40" s="1051"/>
      <c r="F40" s="1051"/>
      <c r="G40" s="1051"/>
      <c r="H40" s="1051"/>
      <c r="I40" s="1052"/>
      <c r="J40" s="1052"/>
      <c r="K40" s="1052"/>
      <c r="L40" s="1052"/>
      <c r="M40" s="1052"/>
      <c r="N40" s="1052"/>
      <c r="Q40" s="1053"/>
      <c r="R40" s="1053"/>
      <c r="AN40" s="1052"/>
      <c r="AO40" s="1052"/>
      <c r="AP40" s="1052"/>
      <c r="AQ40" s="1052"/>
    </row>
    <row r="42" spans="2:63">
      <c r="B42" s="1280" t="s">
        <v>26</v>
      </c>
      <c r="C42" s="1282" t="s">
        <v>287</v>
      </c>
      <c r="D42" s="1284" t="s">
        <v>744</v>
      </c>
      <c r="E42" s="1286" t="s">
        <v>25</v>
      </c>
      <c r="F42" s="1287"/>
      <c r="G42" s="1288"/>
      <c r="H42" s="1289"/>
      <c r="I42" s="1290" t="s">
        <v>310</v>
      </c>
      <c r="J42" s="1292" t="s">
        <v>911</v>
      </c>
      <c r="K42" s="1294" t="s">
        <v>284</v>
      </c>
      <c r="L42" s="1296" t="s">
        <v>910</v>
      </c>
      <c r="M42" s="1271" t="s">
        <v>38</v>
      </c>
      <c r="N42" s="1274"/>
      <c r="O42" s="1274"/>
      <c r="P42" s="1275"/>
      <c r="Q42" s="1271" t="s">
        <v>39</v>
      </c>
      <c r="R42" s="1274"/>
      <c r="S42" s="1274"/>
      <c r="T42" s="1274"/>
      <c r="U42" s="1297"/>
      <c r="V42" s="1271" t="s">
        <v>40</v>
      </c>
      <c r="W42" s="1274"/>
      <c r="X42" s="1274"/>
      <c r="Y42" s="1275"/>
      <c r="Z42" s="1271" t="s">
        <v>41</v>
      </c>
      <c r="AA42" s="1274"/>
      <c r="AB42" s="1274"/>
      <c r="AC42" s="1274"/>
      <c r="AD42" s="1275"/>
      <c r="AE42" s="1271" t="s">
        <v>912</v>
      </c>
      <c r="AF42" s="1274"/>
      <c r="AG42" s="1274"/>
      <c r="AH42" s="1275"/>
      <c r="AI42" s="1271" t="s">
        <v>913</v>
      </c>
      <c r="AJ42" s="1274"/>
      <c r="AK42" s="1274"/>
      <c r="AL42" s="1274"/>
      <c r="AM42" s="1275"/>
      <c r="AN42" s="1276" t="s">
        <v>915</v>
      </c>
      <c r="AO42" s="1277"/>
      <c r="AP42" s="1277"/>
      <c r="AQ42" s="1278"/>
      <c r="AR42" s="1271" t="s">
        <v>914</v>
      </c>
      <c r="AS42" s="1272"/>
      <c r="AT42" s="1272"/>
      <c r="AU42" s="1272"/>
      <c r="AV42" s="1272"/>
      <c r="AW42" s="1272"/>
      <c r="AX42" s="1279"/>
      <c r="AY42" s="1271" t="s">
        <v>920</v>
      </c>
      <c r="AZ42" s="1274"/>
      <c r="BA42" s="1275"/>
      <c r="BB42" s="1271" t="s">
        <v>921</v>
      </c>
      <c r="BC42" s="1274"/>
      <c r="BD42" s="1275"/>
      <c r="BE42" s="1271" t="s">
        <v>937</v>
      </c>
      <c r="BF42" s="1272"/>
      <c r="BG42" s="1272"/>
      <c r="BH42" s="1272"/>
      <c r="BI42" s="1272"/>
      <c r="BJ42" s="1272"/>
      <c r="BK42" s="1273"/>
    </row>
    <row r="43" spans="2:63" ht="25.2">
      <c r="B43" s="1281"/>
      <c r="C43" s="1283"/>
      <c r="D43" s="1285"/>
      <c r="E43" s="58" t="s">
        <v>745</v>
      </c>
      <c r="F43" s="1054" t="s">
        <v>3</v>
      </c>
      <c r="G43" s="56" t="s">
        <v>8</v>
      </c>
      <c r="H43" s="57" t="s">
        <v>13</v>
      </c>
      <c r="I43" s="1291"/>
      <c r="J43" s="1293"/>
      <c r="K43" s="1295"/>
      <c r="L43" s="1275"/>
      <c r="M43" s="1079" t="s">
        <v>2</v>
      </c>
      <c r="N43" s="1080" t="s">
        <v>18</v>
      </c>
      <c r="O43" s="1078" t="s">
        <v>673</v>
      </c>
      <c r="P43" s="1135" t="s">
        <v>909</v>
      </c>
      <c r="Q43" s="1077" t="s">
        <v>908</v>
      </c>
      <c r="R43" s="1078" t="s">
        <v>666</v>
      </c>
      <c r="S43" s="1078" t="s">
        <v>667</v>
      </c>
      <c r="T43" s="1078" t="s">
        <v>664</v>
      </c>
      <c r="U43" s="1081" t="s">
        <v>665</v>
      </c>
      <c r="V43" s="1079" t="s">
        <v>2</v>
      </c>
      <c r="W43" s="1080" t="s">
        <v>18</v>
      </c>
      <c r="X43" s="1078" t="s">
        <v>673</v>
      </c>
      <c r="Y43" s="1135" t="s">
        <v>909</v>
      </c>
      <c r="Z43" s="1077" t="s">
        <v>908</v>
      </c>
      <c r="AA43" s="1078" t="s">
        <v>666</v>
      </c>
      <c r="AB43" s="1078" t="s">
        <v>667</v>
      </c>
      <c r="AC43" s="1078" t="s">
        <v>664</v>
      </c>
      <c r="AD43" s="1135" t="s">
        <v>665</v>
      </c>
      <c r="AE43" s="1079" t="s">
        <v>2</v>
      </c>
      <c r="AF43" s="1080" t="s">
        <v>18</v>
      </c>
      <c r="AG43" s="1078" t="s">
        <v>673</v>
      </c>
      <c r="AH43" s="1135" t="s">
        <v>909</v>
      </c>
      <c r="AI43" s="1077" t="s">
        <v>908</v>
      </c>
      <c r="AJ43" s="1078" t="s">
        <v>666</v>
      </c>
      <c r="AK43" s="1078" t="s">
        <v>667</v>
      </c>
      <c r="AL43" s="1078" t="s">
        <v>664</v>
      </c>
      <c r="AM43" s="1135" t="s">
        <v>665</v>
      </c>
      <c r="AN43" s="1082" t="s">
        <v>34</v>
      </c>
      <c r="AO43" s="1083" t="s">
        <v>290</v>
      </c>
      <c r="AP43" s="1083" t="s">
        <v>274</v>
      </c>
      <c r="AQ43" s="1084" t="s">
        <v>27</v>
      </c>
      <c r="AR43" s="1077" t="s">
        <v>916</v>
      </c>
      <c r="AS43" s="1078" t="s">
        <v>917</v>
      </c>
      <c r="AT43" s="1080" t="s">
        <v>162</v>
      </c>
      <c r="AU43" s="1080" t="s">
        <v>163</v>
      </c>
      <c r="AV43" s="1080" t="s">
        <v>164</v>
      </c>
      <c r="AW43" s="1078" t="s">
        <v>918</v>
      </c>
      <c r="AX43" s="1135" t="s">
        <v>919</v>
      </c>
      <c r="AY43" s="1077" t="s">
        <v>924</v>
      </c>
      <c r="AZ43" s="1078" t="s">
        <v>922</v>
      </c>
      <c r="BA43" s="1135" t="s">
        <v>923</v>
      </c>
      <c r="BB43" s="1077" t="s">
        <v>925</v>
      </c>
      <c r="BC43" s="1078" t="s">
        <v>926</v>
      </c>
      <c r="BD43" s="1135" t="s">
        <v>927</v>
      </c>
      <c r="BE43" s="1077" t="s">
        <v>2</v>
      </c>
      <c r="BF43" s="1078" t="s">
        <v>936</v>
      </c>
      <c r="BG43" s="1078" t="s">
        <v>932</v>
      </c>
      <c r="BH43" s="1078" t="s">
        <v>933</v>
      </c>
      <c r="BI43" s="1078" t="s">
        <v>934</v>
      </c>
      <c r="BJ43" s="1078" t="s">
        <v>935</v>
      </c>
      <c r="BK43" s="1135" t="s">
        <v>944</v>
      </c>
    </row>
    <row r="44" spans="2:63">
      <c r="B44" s="1137"/>
      <c r="C44" s="1138"/>
      <c r="D44" s="1139"/>
      <c r="E44" s="58"/>
      <c r="F44" s="1054"/>
      <c r="G44" s="56"/>
      <c r="H44" s="57"/>
      <c r="I44" s="1140"/>
      <c r="J44" s="1141"/>
      <c r="K44" s="1142"/>
      <c r="L44" s="546"/>
      <c r="M44" s="1079"/>
      <c r="N44" s="1080"/>
      <c r="O44" s="1078"/>
      <c r="P44" s="1135"/>
      <c r="Q44" s="1077"/>
      <c r="R44" s="1078"/>
      <c r="S44" s="1078"/>
      <c r="T44" s="1078"/>
      <c r="U44" s="1081"/>
      <c r="V44" s="1079"/>
      <c r="W44" s="1080"/>
      <c r="X44" s="1078"/>
      <c r="Y44" s="1135"/>
      <c r="Z44" s="1077"/>
      <c r="AA44" s="1078"/>
      <c r="AB44" s="1078"/>
      <c r="AC44" s="1078"/>
      <c r="AD44" s="1135"/>
      <c r="AE44" s="1079"/>
      <c r="AF44" s="1080"/>
      <c r="AG44" s="1078"/>
      <c r="AH44" s="1135"/>
      <c r="AI44" s="1077"/>
      <c r="AJ44" s="1078"/>
      <c r="AK44" s="1078"/>
      <c r="AL44" s="1078"/>
      <c r="AM44" s="1135"/>
      <c r="AN44" s="1082"/>
      <c r="AO44" s="1083"/>
      <c r="AP44" s="1083"/>
      <c r="AQ44" s="1084"/>
      <c r="AR44" s="1077"/>
      <c r="AS44" s="1078"/>
      <c r="AT44" s="1080"/>
      <c r="AU44" s="1080"/>
      <c r="AV44" s="1080"/>
      <c r="AW44" s="1078"/>
      <c r="AX44" s="1135"/>
      <c r="AY44" s="1077"/>
      <c r="AZ44" s="1078"/>
      <c r="BA44" s="1135"/>
      <c r="BB44" s="1077"/>
      <c r="BC44" s="1078"/>
      <c r="BD44" s="1135"/>
      <c r="BE44" s="1077"/>
      <c r="BF44" s="1078"/>
      <c r="BG44" s="1078"/>
      <c r="BH44" s="1078"/>
      <c r="BI44" s="1078"/>
      <c r="BJ44" s="1078"/>
      <c r="BK44" s="1135"/>
    </row>
    <row r="45" spans="2:63">
      <c r="B45" s="203" t="s">
        <v>49</v>
      </c>
      <c r="C45" s="1055">
        <f ca="1">VLOOKUP(Myリゾート!$B45,OFFSET(高速化データ!$DD$6,0,0,高速化データ!$A$1,2), 2, FALSE)</f>
        <v>6</v>
      </c>
      <c r="D45" s="59" t="str">
        <f ca="1">LEFT(VLOOKUP(Myリゾート!$C45,OFFSET(高速化データ!$A$6,0,0,高速化データ!$A$1,106), 3, TRUE),2)</f>
        <v>カジ</v>
      </c>
      <c r="E45" s="1063" t="str">
        <f ca="1">VLOOKUP(Myリゾート!$C45,OFFSET(高速化データ!$A$6,0,0,高速化データ!$A$1,106), 4, TRUE)&amp;""</f>
        <v/>
      </c>
      <c r="F45" s="1064" t="str">
        <f ca="1">VLOOKUP(Myリゾート!$C45,OFFSET(高速化データ!$A$6,0,0,高速化データ!$A$1,106), 5, TRUE)&amp;""</f>
        <v>○</v>
      </c>
      <c r="G45" s="1064" t="str">
        <f ca="1">VLOOKUP(Myリゾート!$C45,OFFSET(高速化データ!$A$6,0,0,高速化データ!$A$1,106), 6, TRUE)&amp;""</f>
        <v/>
      </c>
      <c r="H45" s="1065" t="str">
        <f ca="1">VLOOKUP(Myリゾート!$C45,OFFSET(高速化データ!$A$6,0,0,高速化データ!$A$1,106), 7, TRUE)&amp;""</f>
        <v/>
      </c>
      <c r="I45" s="1131">
        <v>1</v>
      </c>
      <c r="J45" s="1134"/>
      <c r="K45" s="1061">
        <f ca="1">VLOOKUP(Myリゾート!$C45,OFFSET(高速化データ!$A$6,0,0,高速化データ!$A$1,106), 10, TRUE)</f>
        <v>3</v>
      </c>
      <c r="L45" s="1062">
        <f ca="1">VLOOKUP(Myリゾート!$C45,OFFSET(高速化データ!$A$6,0,0,高速化データ!$A$1,106), 12, TRUE)</f>
        <v>2.3255813953488373</v>
      </c>
      <c r="M45" s="1066">
        <f ca="1">VLOOKUP(Myリゾート!$C45,OFFSET(高速化データ!$A$6,0,0,高速化データ!$A$1,106), 86, TRUE)</f>
        <v>400</v>
      </c>
      <c r="N45" s="1058">
        <f ca="1">VLOOKUP(Myリゾート!$C45,OFFSET(高速化データ!$A$6,0,0,高速化データ!$A$1,106), 87, TRUE)</f>
        <v>172</v>
      </c>
      <c r="O45" s="1058">
        <f t="shared" ref="O45:O108" ca="1" si="0">N45*$B$1/100</f>
        <v>302.29000000000002</v>
      </c>
      <c r="P45" s="1059">
        <f ca="1">O45-M45</f>
        <v>-97.70999999999998</v>
      </c>
      <c r="Q45" s="1061">
        <f ca="1">VLOOKUP(Myリゾート!$C45,OFFSET(高速化データ!$A$6,0,0,高速化データ!$A$1,106), 88, TRUE)</f>
        <v>4</v>
      </c>
      <c r="R45" s="1060">
        <f ca="1">VLOOKUP(Myリゾート!$C45,OFFSET(高速化データ!$A$6,0,0,高速化データ!$A$1,106), 89, TRUE)</f>
        <v>1600</v>
      </c>
      <c r="S45" s="1060">
        <f ca="1">VLOOKUP(Myリゾート!$C45,OFFSET(高速化データ!$A$6,0,0,高速化データ!$A$1,106), 90, TRUE)</f>
        <v>4800</v>
      </c>
      <c r="T45" s="1060">
        <f ca="1">VLOOKUP(Myリゾート!$C45,OFFSET(高速化データ!$A$6,0,0,高速化データ!$A$1,106), 91, TRUE)</f>
        <v>120</v>
      </c>
      <c r="U45" s="1067">
        <f ca="1">VLOOKUP(Myリゾート!$C45,OFFSET(高速化データ!$A$6,0,0,高速化データ!$A$1,106), 92, TRUE)</f>
        <v>360</v>
      </c>
      <c r="V45" s="1066">
        <f ca="1">VLOOKUP(Myリゾート!$C45,OFFSET(高速化データ!$A$6,0,0,高速化データ!$A$1,106), 30, TRUE)</f>
        <v>200</v>
      </c>
      <c r="W45" s="1058">
        <f ca="1">VLOOKUP(Myリゾート!$C45,OFFSET(高速化データ!$A$6,0,0,高速化データ!$A$1,106), 31, TRUE)</f>
        <v>86</v>
      </c>
      <c r="X45" s="1058">
        <f t="shared" ref="X45:X108" ca="1" si="1">W45*$B$1/100</f>
        <v>151.14500000000001</v>
      </c>
      <c r="Y45" s="1068">
        <f ca="1">X45-V45</f>
        <v>-48.85499999999999</v>
      </c>
      <c r="Z45" s="1061">
        <f ca="1">VLOOKUP(Myリゾート!$C45,OFFSET(高速化データ!$A$6,0,0,高速化データ!$A$1,106), 32, TRUE)</f>
        <v>4</v>
      </c>
      <c r="AA45" s="1060">
        <f ca="1">VLOOKUP(Myリゾート!$C45,OFFSET(高速化データ!$A$6,0,0,高速化データ!$A$1,106), 33, TRUE)</f>
        <v>800</v>
      </c>
      <c r="AB45" s="1060">
        <f ca="1">VLOOKUP(Myリゾート!$C45,OFFSET(高速化データ!$A$6,0,0,高速化データ!$A$1,106), 34, TRUE)</f>
        <v>2400</v>
      </c>
      <c r="AC45" s="1060">
        <f ca="1">VLOOKUP(Myリゾート!$C45,OFFSET(高速化データ!$A$6,0,0,高速化データ!$A$1,106), 35, TRUE)</f>
        <v>60</v>
      </c>
      <c r="AD45" s="1069">
        <f ca="1">VLOOKUP(Myリゾート!$C45,OFFSET(高速化データ!$A$6,0,0,高速化データ!$A$1,106), 36, TRUE)</f>
        <v>180</v>
      </c>
      <c r="AE45" s="1066">
        <f ca="1">VLOOKUP(Myリゾート!$C45,OFFSET(高速化データ!$A$6,0,0,高速化データ!$A$1,106), 16+($I45*14), TRUE)</f>
        <v>200</v>
      </c>
      <c r="AF45" s="1058">
        <f ca="1">VLOOKUP(Myリゾート!$C45,OFFSET(高速化データ!$A$6,0,0,高速化データ!$A$1,106), 17+($I45*14), TRUE)</f>
        <v>86</v>
      </c>
      <c r="AG45" s="1058">
        <f t="shared" ref="AG45:AG108" ca="1" si="2">AF45*$B$1/100</f>
        <v>151.14500000000001</v>
      </c>
      <c r="AH45" s="1068">
        <f ca="1">AG45-AE45</f>
        <v>-48.85499999999999</v>
      </c>
      <c r="AI45" s="1061">
        <f ca="1">VLOOKUP(Myリゾート!$C45,OFFSET(高速化データ!$A$6,0,0,高速化データ!$A$1,106), 18+($I45*14), TRUE)</f>
        <v>4</v>
      </c>
      <c r="AJ45" s="1058">
        <f ca="1">VLOOKUP(Myリゾート!$C45,OFFSET(高速化データ!$A$6,0,0,高速化データ!$A$1,106), 19+($I45*14), TRUE)</f>
        <v>800</v>
      </c>
      <c r="AK45" s="1058">
        <f ca="1">VLOOKUP(Myリゾート!$C45,OFFSET(高速化データ!$A$6,0,0,高速化データ!$A$1,106), 20+($I45*14), TRUE)</f>
        <v>2400</v>
      </c>
      <c r="AL45" s="1058">
        <f ca="1">VLOOKUP(Myリゾート!$C45,OFFSET(高速化データ!$A$6,0,0,高速化データ!$A$1,106), 21+($I45*14), TRUE)</f>
        <v>60</v>
      </c>
      <c r="AM45" s="1070">
        <f ca="1">VLOOKUP(Myリゾート!$C45,OFFSET(高速化データ!$A$6,0,0,高速化データ!$A$1,106), 22+($I45*14), TRUE)</f>
        <v>180</v>
      </c>
      <c r="AN45" s="1072">
        <f ca="1">VLOOKUP(Myリゾート!$C45,OFFSET(高速化データ!$A$6,0,0,高速化データ!$A$1,106), 11, TRUE)</f>
        <v>7.4999999999999997E-2</v>
      </c>
      <c r="AO45" s="1110">
        <f ca="1">VLOOKUP(Myリゾート!$C45,OFFSET(高速化データ!$A$6,0,0,高速化データ!$A$1,106), 13, TRUE)</f>
        <v>30</v>
      </c>
      <c r="AP45" s="1073" t="str">
        <f ca="1">VLOOKUP(Myリゾート!$C45,OFFSET(高速化データ!$A$6,0,0,高速化データ!$A$1,106), 15, TRUE)</f>
        <v>A</v>
      </c>
      <c r="AQ45" s="1071" t="str">
        <f ca="1">VLOOKUP(Myリゾート!$C45,OFFSET(高速化データ!$A$6,0,0,高速化データ!$A$1,106), 9, TRUE)</f>
        <v>レベル</v>
      </c>
      <c r="AR45" s="1112">
        <f ca="1">IF($I45=5, 0,VLOOKUP(Myリゾート!$C45,OFFSET(高速化データ!$A$6,0,0,高速化データ!$A$1,106), 23+(($I45+1)*14), TRUE))</f>
        <v>8.3333333333333329E-2</v>
      </c>
      <c r="AS45" s="1058">
        <f ca="1">IF($I45=5, 0,VLOOKUP(Myリゾート!$C45,OFFSET(高速化データ!$A$6,0,0,高速化データ!$A$1,106), 24+(($I45+1)*14), TRUE))</f>
        <v>5000</v>
      </c>
      <c r="AT45" s="1074">
        <f ca="1">IF($I45=5, 0,VLOOKUP(Myリゾート!$C45,OFFSET(高速化データ!$A$6,0,0,高速化データ!$A$1,106), 25+(($I45+1)*14), TRUE))</f>
        <v>0</v>
      </c>
      <c r="AU45" s="1074">
        <f ca="1">IF($I45=5, 0,VLOOKUP(Myリゾート!$C45,OFFSET(高速化データ!$A$6,0,0,高速化データ!$A$1,106), 26+(($I45+1)*14), TRUE))</f>
        <v>0</v>
      </c>
      <c r="AV45" s="1074">
        <f ca="1">IF($I45=5, 0,VLOOKUP(Myリゾート!$C45,OFFSET(高速化データ!$A$6,0,0,高速化データ!$A$1,106), 27+(($I45+1)*14), TRUE))</f>
        <v>0</v>
      </c>
      <c r="AW45" s="1075">
        <f ca="1">IF($I45=5, 0,VLOOKUP(Myリゾート!$C45,OFFSET(高速化データ!$A$6,0,0,高速化データ!$A$1,106), 28+(($I45+1)*14), TRUE))</f>
        <v>0.17592592592592593</v>
      </c>
      <c r="AX45" s="1070">
        <f ca="1">IF($I45=5, 0,VLOOKUP(Myリゾート!$C45,OFFSET(高速化データ!$A$6,0,0,高速化データ!$A$1,106), 29+(($I45+1)*14), TRUE))</f>
        <v>60000</v>
      </c>
      <c r="AY45" s="1066">
        <f ca="1">IF($I45=5, 0, VLOOKUP(Myリゾート!$C45,OFFSET(高速化データ!$A$6,0,0,高速化データ!$A$1,106), 19+(($I45+1)*14), TRUE)-AJ45)</f>
        <v>400</v>
      </c>
      <c r="AZ45" s="1058">
        <f ca="1">IF($I45=5, 0, VLOOKUP(Myリゾート!$C45,OFFSET(高速化データ!$A$6,0,0,高速化データ!$A$1,106), 20+(($I45+1)*14), TRUE)-AK45)</f>
        <v>1200</v>
      </c>
      <c r="BA45" s="1076">
        <f ca="1">IF($I45=5, 0, VLOOKUP(Myリゾート!$C45,OFFSET(高速化データ!$A$6,0,0,高速化データ!$A$1,106), 17+(($I45+1)*14), TRUE)*$B$1/100-VLOOKUP(Myリゾート!$C45,OFFSET(高速化データ!$A$6,0,0,高速化データ!$A$1,106), 16+(($I45+1)*14),TRUE)-AH45)</f>
        <v>-24.427500000000009</v>
      </c>
      <c r="BB45" s="1056">
        <f ca="1">R45-AJ45</f>
        <v>800</v>
      </c>
      <c r="BC45" s="1057">
        <f ca="1">S45-AK45</f>
        <v>2400</v>
      </c>
      <c r="BD45" s="1068">
        <f ca="1">P45-AH45</f>
        <v>-48.85499999999999</v>
      </c>
      <c r="BE45" s="9">
        <f ca="1">IF(ISBLANK($J45),AE45,0)</f>
        <v>200</v>
      </c>
      <c r="BF45" s="7">
        <f ca="1">IF(ISBLANK($J45),AF45,0)</f>
        <v>86</v>
      </c>
      <c r="BG45" s="7">
        <f ca="1">IF(ISBLANK($J45),AJ45,0)</f>
        <v>800</v>
      </c>
      <c r="BH45" s="7">
        <f ca="1">IF(ISBLANK($J45),AK45,0)</f>
        <v>2400</v>
      </c>
      <c r="BI45" s="7">
        <f ca="1">IF(ISBLANK($J45),AL45,0)</f>
        <v>60</v>
      </c>
      <c r="BJ45" s="7">
        <f ca="1">IF(ISBLANK($J45),AM45,0)</f>
        <v>180</v>
      </c>
      <c r="BK45" s="8">
        <f ca="1">IF(AND(I45=0, NOT(ISBLANK(J45))), V45,AE45)</f>
        <v>200</v>
      </c>
    </row>
    <row r="46" spans="2:63">
      <c r="B46" s="203" t="s">
        <v>122</v>
      </c>
      <c r="C46" s="1055">
        <f ca="1">VLOOKUP(Myリゾート!$B46,OFFSET(高速化データ!$DD$6,0,0,高速化データ!$A$1,2), 2, FALSE)</f>
        <v>66</v>
      </c>
      <c r="D46" s="59" t="str">
        <f ca="1">LEFT(VLOOKUP(Myリゾート!$C46,OFFSET(高速化データ!$A$6,0,0,高速化データ!$A$1,106), 3, TRUE),2)</f>
        <v>カジ</v>
      </c>
      <c r="E46" s="1063" t="str">
        <f ca="1">VLOOKUP(Myリゾート!$C46,OFFSET(高速化データ!$A$6,0,0,高速化データ!$A$1,106), 4, TRUE)&amp;""</f>
        <v/>
      </c>
      <c r="F46" s="1064" t="str">
        <f ca="1">VLOOKUP(Myリゾート!$C46,OFFSET(高速化データ!$A$6,0,0,高速化データ!$A$1,106), 5, TRUE)&amp;""</f>
        <v>○</v>
      </c>
      <c r="G46" s="1064" t="str">
        <f ca="1">VLOOKUP(Myリゾート!$C46,OFFSET(高速化データ!$A$6,0,0,高速化データ!$A$1,106), 6, TRUE)&amp;""</f>
        <v/>
      </c>
      <c r="H46" s="1065" t="str">
        <f ca="1">VLOOKUP(Myリゾート!$C46,OFFSET(高速化データ!$A$6,0,0,高速化データ!$A$1,106), 7, TRUE)&amp;""</f>
        <v/>
      </c>
      <c r="I46" s="1131">
        <v>2</v>
      </c>
      <c r="J46" s="1134"/>
      <c r="K46" s="1061">
        <f ca="1">VLOOKUP(Myリゾート!$C46,OFFSET(高速化データ!$A$6,0,0,高速化データ!$A$1,106), 10, TRUE)</f>
        <v>3</v>
      </c>
      <c r="L46" s="1062">
        <f ca="1">VLOOKUP(Myリゾート!$C46,OFFSET(高速化データ!$A$6,0,0,高速化データ!$A$1,106), 12, TRUE)</f>
        <v>2.9007633587786259</v>
      </c>
      <c r="M46" s="1066">
        <f ca="1">VLOOKUP(Myリゾート!$C46,OFFSET(高速化データ!$A$6,0,0,高速化データ!$A$1,106), 86, TRUE)</f>
        <v>760</v>
      </c>
      <c r="N46" s="1058">
        <f ca="1">VLOOKUP(Myリゾート!$C46,OFFSET(高速化データ!$A$6,0,0,高速化データ!$A$1,106), 87, TRUE)</f>
        <v>262</v>
      </c>
      <c r="O46" s="1058">
        <f t="shared" ca="1" si="0"/>
        <v>460.46499999999997</v>
      </c>
      <c r="P46" s="1059">
        <f t="shared" ref="P46:P109" ca="1" si="3">O46-M46</f>
        <v>-299.53500000000003</v>
      </c>
      <c r="Q46" s="1061">
        <f ca="1">VLOOKUP(Myリゾート!$C46,OFFSET(高速化データ!$A$6,0,0,高速化データ!$A$1,106), 88, TRUE)</f>
        <v>7</v>
      </c>
      <c r="R46" s="1060">
        <f ca="1">VLOOKUP(Myリゾート!$C46,OFFSET(高速化データ!$A$6,0,0,高速化データ!$A$1,106), 89, TRUE)</f>
        <v>5320</v>
      </c>
      <c r="S46" s="1060">
        <f ca="1">VLOOKUP(Myリゾート!$C46,OFFSET(高速化データ!$A$6,0,0,高速化データ!$A$1,106), 90, TRUE)</f>
        <v>15960</v>
      </c>
      <c r="T46" s="1060">
        <f ca="1">VLOOKUP(Myリゾート!$C46,OFFSET(高速化データ!$A$6,0,0,高速化データ!$A$1,106), 91, TRUE)</f>
        <v>399</v>
      </c>
      <c r="U46" s="1067">
        <f ca="1">VLOOKUP(Myリゾート!$C46,OFFSET(高速化データ!$A$6,0,0,高速化データ!$A$1,106), 92, TRUE)</f>
        <v>1197</v>
      </c>
      <c r="V46" s="1066">
        <f ca="1">VLOOKUP(Myリゾート!$C46,OFFSET(高速化データ!$A$6,0,0,高速化データ!$A$1,106), 30, TRUE)</f>
        <v>380</v>
      </c>
      <c r="W46" s="1058">
        <f ca="1">VLOOKUP(Myリゾート!$C46,OFFSET(高速化データ!$A$6,0,0,高速化データ!$A$1,106), 31, TRUE)</f>
        <v>131</v>
      </c>
      <c r="X46" s="1058">
        <f t="shared" ca="1" si="1"/>
        <v>230.23249999999999</v>
      </c>
      <c r="Y46" s="1068">
        <f t="shared" ref="Y46:Y109" ca="1" si="4">X46-V46</f>
        <v>-149.76750000000001</v>
      </c>
      <c r="Z46" s="1061">
        <f ca="1">VLOOKUP(Myリゾート!$C46,OFFSET(高速化データ!$A$6,0,0,高速化データ!$A$1,106), 32, TRUE)</f>
        <v>6</v>
      </c>
      <c r="AA46" s="1060">
        <f ca="1">VLOOKUP(Myリゾート!$C46,OFFSET(高速化データ!$A$6,0,0,高速化データ!$A$1,106), 33, TRUE)</f>
        <v>2280</v>
      </c>
      <c r="AB46" s="1060">
        <f ca="1">VLOOKUP(Myリゾート!$C46,OFFSET(高速化データ!$A$6,0,0,高速化データ!$A$1,106), 34, TRUE)</f>
        <v>6840</v>
      </c>
      <c r="AC46" s="1060">
        <f ca="1">VLOOKUP(Myリゾート!$C46,OFFSET(高速化データ!$A$6,0,0,高速化データ!$A$1,106), 35, TRUE)</f>
        <v>171</v>
      </c>
      <c r="AD46" s="1069">
        <f ca="1">VLOOKUP(Myリゾート!$C46,OFFSET(高速化データ!$A$6,0,0,高速化データ!$A$1,106), 36, TRUE)</f>
        <v>513</v>
      </c>
      <c r="AE46" s="1066">
        <f ca="1">VLOOKUP(Myリゾート!$C46,OFFSET(高速化データ!$A$6,0,0,高速化データ!$A$1,106), 16+($I46*14), TRUE)</f>
        <v>570</v>
      </c>
      <c r="AF46" s="1058">
        <f ca="1">VLOOKUP(Myリゾート!$C46,OFFSET(高速化データ!$A$6,0,0,高速化データ!$A$1,106), 17+($I46*14), TRUE)</f>
        <v>196</v>
      </c>
      <c r="AG46" s="1058">
        <f t="shared" ca="1" si="2"/>
        <v>344.47</v>
      </c>
      <c r="AH46" s="1068">
        <f t="shared" ref="AH46:AH109" ca="1" si="5">AG46-AE46</f>
        <v>-225.52999999999997</v>
      </c>
      <c r="AI46" s="1061">
        <f ca="1">VLOOKUP(Myリゾート!$C46,OFFSET(高速化データ!$A$6,0,0,高速化データ!$A$1,106), 18+($I46*14), TRUE)</f>
        <v>6</v>
      </c>
      <c r="AJ46" s="1058">
        <f ca="1">VLOOKUP(Myリゾート!$C46,OFFSET(高速化データ!$A$6,0,0,高速化データ!$A$1,106), 19+($I46*14), TRUE)</f>
        <v>3420</v>
      </c>
      <c r="AK46" s="1058">
        <f ca="1">VLOOKUP(Myリゾート!$C46,OFFSET(高速化データ!$A$6,0,0,高速化データ!$A$1,106), 20+($I46*14), TRUE)</f>
        <v>10260</v>
      </c>
      <c r="AL46" s="1058">
        <f ca="1">VLOOKUP(Myリゾート!$C46,OFFSET(高速化データ!$A$6,0,0,高速化データ!$A$1,106), 21+($I46*14), TRUE)</f>
        <v>256</v>
      </c>
      <c r="AM46" s="1070">
        <f ca="1">VLOOKUP(Myリゾート!$C46,OFFSET(高速化データ!$A$6,0,0,高速化データ!$A$1,106), 22+($I46*14), TRUE)</f>
        <v>769</v>
      </c>
      <c r="AN46" s="1072">
        <f ca="1">VLOOKUP(Myリゾート!$C46,OFFSET(高速化データ!$A$6,0,0,高速化データ!$A$1,106), 11, TRUE)</f>
        <v>7.4999999999999997E-2</v>
      </c>
      <c r="AO46" s="1110">
        <f ca="1">VLOOKUP(Myリゾート!$C46,OFFSET(高速化データ!$A$6,0,0,高速化データ!$A$1,106), 13, TRUE)</f>
        <v>30</v>
      </c>
      <c r="AP46" s="1073" t="str">
        <f ca="1">VLOOKUP(Myリゾート!$C46,OFFSET(高速化データ!$A$6,0,0,高速化データ!$A$1,106), 15, TRUE)</f>
        <v>A</v>
      </c>
      <c r="AQ46" s="1071" t="str">
        <f ca="1">VLOOKUP(Myリゾート!$C46,OFFSET(高速化データ!$A$6,0,0,高速化データ!$A$1,106), 9, TRUE)</f>
        <v>レベル</v>
      </c>
      <c r="AR46" s="1112">
        <f ca="1">IF($I46=5, 0,VLOOKUP(Myリゾート!$C46,OFFSET(高速化データ!$A$6,0,0,高速化データ!$A$1,106), 23+(($I46+1)*14), TRUE))</f>
        <v>168</v>
      </c>
      <c r="AS46" s="1058">
        <f ca="1">IF($I46=5, 0,VLOOKUP(Myリゾート!$C46,OFFSET(高速化データ!$A$6,0,0,高速化データ!$A$1,106), 24+(($I46+1)*14), TRUE))</f>
        <v>30000000</v>
      </c>
      <c r="AT46" s="1074">
        <f ca="1">IF($I46=5, 0,VLOOKUP(Myリゾート!$C46,OFFSET(高速化データ!$A$6,0,0,高速化データ!$A$1,106), 25+(($I46+1)*14), TRUE))</f>
        <v>1</v>
      </c>
      <c r="AU46" s="1074">
        <f ca="1">IF($I46=5, 0,VLOOKUP(Myリゾート!$C46,OFFSET(高速化データ!$A$6,0,0,高速化データ!$A$1,106), 26+(($I46+1)*14), TRUE))</f>
        <v>0</v>
      </c>
      <c r="AV46" s="1074">
        <f ca="1">IF($I46=5, 0,VLOOKUP(Myリゾート!$C46,OFFSET(高速化データ!$A$6,0,0,高速化データ!$A$1,106), 27+(($I46+1)*14), TRUE))</f>
        <v>0</v>
      </c>
      <c r="AW46" s="1075">
        <f ca="1">IF($I46=5, 0,VLOOKUP(Myリゾート!$C46,OFFSET(高速化データ!$A$6,0,0,高速化データ!$A$1,106), 28+(($I46+1)*14), TRUE))</f>
        <v>319.28320802005015</v>
      </c>
      <c r="AX46" s="1070">
        <f ca="1">IF($I46=5, 0,VLOOKUP(Myリゾート!$C46,OFFSET(高速化データ!$A$6,0,0,高速化データ!$A$1,106), 29+(($I46+1)*14), TRUE))</f>
        <v>178571</v>
      </c>
      <c r="AY46" s="1066">
        <f ca="1">IF($I46=5, 0, VLOOKUP(Myリゾート!$C46,OFFSET(高速化データ!$A$6,0,0,高速化データ!$A$1,106), 19+(($I46+1)*14), TRUE)-AJ46)</f>
        <v>570</v>
      </c>
      <c r="AZ46" s="1058">
        <f ca="1">IF($I46=5, 0, VLOOKUP(Myリゾート!$C46,OFFSET(高速化データ!$A$6,0,0,高速化データ!$A$1,106), 20+(($I46+1)*14), TRUE)-AK46)</f>
        <v>1710</v>
      </c>
      <c r="BA46" s="1076">
        <f ca="1">IF($I46=5, 0, VLOOKUP(Myリゾート!$C46,OFFSET(高速化データ!$A$6,0,0,高速化データ!$A$1,106), 17+(($I46+1)*14), TRUE)*$B$1/100-VLOOKUP(Myリゾート!$C46,OFFSET(高速化データ!$A$6,0,0,高速化データ!$A$1,106), 16+(($I46+1)*14),TRUE)-AH46)</f>
        <v>-37.002500000000055</v>
      </c>
      <c r="BB46" s="1056">
        <f t="shared" ref="BB46:BC108" ca="1" si="6">R46-AJ46</f>
        <v>1900</v>
      </c>
      <c r="BC46" s="1057">
        <f t="shared" ca="1" si="6"/>
        <v>5700</v>
      </c>
      <c r="BD46" s="1068">
        <f t="shared" ref="BD46:BD109" ca="1" si="7">P46-AH46</f>
        <v>-74.005000000000052</v>
      </c>
      <c r="BE46" s="9">
        <f t="shared" ref="BE46:BF108" ca="1" si="8">IF(ISBLANK($J46),AE46,0)</f>
        <v>570</v>
      </c>
      <c r="BF46" s="7">
        <f t="shared" ca="1" si="8"/>
        <v>196</v>
      </c>
      <c r="BG46" s="7">
        <f t="shared" ref="BG46:BJ108" ca="1" si="9">IF(ISBLANK($J46),AJ46,0)</f>
        <v>3420</v>
      </c>
      <c r="BH46" s="7">
        <f t="shared" ca="1" si="9"/>
        <v>10260</v>
      </c>
      <c r="BI46" s="7">
        <f t="shared" ca="1" si="9"/>
        <v>256</v>
      </c>
      <c r="BJ46" s="7">
        <f t="shared" ca="1" si="9"/>
        <v>769</v>
      </c>
      <c r="BK46" s="8">
        <f t="shared" ref="BK46:BK109" ca="1" si="10">IF(AND(I46=0, NOT(ISBLANK(J46))), V46,AE46)</f>
        <v>570</v>
      </c>
    </row>
    <row r="47" spans="2:63">
      <c r="B47" s="203" t="s">
        <v>79</v>
      </c>
      <c r="C47" s="1055">
        <f ca="1">VLOOKUP(Myリゾート!$B47,OFFSET(高速化データ!$DD$6,0,0,高速化データ!$A$1,2), 2, FALSE)</f>
        <v>31</v>
      </c>
      <c r="D47" s="59" t="str">
        <f ca="1">LEFT(VLOOKUP(Myリゾート!$C47,OFFSET(高速化データ!$A$6,0,0,高速化データ!$A$1,106), 3, TRUE),2)</f>
        <v>カジ</v>
      </c>
      <c r="E47" s="1063" t="str">
        <f ca="1">VLOOKUP(Myリゾート!$C47,OFFSET(高速化データ!$A$6,0,0,高速化データ!$A$1,106), 4, TRUE)&amp;""</f>
        <v/>
      </c>
      <c r="F47" s="1064" t="str">
        <f ca="1">VLOOKUP(Myリゾート!$C47,OFFSET(高速化データ!$A$6,0,0,高速化データ!$A$1,106), 5, TRUE)&amp;""</f>
        <v>○</v>
      </c>
      <c r="G47" s="1064" t="str">
        <f ca="1">VLOOKUP(Myリゾート!$C47,OFFSET(高速化データ!$A$6,0,0,高速化データ!$A$1,106), 6, TRUE)&amp;""</f>
        <v/>
      </c>
      <c r="H47" s="1065" t="str">
        <f ca="1">VLOOKUP(Myリゾート!$C47,OFFSET(高速化データ!$A$6,0,0,高速化データ!$A$1,106), 7, TRUE)&amp;""</f>
        <v/>
      </c>
      <c r="I47" s="1131">
        <v>3</v>
      </c>
      <c r="J47" s="1134"/>
      <c r="K47" s="1061">
        <f ca="1">VLOOKUP(Myリゾート!$C47,OFFSET(高速化データ!$A$6,0,0,高速化データ!$A$1,106), 10, TRUE)</f>
        <v>3</v>
      </c>
      <c r="L47" s="1062">
        <f ca="1">VLOOKUP(Myリゾート!$C47,OFFSET(高速化データ!$A$6,0,0,高速化データ!$A$1,106), 12, TRUE)</f>
        <v>2.5</v>
      </c>
      <c r="M47" s="1066">
        <f ca="1">VLOOKUP(Myリゾート!$C47,OFFSET(高速化データ!$A$6,0,0,高速化データ!$A$1,106), 86, TRUE)</f>
        <v>600</v>
      </c>
      <c r="N47" s="1058">
        <f ca="1">VLOOKUP(Myリゾート!$C47,OFFSET(高速化データ!$A$6,0,0,高速化データ!$A$1,106), 87, TRUE)</f>
        <v>240</v>
      </c>
      <c r="O47" s="1058">
        <f t="shared" ca="1" si="0"/>
        <v>421.8</v>
      </c>
      <c r="P47" s="1059">
        <f t="shared" ca="1" si="3"/>
        <v>-178.2</v>
      </c>
      <c r="Q47" s="1061">
        <f ca="1">VLOOKUP(Myリゾート!$C47,OFFSET(高速化データ!$A$6,0,0,高速化データ!$A$1,106), 88, TRUE)</f>
        <v>4</v>
      </c>
      <c r="R47" s="1060">
        <f ca="1">VLOOKUP(Myリゾート!$C47,OFFSET(高速化データ!$A$6,0,0,高速化データ!$A$1,106), 89, TRUE)</f>
        <v>2400</v>
      </c>
      <c r="S47" s="1060">
        <f ca="1">VLOOKUP(Myリゾート!$C47,OFFSET(高速化データ!$A$6,0,0,高速化データ!$A$1,106), 90, TRUE)</f>
        <v>7200</v>
      </c>
      <c r="T47" s="1060">
        <f ca="1">VLOOKUP(Myリゾート!$C47,OFFSET(高速化データ!$A$6,0,0,高速化データ!$A$1,106), 91, TRUE)</f>
        <v>180</v>
      </c>
      <c r="U47" s="1067">
        <f ca="1">VLOOKUP(Myリゾート!$C47,OFFSET(高速化データ!$A$6,0,0,高速化データ!$A$1,106), 92, TRUE)</f>
        <v>540</v>
      </c>
      <c r="V47" s="1066">
        <f ca="1">VLOOKUP(Myリゾート!$C47,OFFSET(高速化データ!$A$6,0,0,高速化データ!$A$1,106), 30, TRUE)</f>
        <v>300</v>
      </c>
      <c r="W47" s="1058">
        <f ca="1">VLOOKUP(Myリゾート!$C47,OFFSET(高速化データ!$A$6,0,0,高速化データ!$A$1,106), 31, TRUE)</f>
        <v>120</v>
      </c>
      <c r="X47" s="1058">
        <f t="shared" ca="1" si="1"/>
        <v>210.9</v>
      </c>
      <c r="Y47" s="1068">
        <f t="shared" ca="1" si="4"/>
        <v>-89.1</v>
      </c>
      <c r="Z47" s="1061">
        <f ca="1">VLOOKUP(Myリゾート!$C47,OFFSET(高速化データ!$A$6,0,0,高速化データ!$A$1,106), 32, TRUE)</f>
        <v>4</v>
      </c>
      <c r="AA47" s="1060">
        <f ca="1">VLOOKUP(Myリゾート!$C47,OFFSET(高速化データ!$A$6,0,0,高速化データ!$A$1,106), 33, TRUE)</f>
        <v>1200</v>
      </c>
      <c r="AB47" s="1060">
        <f ca="1">VLOOKUP(Myリゾート!$C47,OFFSET(高速化データ!$A$6,0,0,高速化データ!$A$1,106), 34, TRUE)</f>
        <v>3600</v>
      </c>
      <c r="AC47" s="1060">
        <f ca="1">VLOOKUP(Myリゾート!$C47,OFFSET(高速化データ!$A$6,0,0,高速化データ!$A$1,106), 35, TRUE)</f>
        <v>90</v>
      </c>
      <c r="AD47" s="1069">
        <f ca="1">VLOOKUP(Myリゾート!$C47,OFFSET(高速化データ!$A$6,0,0,高速化データ!$A$1,106), 36, TRUE)</f>
        <v>270</v>
      </c>
      <c r="AE47" s="1066">
        <f ca="1">VLOOKUP(Myリゾート!$C47,OFFSET(高速化データ!$A$6,0,0,高速化データ!$A$1,106), 16+($I47*14), TRUE)</f>
        <v>525</v>
      </c>
      <c r="AF47" s="1058">
        <f ca="1">VLOOKUP(Myリゾート!$C47,OFFSET(高速化データ!$A$6,0,0,高速化データ!$A$1,106), 17+($I47*14), TRUE)</f>
        <v>210</v>
      </c>
      <c r="AG47" s="1058">
        <f t="shared" ca="1" si="2"/>
        <v>369.07499999999999</v>
      </c>
      <c r="AH47" s="1068">
        <f t="shared" ca="1" si="5"/>
        <v>-155.92500000000001</v>
      </c>
      <c r="AI47" s="1061">
        <f ca="1">VLOOKUP(Myリゾート!$C47,OFFSET(高速化データ!$A$6,0,0,高速化データ!$A$1,106), 18+($I47*14), TRUE)</f>
        <v>4</v>
      </c>
      <c r="AJ47" s="1058">
        <f ca="1">VLOOKUP(Myリゾート!$C47,OFFSET(高速化データ!$A$6,0,0,高速化データ!$A$1,106), 19+($I47*14), TRUE)</f>
        <v>2100</v>
      </c>
      <c r="AK47" s="1058">
        <f ca="1">VLOOKUP(Myリゾート!$C47,OFFSET(高速化データ!$A$6,0,0,高速化データ!$A$1,106), 20+($I47*14), TRUE)</f>
        <v>6300</v>
      </c>
      <c r="AL47" s="1058">
        <f ca="1">VLOOKUP(Myリゾート!$C47,OFFSET(高速化データ!$A$6,0,0,高速化データ!$A$1,106), 21+($I47*14), TRUE)</f>
        <v>157</v>
      </c>
      <c r="AM47" s="1070">
        <f ca="1">VLOOKUP(Myリゾート!$C47,OFFSET(高速化データ!$A$6,0,0,高速化データ!$A$1,106), 22+($I47*14), TRUE)</f>
        <v>472</v>
      </c>
      <c r="AN47" s="1072">
        <f ca="1">VLOOKUP(Myリゾート!$C47,OFFSET(高速化データ!$A$6,0,0,高速化データ!$A$1,106), 11, TRUE)</f>
        <v>7.4999999999999997E-2</v>
      </c>
      <c r="AO47" s="1110">
        <f ca="1">VLOOKUP(Myリゾート!$C47,OFFSET(高速化データ!$A$6,0,0,高速化データ!$A$1,106), 13, TRUE)</f>
        <v>30</v>
      </c>
      <c r="AP47" s="1073" t="str">
        <f ca="1">VLOOKUP(Myリゾート!$C47,OFFSET(高速化データ!$A$6,0,0,高速化データ!$A$1,106), 15, TRUE)</f>
        <v>A</v>
      </c>
      <c r="AQ47" s="1071" t="str">
        <f ca="1">VLOOKUP(Myリゾート!$C47,OFFSET(高速化データ!$A$6,0,0,高速化データ!$A$1,106), 9, TRUE)</f>
        <v>景品</v>
      </c>
      <c r="AR47" s="1112">
        <f ca="1">IF($I47=5, 0,VLOOKUP(Myリゾート!$C47,OFFSET(高速化データ!$A$6,0,0,高速化データ!$A$1,106), 23+(($I47+1)*14), TRUE))</f>
        <v>8</v>
      </c>
      <c r="AS47" s="1058">
        <f ca="1">IF($I47=5, 0,VLOOKUP(Myリゾート!$C47,OFFSET(高速化データ!$A$6,0,0,高速化データ!$A$1,106), 24+(($I47+1)*14), TRUE))</f>
        <v>240000</v>
      </c>
      <c r="AT47" s="1074">
        <f ca="1">IF($I47=5, 0,VLOOKUP(Myリゾート!$C47,OFFSET(高速化データ!$A$6,0,0,高速化データ!$A$1,106), 25+(($I47+1)*14), TRUE))</f>
        <v>0</v>
      </c>
      <c r="AU47" s="1074">
        <f ca="1">IF($I47=5, 0,VLOOKUP(Myリゾート!$C47,OFFSET(高速化データ!$A$6,0,0,高速化データ!$A$1,106), 26+(($I47+1)*14), TRUE))</f>
        <v>0</v>
      </c>
      <c r="AV47" s="1074">
        <f ca="1">IF($I47=5, 0,VLOOKUP(Myリゾート!$C47,OFFSET(高速化データ!$A$6,0,0,高速化データ!$A$1,106), 27+(($I47+1)*14), TRUE))</f>
        <v>0</v>
      </c>
      <c r="AW47" s="1075">
        <f ca="1">IF($I47=5, 0,VLOOKUP(Myリゾート!$C47,OFFSET(高速化データ!$A$6,0,0,高速化データ!$A$1,106), 28+(($I47+1)*14), TRUE))</f>
        <v>4.692982456140351</v>
      </c>
      <c r="AX47" s="1070">
        <f ca="1">IF($I47=5, 0,VLOOKUP(Myリゾート!$C47,OFFSET(高速化データ!$A$6,0,0,高速化データ!$A$1,106), 29+(($I47+1)*14), TRUE))</f>
        <v>30000</v>
      </c>
      <c r="AY47" s="1066">
        <f ca="1">IF($I47=5, 0, VLOOKUP(Myリゾート!$C47,OFFSET(高速化データ!$A$6,0,0,高速化データ!$A$1,106), 19+(($I47+1)*14), TRUE)-AJ47)</f>
        <v>180</v>
      </c>
      <c r="AZ47" s="1058">
        <f ca="1">IF($I47=5, 0, VLOOKUP(Myリゾート!$C47,OFFSET(高速化データ!$A$6,0,0,高速化データ!$A$1,106), 20+(($I47+1)*14), TRUE)-AK47)</f>
        <v>540</v>
      </c>
      <c r="BA47" s="1076">
        <f ca="1">IF($I47=5, 0, VLOOKUP(Myリゾート!$C47,OFFSET(高速化データ!$A$6,0,0,高速化データ!$A$1,106), 17+(($I47+1)*14), TRUE)*$B$1/100-VLOOKUP(Myリゾート!$C47,OFFSET(高速化データ!$A$6,0,0,高速化データ!$A$1,106), 16+(($I47+1)*14),TRUE)-AH47)</f>
        <v>-13.365000000000009</v>
      </c>
      <c r="BB47" s="1056">
        <f t="shared" ca="1" si="6"/>
        <v>300</v>
      </c>
      <c r="BC47" s="1057">
        <f t="shared" ca="1" si="6"/>
        <v>900</v>
      </c>
      <c r="BD47" s="1068">
        <f t="shared" ca="1" si="7"/>
        <v>-22.274999999999977</v>
      </c>
      <c r="BE47" s="9">
        <f t="shared" ca="1" si="8"/>
        <v>525</v>
      </c>
      <c r="BF47" s="7">
        <f t="shared" ca="1" si="8"/>
        <v>210</v>
      </c>
      <c r="BG47" s="7">
        <f t="shared" ca="1" si="9"/>
        <v>2100</v>
      </c>
      <c r="BH47" s="7">
        <f t="shared" ca="1" si="9"/>
        <v>6300</v>
      </c>
      <c r="BI47" s="7">
        <f t="shared" ca="1" si="9"/>
        <v>157</v>
      </c>
      <c r="BJ47" s="7">
        <f t="shared" ca="1" si="9"/>
        <v>472</v>
      </c>
      <c r="BK47" s="8">
        <f t="shared" ca="1" si="10"/>
        <v>525</v>
      </c>
    </row>
    <row r="48" spans="2:63">
      <c r="B48" s="203" t="s">
        <v>36</v>
      </c>
      <c r="C48" s="1055">
        <f ca="1">VLOOKUP(Myリゾート!$B48,OFFSET(高速化データ!$DD$6,0,0,高速化データ!$A$1,2), 2, FALSE)</f>
        <v>45</v>
      </c>
      <c r="D48" s="59" t="str">
        <f ca="1">LEFT(VLOOKUP(Myリゾート!$C48,OFFSET(高速化データ!$A$6,0,0,高速化データ!$A$1,106), 3, TRUE),2)</f>
        <v>カジ</v>
      </c>
      <c r="E48" s="1063" t="str">
        <f ca="1">VLOOKUP(Myリゾート!$C48,OFFSET(高速化データ!$A$6,0,0,高速化データ!$A$1,106), 4, TRUE)&amp;""</f>
        <v/>
      </c>
      <c r="F48" s="1064" t="str">
        <f ca="1">VLOOKUP(Myリゾート!$C48,OFFSET(高速化データ!$A$6,0,0,高速化データ!$A$1,106), 5, TRUE)&amp;""</f>
        <v>○</v>
      </c>
      <c r="G48" s="1064" t="str">
        <f ca="1">VLOOKUP(Myリゾート!$C48,OFFSET(高速化データ!$A$6,0,0,高速化データ!$A$1,106), 6, TRUE)&amp;""</f>
        <v>○</v>
      </c>
      <c r="H48" s="1065" t="str">
        <f ca="1">VLOOKUP(Myリゾート!$C48,OFFSET(高速化データ!$A$6,0,0,高速化データ!$A$1,106), 7, TRUE)&amp;""</f>
        <v/>
      </c>
      <c r="I48" s="1131">
        <v>4</v>
      </c>
      <c r="J48" s="1134"/>
      <c r="K48" s="1061">
        <f ca="1">VLOOKUP(Myリゾート!$C48,OFFSET(高速化データ!$A$6,0,0,高速化データ!$A$1,106), 10, TRUE)</f>
        <v>3</v>
      </c>
      <c r="L48" s="1062">
        <f ca="1">VLOOKUP(Myリゾート!$C48,OFFSET(高速化データ!$A$6,0,0,高速化データ!$A$1,106), 12, TRUE)</f>
        <v>2.88</v>
      </c>
      <c r="M48" s="1066">
        <f ca="1">VLOOKUP(Myリゾート!$C48,OFFSET(高速化データ!$A$6,0,0,高速化データ!$A$1,106), 86, TRUE)</f>
        <v>720</v>
      </c>
      <c r="N48" s="1058">
        <f ca="1">VLOOKUP(Myリゾート!$C48,OFFSET(高速化データ!$A$6,0,0,高速化データ!$A$1,106), 87, TRUE)</f>
        <v>250</v>
      </c>
      <c r="O48" s="1058">
        <f t="shared" ca="1" si="0"/>
        <v>439.375</v>
      </c>
      <c r="P48" s="1059">
        <f t="shared" ca="1" si="3"/>
        <v>-280.625</v>
      </c>
      <c r="Q48" s="1061">
        <f ca="1">VLOOKUP(Myリゾート!$C48,OFFSET(高速化データ!$A$6,0,0,高速化データ!$A$1,106), 88, TRUE)</f>
        <v>6</v>
      </c>
      <c r="R48" s="1060">
        <f ca="1">VLOOKUP(Myリゾート!$C48,OFFSET(高速化データ!$A$6,0,0,高速化データ!$A$1,106), 89, TRUE)</f>
        <v>4320</v>
      </c>
      <c r="S48" s="1060">
        <f ca="1">VLOOKUP(Myリゾート!$C48,OFFSET(高速化データ!$A$6,0,0,高速化データ!$A$1,106), 90, TRUE)</f>
        <v>12960</v>
      </c>
      <c r="T48" s="1060">
        <f ca="1">VLOOKUP(Myリゾート!$C48,OFFSET(高速化データ!$A$6,0,0,高速化データ!$A$1,106), 91, TRUE)</f>
        <v>324</v>
      </c>
      <c r="U48" s="1067">
        <f ca="1">VLOOKUP(Myリゾート!$C48,OFFSET(高速化データ!$A$6,0,0,高速化データ!$A$1,106), 92, TRUE)</f>
        <v>972</v>
      </c>
      <c r="V48" s="1066">
        <f ca="1">VLOOKUP(Myリゾート!$C48,OFFSET(高速化データ!$A$6,0,0,高速化データ!$A$1,106), 30, TRUE)</f>
        <v>360</v>
      </c>
      <c r="W48" s="1058">
        <f ca="1">VLOOKUP(Myリゾート!$C48,OFFSET(高速化データ!$A$6,0,0,高速化データ!$A$1,106), 31, TRUE)</f>
        <v>125</v>
      </c>
      <c r="X48" s="1058">
        <f t="shared" ca="1" si="1"/>
        <v>219.6875</v>
      </c>
      <c r="Y48" s="1068">
        <f t="shared" ca="1" si="4"/>
        <v>-140.3125</v>
      </c>
      <c r="Z48" s="1061">
        <f ca="1">VLOOKUP(Myリゾート!$C48,OFFSET(高速化データ!$A$6,0,0,高速化データ!$A$1,106), 32, TRUE)</f>
        <v>5</v>
      </c>
      <c r="AA48" s="1060">
        <f ca="1">VLOOKUP(Myリゾート!$C48,OFFSET(高速化データ!$A$6,0,0,高速化データ!$A$1,106), 33, TRUE)</f>
        <v>1800</v>
      </c>
      <c r="AB48" s="1060">
        <f ca="1">VLOOKUP(Myリゾート!$C48,OFFSET(高速化データ!$A$6,0,0,高速化データ!$A$1,106), 34, TRUE)</f>
        <v>5400</v>
      </c>
      <c r="AC48" s="1060">
        <f ca="1">VLOOKUP(Myリゾート!$C48,OFFSET(高速化データ!$A$6,0,0,高速化データ!$A$1,106), 35, TRUE)</f>
        <v>135</v>
      </c>
      <c r="AD48" s="1069">
        <f ca="1">VLOOKUP(Myリゾート!$C48,OFFSET(高速化データ!$A$6,0,0,高速化データ!$A$1,106), 36, TRUE)</f>
        <v>405</v>
      </c>
      <c r="AE48" s="1066">
        <f ca="1">VLOOKUP(Myリゾート!$C48,OFFSET(高速化データ!$A$6,0,0,高速化データ!$A$1,106), 16+($I48*14), TRUE)</f>
        <v>684</v>
      </c>
      <c r="AF48" s="1058">
        <f ca="1">VLOOKUP(Myリゾート!$C48,OFFSET(高速化データ!$A$6,0,0,高速化データ!$A$1,106), 17+($I48*14), TRUE)</f>
        <v>237</v>
      </c>
      <c r="AG48" s="1058">
        <f t="shared" ca="1" si="2"/>
        <v>416.52749999999997</v>
      </c>
      <c r="AH48" s="1068">
        <f t="shared" ca="1" si="5"/>
        <v>-267.47250000000003</v>
      </c>
      <c r="AI48" s="1061">
        <f ca="1">VLOOKUP(Myリゾート!$C48,OFFSET(高速化データ!$A$6,0,0,高速化データ!$A$1,106), 18+($I48*14), TRUE)</f>
        <v>5</v>
      </c>
      <c r="AJ48" s="1058">
        <f ca="1">VLOOKUP(Myリゾート!$C48,OFFSET(高速化データ!$A$6,0,0,高速化データ!$A$1,106), 19+($I48*14), TRUE)</f>
        <v>3420</v>
      </c>
      <c r="AK48" s="1058">
        <f ca="1">VLOOKUP(Myリゾート!$C48,OFFSET(高速化データ!$A$6,0,0,高速化データ!$A$1,106), 20+($I48*14), TRUE)</f>
        <v>10260</v>
      </c>
      <c r="AL48" s="1058">
        <f ca="1">VLOOKUP(Myリゾート!$C48,OFFSET(高速化データ!$A$6,0,0,高速化データ!$A$1,106), 21+($I48*14), TRUE)</f>
        <v>256</v>
      </c>
      <c r="AM48" s="1070">
        <f ca="1">VLOOKUP(Myリゾート!$C48,OFFSET(高速化データ!$A$6,0,0,高速化データ!$A$1,106), 22+($I48*14), TRUE)</f>
        <v>769</v>
      </c>
      <c r="AN48" s="1072">
        <f ca="1">VLOOKUP(Myリゾート!$C48,OFFSET(高速化データ!$A$6,0,0,高速化データ!$A$1,106), 11, TRUE)</f>
        <v>7.4999999999999997E-2</v>
      </c>
      <c r="AO48" s="1110">
        <f ca="1">VLOOKUP(Myリゾート!$C48,OFFSET(高速化データ!$A$6,0,0,高速化データ!$A$1,106), 13, TRUE)</f>
        <v>30</v>
      </c>
      <c r="AP48" s="1073" t="str">
        <f ca="1">VLOOKUP(Myリゾート!$C48,OFFSET(高速化データ!$A$6,0,0,高速化データ!$A$1,106), 15, TRUE)</f>
        <v>A</v>
      </c>
      <c r="AQ48" s="1071" t="str">
        <f ca="1">VLOOKUP(Myリゾート!$C48,OFFSET(高速化データ!$A$6,0,0,高速化データ!$A$1,106), 9, TRUE)</f>
        <v>景品</v>
      </c>
      <c r="AR48" s="1112">
        <f ca="1">IF($I48=5, 0,VLOOKUP(Myリゾート!$C48,OFFSET(高速化データ!$A$6,0,0,高速化データ!$A$1,106), 23+(($I48+1)*14), TRUE))</f>
        <v>15</v>
      </c>
      <c r="AS48" s="1058">
        <f ca="1">IF($I48=5, 0,VLOOKUP(Myリゾート!$C48,OFFSET(高速化データ!$A$6,0,0,高速化データ!$A$1,106), 24+(($I48+1)*14), TRUE))</f>
        <v>1250000</v>
      </c>
      <c r="AT48" s="1074">
        <f ca="1">IF($I48=5, 0,VLOOKUP(Myリゾート!$C48,OFFSET(高速化データ!$A$6,0,0,高速化データ!$A$1,106), 25+(($I48+1)*14), TRUE))</f>
        <v>0</v>
      </c>
      <c r="AU48" s="1074">
        <f ca="1">IF($I48=5, 0,VLOOKUP(Myリゾート!$C48,OFFSET(高速化データ!$A$6,0,0,高速化データ!$A$1,106), 26+(($I48+1)*14), TRUE))</f>
        <v>0</v>
      </c>
      <c r="AV48" s="1074">
        <f ca="1">IF($I48=5, 0,VLOOKUP(Myリゾート!$C48,OFFSET(高速化データ!$A$6,0,0,高速化データ!$A$1,106), 27+(($I48+1)*14), TRUE))</f>
        <v>1</v>
      </c>
      <c r="AW48" s="1075">
        <f ca="1">IF($I48=5, 0,VLOOKUP(Myリゾート!$C48,OFFSET(高速化データ!$A$6,0,0,高速化データ!$A$1,106), 28+(($I48+1)*14), TRUE))</f>
        <v>12.551118827160494</v>
      </c>
      <c r="AX48" s="1070">
        <f ca="1">IF($I48=5, 0,VLOOKUP(Myリゾート!$C48,OFFSET(高速化データ!$A$6,0,0,高速化データ!$A$1,106), 29+(($I48+1)*14), TRUE))</f>
        <v>83333</v>
      </c>
      <c r="AY48" s="1066">
        <f ca="1">IF($I48=5, 0, VLOOKUP(Myリゾート!$C48,OFFSET(高速化データ!$A$6,0,0,高速化データ!$A$1,106), 19+(($I48+1)*14), TRUE)-AJ48)</f>
        <v>900</v>
      </c>
      <c r="AZ48" s="1058">
        <f ca="1">IF($I48=5, 0, VLOOKUP(Myリゾート!$C48,OFFSET(高速化データ!$A$6,0,0,高速化データ!$A$1,106), 20+(($I48+1)*14), TRUE)-AK48)</f>
        <v>2700</v>
      </c>
      <c r="BA48" s="1076">
        <f ca="1">IF($I48=5, 0, VLOOKUP(Myリゾート!$C48,OFFSET(高速化データ!$A$6,0,0,高速化データ!$A$1,106), 17+(($I48+1)*14), TRUE)*$B$1/100-VLOOKUP(Myリゾート!$C48,OFFSET(高速化データ!$A$6,0,0,高速化データ!$A$1,106), 16+(($I48+1)*14),TRUE)-AH48)</f>
        <v>-13.152499999999975</v>
      </c>
      <c r="BB48" s="1056">
        <f t="shared" ca="1" si="6"/>
        <v>900</v>
      </c>
      <c r="BC48" s="1057">
        <f t="shared" ca="1" si="6"/>
        <v>2700</v>
      </c>
      <c r="BD48" s="1068">
        <f t="shared" ca="1" si="7"/>
        <v>-13.152499999999975</v>
      </c>
      <c r="BE48" s="9">
        <f t="shared" ca="1" si="8"/>
        <v>684</v>
      </c>
      <c r="BF48" s="7">
        <f t="shared" ca="1" si="8"/>
        <v>237</v>
      </c>
      <c r="BG48" s="7">
        <f t="shared" ca="1" si="9"/>
        <v>3420</v>
      </c>
      <c r="BH48" s="7">
        <f t="shared" ca="1" si="9"/>
        <v>10260</v>
      </c>
      <c r="BI48" s="7">
        <f t="shared" ca="1" si="9"/>
        <v>256</v>
      </c>
      <c r="BJ48" s="7">
        <f t="shared" ca="1" si="9"/>
        <v>769</v>
      </c>
      <c r="BK48" s="8">
        <f t="shared" ca="1" si="10"/>
        <v>684</v>
      </c>
    </row>
    <row r="49" spans="2:63">
      <c r="B49" s="203" t="s">
        <v>67</v>
      </c>
      <c r="C49" s="1055">
        <f ca="1">VLOOKUP(Myリゾート!$B49,OFFSET(高速化データ!$DD$6,0,0,高速化データ!$A$1,2), 2, FALSE)</f>
        <v>50</v>
      </c>
      <c r="D49" s="59" t="str">
        <f ca="1">LEFT(VLOOKUP(Myリゾート!$C49,OFFSET(高速化データ!$A$6,0,0,高速化データ!$A$1,106), 3, TRUE),2)</f>
        <v>カジ</v>
      </c>
      <c r="E49" s="1063" t="str">
        <f ca="1">VLOOKUP(Myリゾート!$C49,OFFSET(高速化データ!$A$6,0,0,高速化データ!$A$1,106), 4, TRUE)&amp;""</f>
        <v/>
      </c>
      <c r="F49" s="1064" t="str">
        <f ca="1">VLOOKUP(Myリゾート!$C49,OFFSET(高速化データ!$A$6,0,0,高速化データ!$A$1,106), 5, TRUE)&amp;""</f>
        <v>○</v>
      </c>
      <c r="G49" s="1064" t="str">
        <f ca="1">VLOOKUP(Myリゾート!$C49,OFFSET(高速化データ!$A$6,0,0,高速化データ!$A$1,106), 6, TRUE)&amp;""</f>
        <v/>
      </c>
      <c r="H49" s="1065" t="str">
        <f ca="1">VLOOKUP(Myリゾート!$C49,OFFSET(高速化データ!$A$6,0,0,高速化データ!$A$1,106), 7, TRUE)&amp;""</f>
        <v/>
      </c>
      <c r="I49" s="1131">
        <v>5</v>
      </c>
      <c r="J49" s="1134"/>
      <c r="K49" s="1061">
        <f ca="1">VLOOKUP(Myリゾート!$C49,OFFSET(高速化データ!$A$6,0,0,高速化データ!$A$1,106), 10, TRUE)</f>
        <v>3</v>
      </c>
      <c r="L49" s="1062">
        <f ca="1">VLOOKUP(Myリゾート!$C49,OFFSET(高速化データ!$A$6,0,0,高速化データ!$A$1,106), 12, TRUE)</f>
        <v>2.9230769230769229</v>
      </c>
      <c r="M49" s="1066">
        <f ca="1">VLOOKUP(Myリゾート!$C49,OFFSET(高速化データ!$A$6,0,0,高速化データ!$A$1,106), 86, TRUE)</f>
        <v>760</v>
      </c>
      <c r="N49" s="1058">
        <f ca="1">VLOOKUP(Myリゾート!$C49,OFFSET(高速化データ!$A$6,0,0,高速化データ!$A$1,106), 87, TRUE)</f>
        <v>260</v>
      </c>
      <c r="O49" s="1058">
        <f t="shared" ca="1" si="0"/>
        <v>456.95</v>
      </c>
      <c r="P49" s="1059">
        <f t="shared" ca="1" si="3"/>
        <v>-303.05</v>
      </c>
      <c r="Q49" s="1061">
        <f ca="1">VLOOKUP(Myリゾート!$C49,OFFSET(高速化データ!$A$6,0,0,高速化データ!$A$1,106), 88, TRUE)</f>
        <v>7</v>
      </c>
      <c r="R49" s="1060">
        <f ca="1">VLOOKUP(Myリゾート!$C49,OFFSET(高速化データ!$A$6,0,0,高速化データ!$A$1,106), 89, TRUE)</f>
        <v>5320</v>
      </c>
      <c r="S49" s="1060">
        <f ca="1">VLOOKUP(Myリゾート!$C49,OFFSET(高速化データ!$A$6,0,0,高速化データ!$A$1,106), 90, TRUE)</f>
        <v>15960</v>
      </c>
      <c r="T49" s="1060">
        <f ca="1">VLOOKUP(Myリゾート!$C49,OFFSET(高速化データ!$A$6,0,0,高速化データ!$A$1,106), 91, TRUE)</f>
        <v>399</v>
      </c>
      <c r="U49" s="1067">
        <f ca="1">VLOOKUP(Myリゾート!$C49,OFFSET(高速化データ!$A$6,0,0,高速化データ!$A$1,106), 92, TRUE)</f>
        <v>1197</v>
      </c>
      <c r="V49" s="1066">
        <f ca="1">VLOOKUP(Myリゾート!$C49,OFFSET(高速化データ!$A$6,0,0,高速化データ!$A$1,106), 30, TRUE)</f>
        <v>380</v>
      </c>
      <c r="W49" s="1058">
        <f ca="1">VLOOKUP(Myリゾート!$C49,OFFSET(高速化データ!$A$6,0,0,高速化データ!$A$1,106), 31, TRUE)</f>
        <v>130</v>
      </c>
      <c r="X49" s="1058">
        <f t="shared" ca="1" si="1"/>
        <v>228.47499999999999</v>
      </c>
      <c r="Y49" s="1068">
        <f t="shared" ca="1" si="4"/>
        <v>-151.52500000000001</v>
      </c>
      <c r="Z49" s="1061">
        <f ca="1">VLOOKUP(Myリゾート!$C49,OFFSET(高速化データ!$A$6,0,0,高速化データ!$A$1,106), 32, TRUE)</f>
        <v>6</v>
      </c>
      <c r="AA49" s="1060">
        <f ca="1">VLOOKUP(Myリゾート!$C49,OFFSET(高速化データ!$A$6,0,0,高速化データ!$A$1,106), 33, TRUE)</f>
        <v>2280</v>
      </c>
      <c r="AB49" s="1060">
        <f ca="1">VLOOKUP(Myリゾート!$C49,OFFSET(高速化データ!$A$6,0,0,高速化データ!$A$1,106), 34, TRUE)</f>
        <v>6840</v>
      </c>
      <c r="AC49" s="1060">
        <f ca="1">VLOOKUP(Myリゾート!$C49,OFFSET(高速化データ!$A$6,0,0,高速化データ!$A$1,106), 35, TRUE)</f>
        <v>171</v>
      </c>
      <c r="AD49" s="1069">
        <f ca="1">VLOOKUP(Myリゾート!$C49,OFFSET(高速化データ!$A$6,0,0,高速化データ!$A$1,106), 36, TRUE)</f>
        <v>513</v>
      </c>
      <c r="AE49" s="1066">
        <f ca="1">VLOOKUP(Myリゾート!$C49,OFFSET(高速化データ!$A$6,0,0,高速化データ!$A$1,106), 16+($I49*14), TRUE)</f>
        <v>760</v>
      </c>
      <c r="AF49" s="1058">
        <f ca="1">VLOOKUP(Myリゾート!$C49,OFFSET(高速化データ!$A$6,0,0,高速化データ!$A$1,106), 17+($I49*14), TRUE)</f>
        <v>260</v>
      </c>
      <c r="AG49" s="1058">
        <f t="shared" ca="1" si="2"/>
        <v>456.95</v>
      </c>
      <c r="AH49" s="1068">
        <f t="shared" ca="1" si="5"/>
        <v>-303.05</v>
      </c>
      <c r="AI49" s="1061">
        <f ca="1">VLOOKUP(Myリゾート!$C49,OFFSET(高速化データ!$A$6,0,0,高速化データ!$A$1,106), 18+($I49*14), TRUE)</f>
        <v>7</v>
      </c>
      <c r="AJ49" s="1058">
        <f ca="1">VLOOKUP(Myリゾート!$C49,OFFSET(高速化データ!$A$6,0,0,高速化データ!$A$1,106), 19+($I49*14), TRUE)</f>
        <v>5320</v>
      </c>
      <c r="AK49" s="1058">
        <f ca="1">VLOOKUP(Myリゾート!$C49,OFFSET(高速化データ!$A$6,0,0,高速化データ!$A$1,106), 20+($I49*14), TRUE)</f>
        <v>15960</v>
      </c>
      <c r="AL49" s="1058">
        <f ca="1">VLOOKUP(Myリゾート!$C49,OFFSET(高速化データ!$A$6,0,0,高速化データ!$A$1,106), 21+($I49*14), TRUE)</f>
        <v>399</v>
      </c>
      <c r="AM49" s="1070">
        <f ca="1">VLOOKUP(Myリゾート!$C49,OFFSET(高速化データ!$A$6,0,0,高速化データ!$A$1,106), 22+($I49*14), TRUE)</f>
        <v>1197</v>
      </c>
      <c r="AN49" s="1072">
        <f ca="1">VLOOKUP(Myリゾート!$C49,OFFSET(高速化データ!$A$6,0,0,高速化データ!$A$1,106), 11, TRUE)</f>
        <v>7.4999999999999997E-2</v>
      </c>
      <c r="AO49" s="1110">
        <f ca="1">VLOOKUP(Myリゾート!$C49,OFFSET(高速化データ!$A$6,0,0,高速化データ!$A$1,106), 13, TRUE)</f>
        <v>30</v>
      </c>
      <c r="AP49" s="1073" t="str">
        <f ca="1">VLOOKUP(Myリゾート!$C49,OFFSET(高速化データ!$A$6,0,0,高速化データ!$A$1,106), 15, TRUE)</f>
        <v>A</v>
      </c>
      <c r="AQ49" s="1071" t="str">
        <f ca="1">VLOOKUP(Myリゾート!$C49,OFFSET(高速化データ!$A$6,0,0,高速化データ!$A$1,106), 9, TRUE)</f>
        <v>景品</v>
      </c>
      <c r="AR49" s="1112">
        <f ca="1">IF($I49=5, 0,VLOOKUP(Myリゾート!$C49,OFFSET(高速化データ!$A$6,0,0,高速化データ!$A$1,106), 23+(($I49+1)*14), TRUE))</f>
        <v>0</v>
      </c>
      <c r="AS49" s="1058">
        <f ca="1">IF($I49=5, 0,VLOOKUP(Myリゾート!$C49,OFFSET(高速化データ!$A$6,0,0,高速化データ!$A$1,106), 24+(($I49+1)*14), TRUE))</f>
        <v>0</v>
      </c>
      <c r="AT49" s="1074">
        <f ca="1">IF($I49=5, 0,VLOOKUP(Myリゾート!$C49,OFFSET(高速化データ!$A$6,0,0,高速化データ!$A$1,106), 25+(($I49+1)*14), TRUE))</f>
        <v>0</v>
      </c>
      <c r="AU49" s="1074">
        <f ca="1">IF($I49=5, 0,VLOOKUP(Myリゾート!$C49,OFFSET(高速化データ!$A$6,0,0,高速化データ!$A$1,106), 26+(($I49+1)*14), TRUE))</f>
        <v>0</v>
      </c>
      <c r="AV49" s="1074">
        <f ca="1">IF($I49=5, 0,VLOOKUP(Myリゾート!$C49,OFFSET(高速化データ!$A$6,0,0,高速化データ!$A$1,106), 27+(($I49+1)*14), TRUE))</f>
        <v>0</v>
      </c>
      <c r="AW49" s="1075">
        <f ca="1">IF($I49=5, 0,VLOOKUP(Myリゾート!$C49,OFFSET(高速化データ!$A$6,0,0,高速化データ!$A$1,106), 28+(($I49+1)*14), TRUE))</f>
        <v>0</v>
      </c>
      <c r="AX49" s="1070">
        <f ca="1">IF($I49=5, 0,VLOOKUP(Myリゾート!$C49,OFFSET(高速化データ!$A$6,0,0,高速化データ!$A$1,106), 29+(($I49+1)*14), TRUE))</f>
        <v>0</v>
      </c>
      <c r="AY49" s="1066">
        <f ca="1">IF($I49=5, 0, VLOOKUP(Myリゾート!$C49,OFFSET(高速化データ!$A$6,0,0,高速化データ!$A$1,106), 19+(($I49+1)*14), TRUE)-AJ49)</f>
        <v>0</v>
      </c>
      <c r="AZ49" s="1058">
        <f ca="1">IF($I49=5, 0, VLOOKUP(Myリゾート!$C49,OFFSET(高速化データ!$A$6,0,0,高速化データ!$A$1,106), 20+(($I49+1)*14), TRUE)-AK49)</f>
        <v>0</v>
      </c>
      <c r="BA49" s="1076">
        <f ca="1">IF($I49=5, 0, VLOOKUP(Myリゾート!$C49,OFFSET(高速化データ!$A$6,0,0,高速化データ!$A$1,106), 17+(($I49+1)*14), TRUE)*$B$1/100-VLOOKUP(Myリゾート!$C49,OFFSET(高速化データ!$A$6,0,0,高速化データ!$A$1,106), 16+(($I49+1)*14),TRUE)-AH49)</f>
        <v>0</v>
      </c>
      <c r="BB49" s="1056">
        <f t="shared" ca="1" si="6"/>
        <v>0</v>
      </c>
      <c r="BC49" s="1057">
        <f t="shared" ca="1" si="6"/>
        <v>0</v>
      </c>
      <c r="BD49" s="1068">
        <f t="shared" ca="1" si="7"/>
        <v>0</v>
      </c>
      <c r="BE49" s="9">
        <f t="shared" ca="1" si="8"/>
        <v>760</v>
      </c>
      <c r="BF49" s="7">
        <f t="shared" ca="1" si="8"/>
        <v>260</v>
      </c>
      <c r="BG49" s="7">
        <f t="shared" ca="1" si="9"/>
        <v>5320</v>
      </c>
      <c r="BH49" s="7">
        <f t="shared" ca="1" si="9"/>
        <v>15960</v>
      </c>
      <c r="BI49" s="7">
        <f t="shared" ca="1" si="9"/>
        <v>399</v>
      </c>
      <c r="BJ49" s="7">
        <f t="shared" ca="1" si="9"/>
        <v>1197</v>
      </c>
      <c r="BK49" s="8">
        <f t="shared" ca="1" si="10"/>
        <v>760</v>
      </c>
    </row>
    <row r="50" spans="2:63">
      <c r="B50" s="203" t="s">
        <v>81</v>
      </c>
      <c r="C50" s="1055">
        <f ca="1">VLOOKUP(Myリゾート!$B50,OFFSET(高速化データ!$DD$6,0,0,高速化データ!$A$1,2), 2, FALSE)</f>
        <v>57</v>
      </c>
      <c r="D50" s="59" t="str">
        <f ca="1">LEFT(VLOOKUP(Myリゾート!$C50,OFFSET(高速化データ!$A$6,0,0,高速化データ!$A$1,106), 3, TRUE),2)</f>
        <v>カジ</v>
      </c>
      <c r="E50" s="1063" t="str">
        <f ca="1">VLOOKUP(Myリゾート!$C50,OFFSET(高速化データ!$A$6,0,0,高速化データ!$A$1,106), 4, TRUE)&amp;""</f>
        <v/>
      </c>
      <c r="F50" s="1064" t="str">
        <f ca="1">VLOOKUP(Myリゾート!$C50,OFFSET(高速化データ!$A$6,0,0,高速化データ!$A$1,106), 5, TRUE)&amp;""</f>
        <v>○</v>
      </c>
      <c r="G50" s="1064" t="str">
        <f ca="1">VLOOKUP(Myリゾート!$C50,OFFSET(高速化データ!$A$6,0,0,高速化データ!$A$1,106), 6, TRUE)&amp;""</f>
        <v/>
      </c>
      <c r="H50" s="1065" t="str">
        <f ca="1">VLOOKUP(Myリゾート!$C50,OFFSET(高速化データ!$A$6,0,0,高速化データ!$A$1,106), 7, TRUE)&amp;""</f>
        <v/>
      </c>
      <c r="I50" s="1131">
        <v>0</v>
      </c>
      <c r="J50" s="1134"/>
      <c r="K50" s="1061">
        <f ca="1">VLOOKUP(Myリゾート!$C50,OFFSET(高速化データ!$A$6,0,0,高速化データ!$A$1,106), 10, TRUE)</f>
        <v>3</v>
      </c>
      <c r="L50" s="1062">
        <f ca="1">VLOOKUP(Myリゾート!$C50,OFFSET(高速化データ!$A$6,0,0,高速化データ!$A$1,106), 12, TRUE)</f>
        <v>2.9629629629629628</v>
      </c>
      <c r="M50" s="1066">
        <f ca="1">VLOOKUP(Myリゾート!$C50,OFFSET(高速化データ!$A$6,0,0,高速化データ!$A$1,106), 86, TRUE)</f>
        <v>800</v>
      </c>
      <c r="N50" s="1058">
        <f ca="1">VLOOKUP(Myリゾート!$C50,OFFSET(高速化データ!$A$6,0,0,高速化データ!$A$1,106), 87, TRUE)</f>
        <v>270</v>
      </c>
      <c r="O50" s="1058">
        <f t="shared" ca="1" si="0"/>
        <v>474.52499999999998</v>
      </c>
      <c r="P50" s="1059">
        <f t="shared" ca="1" si="3"/>
        <v>-325.47500000000002</v>
      </c>
      <c r="Q50" s="1061">
        <f ca="1">VLOOKUP(Myリゾート!$C50,OFFSET(高速化データ!$A$6,0,0,高速化データ!$A$1,106), 88, TRUE)</f>
        <v>7</v>
      </c>
      <c r="R50" s="1060">
        <f ca="1">VLOOKUP(Myリゾート!$C50,OFFSET(高速化データ!$A$6,0,0,高速化データ!$A$1,106), 89, TRUE)</f>
        <v>5600</v>
      </c>
      <c r="S50" s="1060">
        <f ca="1">VLOOKUP(Myリゾート!$C50,OFFSET(高速化データ!$A$6,0,0,高速化データ!$A$1,106), 90, TRUE)</f>
        <v>16800</v>
      </c>
      <c r="T50" s="1060">
        <f ca="1">VLOOKUP(Myリゾート!$C50,OFFSET(高速化データ!$A$6,0,0,高速化データ!$A$1,106), 91, TRUE)</f>
        <v>420</v>
      </c>
      <c r="U50" s="1067">
        <f ca="1">VLOOKUP(Myリゾート!$C50,OFFSET(高速化データ!$A$6,0,0,高速化データ!$A$1,106), 92, TRUE)</f>
        <v>1260</v>
      </c>
      <c r="V50" s="1066">
        <f ca="1">VLOOKUP(Myリゾート!$C50,OFFSET(高速化データ!$A$6,0,0,高速化データ!$A$1,106), 30, TRUE)</f>
        <v>400</v>
      </c>
      <c r="W50" s="1058">
        <f ca="1">VLOOKUP(Myリゾート!$C50,OFFSET(高速化データ!$A$6,0,0,高速化データ!$A$1,106), 31, TRUE)</f>
        <v>135</v>
      </c>
      <c r="X50" s="1058">
        <f t="shared" ca="1" si="1"/>
        <v>237.26249999999999</v>
      </c>
      <c r="Y50" s="1068">
        <f t="shared" ca="1" si="4"/>
        <v>-162.73750000000001</v>
      </c>
      <c r="Z50" s="1061">
        <f ca="1">VLOOKUP(Myリゾート!$C50,OFFSET(高速化データ!$A$6,0,0,高速化データ!$A$1,106), 32, TRUE)</f>
        <v>6</v>
      </c>
      <c r="AA50" s="1060">
        <f ca="1">VLOOKUP(Myリゾート!$C50,OFFSET(高速化データ!$A$6,0,0,高速化データ!$A$1,106), 33, TRUE)</f>
        <v>2400</v>
      </c>
      <c r="AB50" s="1060">
        <f ca="1">VLOOKUP(Myリゾート!$C50,OFFSET(高速化データ!$A$6,0,0,高速化データ!$A$1,106), 34, TRUE)</f>
        <v>7200</v>
      </c>
      <c r="AC50" s="1060">
        <f ca="1">VLOOKUP(Myリゾート!$C50,OFFSET(高速化データ!$A$6,0,0,高速化データ!$A$1,106), 35, TRUE)</f>
        <v>180</v>
      </c>
      <c r="AD50" s="1069">
        <f ca="1">VLOOKUP(Myリゾート!$C50,OFFSET(高速化データ!$A$6,0,0,高速化データ!$A$1,106), 36, TRUE)</f>
        <v>540</v>
      </c>
      <c r="AE50" s="1066">
        <f ca="1">VLOOKUP(Myリゾート!$C50,OFFSET(高速化データ!$A$6,0,0,高速化データ!$A$1,106), 16+($I50*14), TRUE)</f>
        <v>0</v>
      </c>
      <c r="AF50" s="1058">
        <f ca="1">VLOOKUP(Myリゾート!$C50,OFFSET(高速化データ!$A$6,0,0,高速化データ!$A$1,106), 17+($I50*14), TRUE)</f>
        <v>0</v>
      </c>
      <c r="AG50" s="1058">
        <f t="shared" ca="1" si="2"/>
        <v>0</v>
      </c>
      <c r="AH50" s="1068">
        <f t="shared" ca="1" si="5"/>
        <v>0</v>
      </c>
      <c r="AI50" s="1061">
        <f ca="1">VLOOKUP(Myリゾート!$C50,OFFSET(高速化データ!$A$6,0,0,高速化データ!$A$1,106), 18+($I50*14), TRUE)</f>
        <v>0</v>
      </c>
      <c r="AJ50" s="1058">
        <f ca="1">VLOOKUP(Myリゾート!$C50,OFFSET(高速化データ!$A$6,0,0,高速化データ!$A$1,106), 19+($I50*14), TRUE)</f>
        <v>0</v>
      </c>
      <c r="AK50" s="1058">
        <f ca="1">VLOOKUP(Myリゾート!$C50,OFFSET(高速化データ!$A$6,0,0,高速化データ!$A$1,106), 20+($I50*14), TRUE)</f>
        <v>0</v>
      </c>
      <c r="AL50" s="1058">
        <f ca="1">VLOOKUP(Myリゾート!$C50,OFFSET(高速化データ!$A$6,0,0,高速化データ!$A$1,106), 21+($I50*14), TRUE)</f>
        <v>0</v>
      </c>
      <c r="AM50" s="1070">
        <f ca="1">VLOOKUP(Myリゾート!$C50,OFFSET(高速化データ!$A$6,0,0,高速化データ!$A$1,106), 22+($I50*14), TRUE)</f>
        <v>0</v>
      </c>
      <c r="AN50" s="1072">
        <f ca="1">VLOOKUP(Myリゾート!$C50,OFFSET(高速化データ!$A$6,0,0,高速化データ!$A$1,106), 11, TRUE)</f>
        <v>7.4999999999999997E-2</v>
      </c>
      <c r="AO50" s="1110">
        <f ca="1">VLOOKUP(Myリゾート!$C50,OFFSET(高速化データ!$A$6,0,0,高速化データ!$A$1,106), 13, TRUE)</f>
        <v>30</v>
      </c>
      <c r="AP50" s="1073" t="str">
        <f ca="1">VLOOKUP(Myリゾート!$C50,OFFSET(高速化データ!$A$6,0,0,高速化データ!$A$1,106), 15, TRUE)</f>
        <v>A</v>
      </c>
      <c r="AQ50" s="1071" t="str">
        <f ca="1">VLOOKUP(Myリゾート!$C50,OFFSET(高速化データ!$A$6,0,0,高速化データ!$A$1,106), 9, TRUE)</f>
        <v>景品</v>
      </c>
      <c r="AR50" s="1112">
        <f ca="1">IF($I50=5, 0,VLOOKUP(Myリゾート!$C50,OFFSET(高速化データ!$A$6,0,0,高速化データ!$A$1,106), 23+(($I50+1)*14), TRUE))</f>
        <v>96</v>
      </c>
      <c r="AS50" s="1058">
        <f ca="1">IF($I50=5, 0,VLOOKUP(Myリゾート!$C50,OFFSET(高速化データ!$A$6,0,0,高速化データ!$A$1,106), 24+(($I50+1)*14), TRUE))</f>
        <v>0</v>
      </c>
      <c r="AT50" s="1074">
        <f ca="1">IF($I50=5, 0,VLOOKUP(Myリゾート!$C50,OFFSET(高速化データ!$A$6,0,0,高速化データ!$A$1,106), 25+(($I50+1)*14), TRUE))</f>
        <v>0</v>
      </c>
      <c r="AU50" s="1074">
        <f ca="1">IF($I50=5, 0,VLOOKUP(Myリゾート!$C50,OFFSET(高速化データ!$A$6,0,0,高速化データ!$A$1,106), 26+(($I50+1)*14), TRUE))</f>
        <v>0</v>
      </c>
      <c r="AV50" s="1074">
        <f ca="1">IF($I50=5, 0,VLOOKUP(Myリゾート!$C50,OFFSET(高速化データ!$A$6,0,0,高速化データ!$A$1,106), 27+(($I50+1)*14), TRUE))</f>
        <v>0</v>
      </c>
      <c r="AW50" s="1075">
        <f ca="1">IF($I50=5, 0,VLOOKUP(Myリゾート!$C50,OFFSET(高速化データ!$A$6,0,0,高速化データ!$A$1,106), 28+(($I50+1)*14), TRUE))</f>
        <v>0</v>
      </c>
      <c r="AX50" s="1070">
        <f ca="1">IF($I50=5, 0,VLOOKUP(Myリゾート!$C50,OFFSET(高速化データ!$A$6,0,0,高速化データ!$A$1,106), 29+(($I50+1)*14), TRUE))</f>
        <v>0</v>
      </c>
      <c r="AY50" s="1066">
        <f ca="1">IF($I50=5, 0, VLOOKUP(Myリゾート!$C50,OFFSET(高速化データ!$A$6,0,0,高速化データ!$A$1,106), 19+(($I50+1)*14), TRUE)-AJ50)</f>
        <v>2400</v>
      </c>
      <c r="AZ50" s="1058">
        <f ca="1">IF($I50=5, 0, VLOOKUP(Myリゾート!$C50,OFFSET(高速化データ!$A$6,0,0,高速化データ!$A$1,106), 20+(($I50+1)*14), TRUE)-AK50)</f>
        <v>7200</v>
      </c>
      <c r="BA50" s="1076">
        <f ca="1">IF($I50=5, 0, VLOOKUP(Myリゾート!$C50,OFFSET(高速化データ!$A$6,0,0,高速化データ!$A$1,106), 17+(($I50+1)*14), TRUE)*$B$1/100-VLOOKUP(Myリゾート!$C50,OFFSET(高速化データ!$A$6,0,0,高速化データ!$A$1,106), 16+(($I50+1)*14),TRUE)-AH50)</f>
        <v>-162.73750000000001</v>
      </c>
      <c r="BB50" s="1056">
        <f t="shared" ca="1" si="6"/>
        <v>5600</v>
      </c>
      <c r="BC50" s="1057">
        <f t="shared" ca="1" si="6"/>
        <v>16800</v>
      </c>
      <c r="BD50" s="1068">
        <f t="shared" ca="1" si="7"/>
        <v>-325.47500000000002</v>
      </c>
      <c r="BE50" s="9">
        <f t="shared" ca="1" si="8"/>
        <v>0</v>
      </c>
      <c r="BF50" s="7">
        <f t="shared" ca="1" si="8"/>
        <v>0</v>
      </c>
      <c r="BG50" s="7">
        <f t="shared" ca="1" si="9"/>
        <v>0</v>
      </c>
      <c r="BH50" s="7">
        <f t="shared" ca="1" si="9"/>
        <v>0</v>
      </c>
      <c r="BI50" s="7">
        <f t="shared" ca="1" si="9"/>
        <v>0</v>
      </c>
      <c r="BJ50" s="7">
        <f t="shared" ca="1" si="9"/>
        <v>0</v>
      </c>
      <c r="BK50" s="8">
        <f t="shared" ca="1" si="10"/>
        <v>0</v>
      </c>
    </row>
    <row r="51" spans="2:63">
      <c r="B51" s="203" t="s">
        <v>123</v>
      </c>
      <c r="C51" s="1055">
        <f ca="1">VLOOKUP(Myリゾート!$B51,OFFSET(高速化データ!$DD$6,0,0,高速化データ!$A$1,2), 2, FALSE)</f>
        <v>63</v>
      </c>
      <c r="D51" s="59" t="str">
        <f ca="1">LEFT(VLOOKUP(Myリゾート!$C51,OFFSET(高速化データ!$A$6,0,0,高速化データ!$A$1,106), 3, TRUE),2)</f>
        <v>カジ</v>
      </c>
      <c r="E51" s="1063" t="str">
        <f ca="1">VLOOKUP(Myリゾート!$C51,OFFSET(高速化データ!$A$6,0,0,高速化データ!$A$1,106), 4, TRUE)&amp;""</f>
        <v/>
      </c>
      <c r="F51" s="1064" t="str">
        <f ca="1">VLOOKUP(Myリゾート!$C51,OFFSET(高速化データ!$A$6,0,0,高速化データ!$A$1,106), 5, TRUE)&amp;""</f>
        <v>○</v>
      </c>
      <c r="G51" s="1064" t="str">
        <f ca="1">VLOOKUP(Myリゾート!$C51,OFFSET(高速化データ!$A$6,0,0,高速化データ!$A$1,106), 6, TRUE)&amp;""</f>
        <v/>
      </c>
      <c r="H51" s="1065" t="str">
        <f ca="1">VLOOKUP(Myリゾート!$C51,OFFSET(高速化データ!$A$6,0,0,高速化データ!$A$1,106), 7, TRUE)&amp;""</f>
        <v/>
      </c>
      <c r="I51" s="1131">
        <v>1</v>
      </c>
      <c r="J51" s="1134"/>
      <c r="K51" s="1061">
        <f ca="1">VLOOKUP(Myリゾート!$C51,OFFSET(高速化データ!$A$6,0,0,高速化データ!$A$1,106), 10, TRUE)</f>
        <v>3</v>
      </c>
      <c r="L51" s="1062">
        <f ca="1">VLOOKUP(Myリゾート!$C51,OFFSET(高速化データ!$A$6,0,0,高速化データ!$A$1,106), 12, TRUE)</f>
        <v>2.9027777777777777</v>
      </c>
      <c r="M51" s="1066">
        <f ca="1">VLOOKUP(Myリゾート!$C51,OFFSET(高速化データ!$A$6,0,0,高速化データ!$A$1,106), 86, TRUE)</f>
        <v>836</v>
      </c>
      <c r="N51" s="1058">
        <f ca="1">VLOOKUP(Myリゾート!$C51,OFFSET(高速化データ!$A$6,0,0,高速化データ!$A$1,106), 87, TRUE)</f>
        <v>288</v>
      </c>
      <c r="O51" s="1058">
        <f t="shared" ca="1" si="0"/>
        <v>506.16</v>
      </c>
      <c r="P51" s="1059">
        <f t="shared" ca="1" si="3"/>
        <v>-329.84</v>
      </c>
      <c r="Q51" s="1061">
        <f ca="1">VLOOKUP(Myリゾート!$C51,OFFSET(高速化データ!$A$6,0,0,高速化データ!$A$1,106), 88, TRUE)</f>
        <v>7</v>
      </c>
      <c r="R51" s="1060">
        <f ca="1">VLOOKUP(Myリゾート!$C51,OFFSET(高速化データ!$A$6,0,0,高速化データ!$A$1,106), 89, TRUE)</f>
        <v>5852</v>
      </c>
      <c r="S51" s="1060">
        <f ca="1">VLOOKUP(Myリゾート!$C51,OFFSET(高速化データ!$A$6,0,0,高速化データ!$A$1,106), 90, TRUE)</f>
        <v>17556</v>
      </c>
      <c r="T51" s="1060">
        <f ca="1">VLOOKUP(Myリゾート!$C51,OFFSET(高速化データ!$A$6,0,0,高速化データ!$A$1,106), 91, TRUE)</f>
        <v>438</v>
      </c>
      <c r="U51" s="1067">
        <f ca="1">VLOOKUP(Myリゾート!$C51,OFFSET(高速化データ!$A$6,0,0,高速化データ!$A$1,106), 92, TRUE)</f>
        <v>1316</v>
      </c>
      <c r="V51" s="1066">
        <f ca="1">VLOOKUP(Myリゾート!$C51,OFFSET(高速化データ!$A$6,0,0,高速化データ!$A$1,106), 30, TRUE)</f>
        <v>418</v>
      </c>
      <c r="W51" s="1058">
        <f ca="1">VLOOKUP(Myリゾート!$C51,OFFSET(高速化データ!$A$6,0,0,高速化データ!$A$1,106), 31, TRUE)</f>
        <v>144</v>
      </c>
      <c r="X51" s="1058">
        <f t="shared" ca="1" si="1"/>
        <v>253.08</v>
      </c>
      <c r="Y51" s="1068">
        <f t="shared" ca="1" si="4"/>
        <v>-164.92</v>
      </c>
      <c r="Z51" s="1061">
        <f ca="1">VLOOKUP(Myリゾート!$C51,OFFSET(高速化データ!$A$6,0,0,高速化データ!$A$1,106), 32, TRUE)</f>
        <v>6</v>
      </c>
      <c r="AA51" s="1060">
        <f ca="1">VLOOKUP(Myリゾート!$C51,OFFSET(高速化データ!$A$6,0,0,高速化データ!$A$1,106), 33, TRUE)</f>
        <v>2508</v>
      </c>
      <c r="AB51" s="1060">
        <f ca="1">VLOOKUP(Myリゾート!$C51,OFFSET(高速化データ!$A$6,0,0,高速化データ!$A$1,106), 34, TRUE)</f>
        <v>7524</v>
      </c>
      <c r="AC51" s="1060">
        <f ca="1">VLOOKUP(Myリゾート!$C51,OFFSET(高速化データ!$A$6,0,0,高速化データ!$A$1,106), 35, TRUE)</f>
        <v>188</v>
      </c>
      <c r="AD51" s="1069">
        <f ca="1">VLOOKUP(Myリゾート!$C51,OFFSET(高速化データ!$A$6,0,0,高速化データ!$A$1,106), 36, TRUE)</f>
        <v>564</v>
      </c>
      <c r="AE51" s="1066">
        <f ca="1">VLOOKUP(Myリゾート!$C51,OFFSET(高速化データ!$A$6,0,0,高速化データ!$A$1,106), 16+($I51*14), TRUE)</f>
        <v>418</v>
      </c>
      <c r="AF51" s="1058">
        <f ca="1">VLOOKUP(Myリゾート!$C51,OFFSET(高速化データ!$A$6,0,0,高速化データ!$A$1,106), 17+($I51*14), TRUE)</f>
        <v>144</v>
      </c>
      <c r="AG51" s="1058">
        <f t="shared" ca="1" si="2"/>
        <v>253.08</v>
      </c>
      <c r="AH51" s="1068">
        <f t="shared" ca="1" si="5"/>
        <v>-164.92</v>
      </c>
      <c r="AI51" s="1061">
        <f ca="1">VLOOKUP(Myリゾート!$C51,OFFSET(高速化データ!$A$6,0,0,高速化データ!$A$1,106), 18+($I51*14), TRUE)</f>
        <v>6</v>
      </c>
      <c r="AJ51" s="1058">
        <f ca="1">VLOOKUP(Myリゾート!$C51,OFFSET(高速化データ!$A$6,0,0,高速化データ!$A$1,106), 19+($I51*14), TRUE)</f>
        <v>2508</v>
      </c>
      <c r="AK51" s="1058">
        <f ca="1">VLOOKUP(Myリゾート!$C51,OFFSET(高速化データ!$A$6,0,0,高速化データ!$A$1,106), 20+($I51*14), TRUE)</f>
        <v>7524</v>
      </c>
      <c r="AL51" s="1058">
        <f ca="1">VLOOKUP(Myリゾート!$C51,OFFSET(高速化データ!$A$6,0,0,高速化データ!$A$1,106), 21+($I51*14), TRUE)</f>
        <v>188</v>
      </c>
      <c r="AM51" s="1070">
        <f ca="1">VLOOKUP(Myリゾート!$C51,OFFSET(高速化データ!$A$6,0,0,高速化データ!$A$1,106), 22+($I51*14), TRUE)</f>
        <v>564</v>
      </c>
      <c r="AN51" s="1072">
        <f ca="1">VLOOKUP(Myリゾート!$C51,OFFSET(高速化データ!$A$6,0,0,高速化データ!$A$1,106), 11, TRUE)</f>
        <v>7.4999999999999997E-2</v>
      </c>
      <c r="AO51" s="1110">
        <f ca="1">VLOOKUP(Myリゾート!$C51,OFFSET(高速化データ!$A$6,0,0,高速化データ!$A$1,106), 13, TRUE)</f>
        <v>30</v>
      </c>
      <c r="AP51" s="1073" t="str">
        <f ca="1">VLOOKUP(Myリゾート!$C51,OFFSET(高速化データ!$A$6,0,0,高速化データ!$A$1,106), 15, TRUE)</f>
        <v>A</v>
      </c>
      <c r="AQ51" s="1071" t="str">
        <f ca="1">VLOOKUP(Myリゾート!$C51,OFFSET(高速化データ!$A$6,0,0,高速化データ!$A$1,106), 9, TRUE)</f>
        <v>景品</v>
      </c>
      <c r="AR51" s="1112">
        <f ca="1">IF($I51=5, 0,VLOOKUP(Myリゾート!$C51,OFFSET(高速化データ!$A$6,0,0,高速化データ!$A$1,106), 23+(($I51+1)*14), TRUE))</f>
        <v>36</v>
      </c>
      <c r="AS51" s="1058">
        <f ca="1">IF($I51=5, 0,VLOOKUP(Myリゾート!$C51,OFFSET(高速化データ!$A$6,0,0,高速化データ!$A$1,106), 24+(($I51+1)*14), TRUE))</f>
        <v>10000000</v>
      </c>
      <c r="AT51" s="1074">
        <f ca="1">IF($I51=5, 0,VLOOKUP(Myリゾート!$C51,OFFSET(高速化データ!$A$6,0,0,高速化データ!$A$1,106), 25+(($I51+1)*14), TRUE))</f>
        <v>0</v>
      </c>
      <c r="AU51" s="1074">
        <f ca="1">IF($I51=5, 0,VLOOKUP(Myリゾート!$C51,OFFSET(高速化データ!$A$6,0,0,高速化データ!$A$1,106), 26+(($I51+1)*14), TRUE))</f>
        <v>0</v>
      </c>
      <c r="AV51" s="1074">
        <f ca="1">IF($I51=5, 0,VLOOKUP(Myリゾート!$C51,OFFSET(高速化データ!$A$6,0,0,高速化データ!$A$1,106), 27+(($I51+1)*14), TRUE))</f>
        <v>0</v>
      </c>
      <c r="AW51" s="1075">
        <f ca="1">IF($I51=5, 0,VLOOKUP(Myリゾート!$C51,OFFSET(高速化データ!$A$6,0,0,高速化データ!$A$1,106), 28+(($I51+1)*14), TRUE))</f>
        <v>111.75668970405813</v>
      </c>
      <c r="AX51" s="1070">
        <f ca="1">IF($I51=5, 0,VLOOKUP(Myリゾート!$C51,OFFSET(高速化データ!$A$6,0,0,高速化データ!$A$1,106), 29+(($I51+1)*14), TRUE))</f>
        <v>277777</v>
      </c>
      <c r="AY51" s="1066">
        <f ca="1">IF($I51=5, 0, VLOOKUP(Myリゾート!$C51,OFFSET(高速化データ!$A$6,0,0,高速化データ!$A$1,106), 19+(($I51+1)*14), TRUE)-AJ51)</f>
        <v>1254</v>
      </c>
      <c r="AZ51" s="1058">
        <f ca="1">IF($I51=5, 0, VLOOKUP(Myリゾート!$C51,OFFSET(高速化データ!$A$6,0,0,高速化データ!$A$1,106), 20+(($I51+1)*14), TRUE)-AK51)</f>
        <v>3762</v>
      </c>
      <c r="BA51" s="1076">
        <f ca="1">IF($I51=5, 0, VLOOKUP(Myリゾート!$C51,OFFSET(高速化データ!$A$6,0,0,高速化データ!$A$1,106), 17+(($I51+1)*14), TRUE)*$B$1/100-VLOOKUP(Myリゾート!$C51,OFFSET(高速化データ!$A$6,0,0,高速化データ!$A$1,106), 16+(($I51+1)*14),TRUE)-AH51)</f>
        <v>-82.460000000000008</v>
      </c>
      <c r="BB51" s="1056">
        <f t="shared" ca="1" si="6"/>
        <v>3344</v>
      </c>
      <c r="BC51" s="1057">
        <f t="shared" ca="1" si="6"/>
        <v>10032</v>
      </c>
      <c r="BD51" s="1068">
        <f t="shared" ca="1" si="7"/>
        <v>-164.92</v>
      </c>
      <c r="BE51" s="9">
        <f t="shared" ca="1" si="8"/>
        <v>418</v>
      </c>
      <c r="BF51" s="7">
        <f t="shared" ca="1" si="8"/>
        <v>144</v>
      </c>
      <c r="BG51" s="7">
        <f t="shared" ca="1" si="9"/>
        <v>2508</v>
      </c>
      <c r="BH51" s="7">
        <f t="shared" ca="1" si="9"/>
        <v>7524</v>
      </c>
      <c r="BI51" s="7">
        <f t="shared" ca="1" si="9"/>
        <v>188</v>
      </c>
      <c r="BJ51" s="7">
        <f t="shared" ca="1" si="9"/>
        <v>564</v>
      </c>
      <c r="BK51" s="8">
        <f t="shared" ca="1" si="10"/>
        <v>418</v>
      </c>
    </row>
    <row r="52" spans="2:63">
      <c r="B52" s="203" t="s">
        <v>263</v>
      </c>
      <c r="C52" s="1055">
        <f ca="1">VLOOKUP(Myリゾート!$B52,OFFSET(高速化データ!$DD$6,0,0,高速化データ!$A$1,2), 2, FALSE)</f>
        <v>7019</v>
      </c>
      <c r="D52" s="59" t="str">
        <f ca="1">LEFT(VLOOKUP(Myリゾート!$C52,OFFSET(高速化データ!$A$6,0,0,高速化データ!$A$1,106), 3, TRUE),2)</f>
        <v>カジ</v>
      </c>
      <c r="E52" s="1063" t="str">
        <f ca="1">VLOOKUP(Myリゾート!$C52,OFFSET(高速化データ!$A$6,0,0,高速化データ!$A$1,106), 4, TRUE)&amp;""</f>
        <v/>
      </c>
      <c r="F52" s="1064" t="str">
        <f ca="1">VLOOKUP(Myリゾート!$C52,OFFSET(高速化データ!$A$6,0,0,高速化データ!$A$1,106), 5, TRUE)&amp;""</f>
        <v>○</v>
      </c>
      <c r="G52" s="1064" t="str">
        <f ca="1">VLOOKUP(Myリゾート!$C52,OFFSET(高速化データ!$A$6,0,0,高速化データ!$A$1,106), 6, TRUE)&amp;""</f>
        <v>○</v>
      </c>
      <c r="H52" s="1065" t="str">
        <f ca="1">VLOOKUP(Myリゾート!$C52,OFFSET(高速化データ!$A$6,0,0,高速化データ!$A$1,106), 7, TRUE)&amp;""</f>
        <v/>
      </c>
      <c r="I52" s="1131">
        <v>2</v>
      </c>
      <c r="J52" s="1134"/>
      <c r="K52" s="1061">
        <f ca="1">VLOOKUP(Myリゾート!$C52,OFFSET(高速化データ!$A$6,0,0,高速化データ!$A$1,106), 10, TRUE)</f>
        <v>5</v>
      </c>
      <c r="L52" s="1062">
        <f ca="1">VLOOKUP(Myリゾート!$C52,OFFSET(高速化データ!$A$6,0,0,高速化データ!$A$1,106), 12, TRUE)</f>
        <v>4.333333333333333</v>
      </c>
      <c r="M52" s="1066">
        <f ca="1">VLOOKUP(Myリゾート!$C52,OFFSET(高速化データ!$A$6,0,0,高速化データ!$A$1,106), 86, TRUE)</f>
        <v>1560</v>
      </c>
      <c r="N52" s="1058">
        <f ca="1">VLOOKUP(Myリゾート!$C52,OFFSET(高速化データ!$A$6,0,0,高速化データ!$A$1,106), 87, TRUE)</f>
        <v>360</v>
      </c>
      <c r="O52" s="1058">
        <f t="shared" ca="1" si="0"/>
        <v>632.70000000000005</v>
      </c>
      <c r="P52" s="1059">
        <f t="shared" ca="1" si="3"/>
        <v>-927.3</v>
      </c>
      <c r="Q52" s="1061">
        <f ca="1">VLOOKUP(Myリゾート!$C52,OFFSET(高速化データ!$A$6,0,0,高速化データ!$A$1,106), 88, TRUE)</f>
        <v>8</v>
      </c>
      <c r="R52" s="1060">
        <f ca="1">VLOOKUP(Myリゾート!$C52,OFFSET(高速化データ!$A$6,0,0,高速化データ!$A$1,106), 89, TRUE)</f>
        <v>12480</v>
      </c>
      <c r="S52" s="1060">
        <f ca="1">VLOOKUP(Myリゾート!$C52,OFFSET(高速化データ!$A$6,0,0,高速化データ!$A$1,106), 90, TRUE)</f>
        <v>62400</v>
      </c>
      <c r="T52" s="1060">
        <f ca="1">VLOOKUP(Myリゾート!$C52,OFFSET(高速化データ!$A$6,0,0,高速化データ!$A$1,106), 91, TRUE)</f>
        <v>936</v>
      </c>
      <c r="U52" s="1067">
        <f ca="1">VLOOKUP(Myリゾート!$C52,OFFSET(高速化データ!$A$6,0,0,高速化データ!$A$1,106), 92, TRUE)</f>
        <v>4680</v>
      </c>
      <c r="V52" s="1066">
        <f ca="1">VLOOKUP(Myリゾート!$C52,OFFSET(高速化データ!$A$6,0,0,高速化データ!$A$1,106), 30, TRUE)</f>
        <v>520</v>
      </c>
      <c r="W52" s="1058">
        <f ca="1">VLOOKUP(Myリゾート!$C52,OFFSET(高速化データ!$A$6,0,0,高速化データ!$A$1,106), 31, TRUE)</f>
        <v>120</v>
      </c>
      <c r="X52" s="1058">
        <f t="shared" ca="1" si="1"/>
        <v>210.9</v>
      </c>
      <c r="Y52" s="1068">
        <f t="shared" ca="1" si="4"/>
        <v>-309.10000000000002</v>
      </c>
      <c r="Z52" s="1061">
        <f ca="1">VLOOKUP(Myリゾート!$C52,OFFSET(高速化データ!$A$6,0,0,高速化データ!$A$1,106), 32, TRUE)</f>
        <v>8</v>
      </c>
      <c r="AA52" s="1060">
        <f ca="1">VLOOKUP(Myリゾート!$C52,OFFSET(高速化データ!$A$6,0,0,高速化データ!$A$1,106), 33, TRUE)</f>
        <v>4160</v>
      </c>
      <c r="AB52" s="1060">
        <f ca="1">VLOOKUP(Myリゾート!$C52,OFFSET(高速化データ!$A$6,0,0,高速化データ!$A$1,106), 34, TRUE)</f>
        <v>20800</v>
      </c>
      <c r="AC52" s="1060">
        <f ca="1">VLOOKUP(Myリゾート!$C52,OFFSET(高速化データ!$A$6,0,0,高速化データ!$A$1,106), 35, TRUE)</f>
        <v>312</v>
      </c>
      <c r="AD52" s="1069">
        <f ca="1">VLOOKUP(Myリゾート!$C52,OFFSET(高速化データ!$A$6,0,0,高速化データ!$A$1,106), 36, TRUE)</f>
        <v>1560</v>
      </c>
      <c r="AE52" s="1066">
        <f ca="1">VLOOKUP(Myリゾート!$C52,OFFSET(高速化データ!$A$6,0,0,高速化データ!$A$1,106), 16+($I52*14), TRUE)</f>
        <v>650</v>
      </c>
      <c r="AF52" s="1058">
        <f ca="1">VLOOKUP(Myリゾート!$C52,OFFSET(高速化データ!$A$6,0,0,高速化データ!$A$1,106), 17+($I52*14), TRUE)</f>
        <v>150</v>
      </c>
      <c r="AG52" s="1058">
        <f t="shared" ca="1" si="2"/>
        <v>263.625</v>
      </c>
      <c r="AH52" s="1068">
        <f t="shared" ca="1" si="5"/>
        <v>-386.375</v>
      </c>
      <c r="AI52" s="1061">
        <f ca="1">VLOOKUP(Myリゾート!$C52,OFFSET(高速化データ!$A$6,0,0,高速化データ!$A$1,106), 18+($I52*14), TRUE)</f>
        <v>8</v>
      </c>
      <c r="AJ52" s="1058">
        <f ca="1">VLOOKUP(Myリゾート!$C52,OFFSET(高速化データ!$A$6,0,0,高速化データ!$A$1,106), 19+($I52*14), TRUE)</f>
        <v>5200</v>
      </c>
      <c r="AK52" s="1058">
        <f ca="1">VLOOKUP(Myリゾート!$C52,OFFSET(高速化データ!$A$6,0,0,高速化データ!$A$1,106), 20+($I52*14), TRUE)</f>
        <v>26000</v>
      </c>
      <c r="AL52" s="1058">
        <f ca="1">VLOOKUP(Myリゾート!$C52,OFFSET(高速化データ!$A$6,0,0,高速化データ!$A$1,106), 21+($I52*14), TRUE)</f>
        <v>390</v>
      </c>
      <c r="AM52" s="1070">
        <f ca="1">VLOOKUP(Myリゾート!$C52,OFFSET(高速化データ!$A$6,0,0,高速化データ!$A$1,106), 22+($I52*14), TRUE)</f>
        <v>1950</v>
      </c>
      <c r="AN52" s="1072">
        <f ca="1">VLOOKUP(Myリゾート!$C52,OFFSET(高速化データ!$A$6,0,0,高速化データ!$A$1,106), 11, TRUE)</f>
        <v>7.4999999999999997E-2</v>
      </c>
      <c r="AO52" s="1110">
        <f ca="1">VLOOKUP(Myリゾート!$C52,OFFSET(高速化データ!$A$6,0,0,高速化データ!$A$1,106), 13, TRUE)</f>
        <v>30</v>
      </c>
      <c r="AP52" s="1073" t="str">
        <f ca="1">VLOOKUP(Myリゾート!$C52,OFFSET(高速化データ!$A$6,0,0,高速化データ!$A$1,106), 15, TRUE)</f>
        <v>B</v>
      </c>
      <c r="AQ52" s="1071" t="str">
        <f ca="1">VLOOKUP(Myリゾート!$C52,OFFSET(高速化データ!$A$6,0,0,高速化データ!$A$1,106), 9, TRUE)</f>
        <v>VIP</v>
      </c>
      <c r="AR52" s="1112">
        <f ca="1">IF($I52=5, 0,VLOOKUP(Myリゾート!$C52,OFFSET(高速化データ!$A$6,0,0,高速化データ!$A$1,106), 23+(($I52+1)*14), TRUE))</f>
        <v>0</v>
      </c>
      <c r="AS52" s="1058">
        <f ca="1">IF($I52=5, 0,VLOOKUP(Myリゾート!$C52,OFFSET(高速化データ!$A$6,0,0,高速化データ!$A$1,106), 24+(($I52+1)*14), TRUE))</f>
        <v>0</v>
      </c>
      <c r="AT52" s="1074">
        <f ca="1">IF($I52=5, 0,VLOOKUP(Myリゾート!$C52,OFFSET(高速化データ!$A$6,0,0,高速化データ!$A$1,106), 25+(($I52+1)*14), TRUE))</f>
        <v>0</v>
      </c>
      <c r="AU52" s="1074">
        <f ca="1">IF($I52=5, 0,VLOOKUP(Myリゾート!$C52,OFFSET(高速化データ!$A$6,0,0,高速化データ!$A$1,106), 26+(($I52+1)*14), TRUE))</f>
        <v>0</v>
      </c>
      <c r="AV52" s="1074">
        <f ca="1">IF($I52=5, 0,VLOOKUP(Myリゾート!$C52,OFFSET(高速化データ!$A$6,0,0,高速化データ!$A$1,106), 27+(($I52+1)*14), TRUE))</f>
        <v>0</v>
      </c>
      <c r="AW52" s="1075">
        <f ca="1">IF($I52=5, 0,VLOOKUP(Myリゾート!$C52,OFFSET(高速化データ!$A$6,0,0,高速化データ!$A$1,106), 28+(($I52+1)*14), TRUE))</f>
        <v>0</v>
      </c>
      <c r="AX52" s="1070">
        <f ca="1">IF($I52=5, 0,VLOOKUP(Myリゾート!$C52,OFFSET(高速化データ!$A$6,0,0,高速化データ!$A$1,106), 29+(($I52+1)*14), TRUE))</f>
        <v>0</v>
      </c>
      <c r="AY52" s="1066">
        <f ca="1">IF($I52=5, 0, VLOOKUP(Myリゾート!$C52,OFFSET(高速化データ!$A$6,0,0,高速化データ!$A$1,106), 19+(($I52+1)*14), TRUE)-AJ52)</f>
        <v>1040</v>
      </c>
      <c r="AZ52" s="1058">
        <f ca="1">IF($I52=5, 0, VLOOKUP(Myリゾート!$C52,OFFSET(高速化データ!$A$6,0,0,高速化データ!$A$1,106), 20+(($I52+1)*14), TRUE)-AK52)</f>
        <v>5200</v>
      </c>
      <c r="BA52" s="1076">
        <f ca="1">IF($I52=5, 0, VLOOKUP(Myリゾート!$C52,OFFSET(高速化データ!$A$6,0,0,高速化データ!$A$1,106), 17+(($I52+1)*14), TRUE)*$B$1/100-VLOOKUP(Myリゾート!$C52,OFFSET(高速化データ!$A$6,0,0,高速化データ!$A$1,106), 16+(($I52+1)*14),TRUE)-AH52)</f>
        <v>-77.274999999999977</v>
      </c>
      <c r="BB52" s="1056">
        <f t="shared" ca="1" si="6"/>
        <v>7280</v>
      </c>
      <c r="BC52" s="1057">
        <f t="shared" ca="1" si="6"/>
        <v>36400</v>
      </c>
      <c r="BD52" s="1068">
        <f t="shared" ca="1" si="7"/>
        <v>-540.92499999999995</v>
      </c>
      <c r="BE52" s="9">
        <f t="shared" ca="1" si="8"/>
        <v>650</v>
      </c>
      <c r="BF52" s="7">
        <f t="shared" ca="1" si="8"/>
        <v>150</v>
      </c>
      <c r="BG52" s="7">
        <f t="shared" ca="1" si="9"/>
        <v>5200</v>
      </c>
      <c r="BH52" s="7">
        <f t="shared" ca="1" si="9"/>
        <v>26000</v>
      </c>
      <c r="BI52" s="7">
        <f t="shared" ca="1" si="9"/>
        <v>390</v>
      </c>
      <c r="BJ52" s="7">
        <f t="shared" ca="1" si="9"/>
        <v>1950</v>
      </c>
      <c r="BK52" s="8">
        <f t="shared" ca="1" si="10"/>
        <v>650</v>
      </c>
    </row>
    <row r="53" spans="2:63">
      <c r="B53" s="203" t="s">
        <v>263</v>
      </c>
      <c r="C53" s="1055">
        <f ca="1">VLOOKUP(Myリゾート!$B53,OFFSET(高速化データ!$DD$6,0,0,高速化データ!$A$1,2), 2, FALSE)</f>
        <v>7019</v>
      </c>
      <c r="D53" s="59" t="str">
        <f ca="1">LEFT(VLOOKUP(Myリゾート!$C53,OFFSET(高速化データ!$A$6,0,0,高速化データ!$A$1,106), 3, TRUE),2)</f>
        <v>カジ</v>
      </c>
      <c r="E53" s="1063" t="str">
        <f ca="1">VLOOKUP(Myリゾート!$C53,OFFSET(高速化データ!$A$6,0,0,高速化データ!$A$1,106), 4, TRUE)&amp;""</f>
        <v/>
      </c>
      <c r="F53" s="1064" t="str">
        <f ca="1">VLOOKUP(Myリゾート!$C53,OFFSET(高速化データ!$A$6,0,0,高速化データ!$A$1,106), 5, TRUE)&amp;""</f>
        <v>○</v>
      </c>
      <c r="G53" s="1064" t="str">
        <f ca="1">VLOOKUP(Myリゾート!$C53,OFFSET(高速化データ!$A$6,0,0,高速化データ!$A$1,106), 6, TRUE)&amp;""</f>
        <v>○</v>
      </c>
      <c r="H53" s="1065" t="str">
        <f ca="1">VLOOKUP(Myリゾート!$C53,OFFSET(高速化データ!$A$6,0,0,高速化データ!$A$1,106), 7, TRUE)&amp;""</f>
        <v/>
      </c>
      <c r="I53" s="1131">
        <v>3</v>
      </c>
      <c r="J53" s="1134"/>
      <c r="K53" s="1061">
        <f ca="1">VLOOKUP(Myリゾート!$C53,OFFSET(高速化データ!$A$6,0,0,高速化データ!$A$1,106), 10, TRUE)</f>
        <v>5</v>
      </c>
      <c r="L53" s="1062">
        <f ca="1">VLOOKUP(Myリゾート!$C53,OFFSET(高速化データ!$A$6,0,0,高速化データ!$A$1,106), 12, TRUE)</f>
        <v>4.333333333333333</v>
      </c>
      <c r="M53" s="1066">
        <f ca="1">VLOOKUP(Myリゾート!$C53,OFFSET(高速化データ!$A$6,0,0,高速化データ!$A$1,106), 86, TRUE)</f>
        <v>1560</v>
      </c>
      <c r="N53" s="1058">
        <f ca="1">VLOOKUP(Myリゾート!$C53,OFFSET(高速化データ!$A$6,0,0,高速化データ!$A$1,106), 87, TRUE)</f>
        <v>360</v>
      </c>
      <c r="O53" s="1058">
        <f t="shared" ca="1" si="0"/>
        <v>632.70000000000005</v>
      </c>
      <c r="P53" s="1059">
        <f t="shared" ca="1" si="3"/>
        <v>-927.3</v>
      </c>
      <c r="Q53" s="1061">
        <f ca="1">VLOOKUP(Myリゾート!$C53,OFFSET(高速化データ!$A$6,0,0,高速化データ!$A$1,106), 88, TRUE)</f>
        <v>8</v>
      </c>
      <c r="R53" s="1060">
        <f ca="1">VLOOKUP(Myリゾート!$C53,OFFSET(高速化データ!$A$6,0,0,高速化データ!$A$1,106), 89, TRUE)</f>
        <v>12480</v>
      </c>
      <c r="S53" s="1060">
        <f ca="1">VLOOKUP(Myリゾート!$C53,OFFSET(高速化データ!$A$6,0,0,高速化データ!$A$1,106), 90, TRUE)</f>
        <v>62400</v>
      </c>
      <c r="T53" s="1060">
        <f ca="1">VLOOKUP(Myリゾート!$C53,OFFSET(高速化データ!$A$6,0,0,高速化データ!$A$1,106), 91, TRUE)</f>
        <v>936</v>
      </c>
      <c r="U53" s="1067">
        <f ca="1">VLOOKUP(Myリゾート!$C53,OFFSET(高速化データ!$A$6,0,0,高速化データ!$A$1,106), 92, TRUE)</f>
        <v>4680</v>
      </c>
      <c r="V53" s="1066">
        <f ca="1">VLOOKUP(Myリゾート!$C53,OFFSET(高速化データ!$A$6,0,0,高速化データ!$A$1,106), 30, TRUE)</f>
        <v>520</v>
      </c>
      <c r="W53" s="1058">
        <f ca="1">VLOOKUP(Myリゾート!$C53,OFFSET(高速化データ!$A$6,0,0,高速化データ!$A$1,106), 31, TRUE)</f>
        <v>120</v>
      </c>
      <c r="X53" s="1058">
        <f t="shared" ca="1" si="1"/>
        <v>210.9</v>
      </c>
      <c r="Y53" s="1068">
        <f t="shared" ca="1" si="4"/>
        <v>-309.10000000000002</v>
      </c>
      <c r="Z53" s="1061">
        <f ca="1">VLOOKUP(Myリゾート!$C53,OFFSET(高速化データ!$A$6,0,0,高速化データ!$A$1,106), 32, TRUE)</f>
        <v>8</v>
      </c>
      <c r="AA53" s="1060">
        <f ca="1">VLOOKUP(Myリゾート!$C53,OFFSET(高速化データ!$A$6,0,0,高速化データ!$A$1,106), 33, TRUE)</f>
        <v>4160</v>
      </c>
      <c r="AB53" s="1060">
        <f ca="1">VLOOKUP(Myリゾート!$C53,OFFSET(高速化データ!$A$6,0,0,高速化データ!$A$1,106), 34, TRUE)</f>
        <v>20800</v>
      </c>
      <c r="AC53" s="1060">
        <f ca="1">VLOOKUP(Myリゾート!$C53,OFFSET(高速化データ!$A$6,0,0,高速化データ!$A$1,106), 35, TRUE)</f>
        <v>312</v>
      </c>
      <c r="AD53" s="1069">
        <f ca="1">VLOOKUP(Myリゾート!$C53,OFFSET(高速化データ!$A$6,0,0,高速化データ!$A$1,106), 36, TRUE)</f>
        <v>1560</v>
      </c>
      <c r="AE53" s="1066">
        <f ca="1">VLOOKUP(Myリゾート!$C53,OFFSET(高速化データ!$A$6,0,0,高速化データ!$A$1,106), 16+($I53*14), TRUE)</f>
        <v>780</v>
      </c>
      <c r="AF53" s="1058">
        <f ca="1">VLOOKUP(Myリゾート!$C53,OFFSET(高速化データ!$A$6,0,0,高速化データ!$A$1,106), 17+($I53*14), TRUE)</f>
        <v>180</v>
      </c>
      <c r="AG53" s="1058">
        <f t="shared" ca="1" si="2"/>
        <v>316.35000000000002</v>
      </c>
      <c r="AH53" s="1068">
        <f t="shared" ca="1" si="5"/>
        <v>-463.65</v>
      </c>
      <c r="AI53" s="1061">
        <f ca="1">VLOOKUP(Myリゾート!$C53,OFFSET(高速化データ!$A$6,0,0,高速化データ!$A$1,106), 18+($I53*14), TRUE)</f>
        <v>8</v>
      </c>
      <c r="AJ53" s="1058">
        <f ca="1">VLOOKUP(Myリゾート!$C53,OFFSET(高速化データ!$A$6,0,0,高速化データ!$A$1,106), 19+($I53*14), TRUE)</f>
        <v>6240</v>
      </c>
      <c r="AK53" s="1058">
        <f ca="1">VLOOKUP(Myリゾート!$C53,OFFSET(高速化データ!$A$6,0,0,高速化データ!$A$1,106), 20+($I53*14), TRUE)</f>
        <v>31200</v>
      </c>
      <c r="AL53" s="1058">
        <f ca="1">VLOOKUP(Myリゾート!$C53,OFFSET(高速化データ!$A$6,0,0,高速化データ!$A$1,106), 21+($I53*14), TRUE)</f>
        <v>468</v>
      </c>
      <c r="AM53" s="1070">
        <f ca="1">VLOOKUP(Myリゾート!$C53,OFFSET(高速化データ!$A$6,0,0,高速化データ!$A$1,106), 22+($I53*14), TRUE)</f>
        <v>2340</v>
      </c>
      <c r="AN53" s="1072">
        <f ca="1">VLOOKUP(Myリゾート!$C53,OFFSET(高速化データ!$A$6,0,0,高速化データ!$A$1,106), 11, TRUE)</f>
        <v>7.4999999999999997E-2</v>
      </c>
      <c r="AO53" s="1110">
        <f ca="1">VLOOKUP(Myリゾート!$C53,OFFSET(高速化データ!$A$6,0,0,高速化データ!$A$1,106), 13, TRUE)</f>
        <v>30</v>
      </c>
      <c r="AP53" s="1073" t="str">
        <f ca="1">VLOOKUP(Myリゾート!$C53,OFFSET(高速化データ!$A$6,0,0,高速化データ!$A$1,106), 15, TRUE)</f>
        <v>B</v>
      </c>
      <c r="AQ53" s="1071" t="str">
        <f ca="1">VLOOKUP(Myリゾート!$C53,OFFSET(高速化データ!$A$6,0,0,高速化データ!$A$1,106), 9, TRUE)</f>
        <v>VIP</v>
      </c>
      <c r="AR53" s="1112">
        <f ca="1">IF($I53=5, 0,VLOOKUP(Myリゾート!$C53,OFFSET(高速化データ!$A$6,0,0,高速化データ!$A$1,106), 23+(($I53+1)*14), TRUE))</f>
        <v>0</v>
      </c>
      <c r="AS53" s="1058">
        <f ca="1">IF($I53=5, 0,VLOOKUP(Myリゾート!$C53,OFFSET(高速化データ!$A$6,0,0,高速化データ!$A$1,106), 24+(($I53+1)*14), TRUE))</f>
        <v>0</v>
      </c>
      <c r="AT53" s="1074">
        <f ca="1">IF($I53=5, 0,VLOOKUP(Myリゾート!$C53,OFFSET(高速化データ!$A$6,0,0,高速化データ!$A$1,106), 25+(($I53+1)*14), TRUE))</f>
        <v>0</v>
      </c>
      <c r="AU53" s="1074">
        <f ca="1">IF($I53=5, 0,VLOOKUP(Myリゾート!$C53,OFFSET(高速化データ!$A$6,0,0,高速化データ!$A$1,106), 26+(($I53+1)*14), TRUE))</f>
        <v>0</v>
      </c>
      <c r="AV53" s="1074">
        <f ca="1">IF($I53=5, 0,VLOOKUP(Myリゾート!$C53,OFFSET(高速化データ!$A$6,0,0,高速化データ!$A$1,106), 27+(($I53+1)*14), TRUE))</f>
        <v>0</v>
      </c>
      <c r="AW53" s="1075">
        <f ca="1">IF($I53=5, 0,VLOOKUP(Myリゾート!$C53,OFFSET(高速化データ!$A$6,0,0,高速化データ!$A$1,106), 28+(($I53+1)*14), TRUE))</f>
        <v>0</v>
      </c>
      <c r="AX53" s="1070">
        <f ca="1">IF($I53=5, 0,VLOOKUP(Myリゾート!$C53,OFFSET(高速化データ!$A$6,0,0,高速化データ!$A$1,106), 29+(($I53+1)*14), TRUE))</f>
        <v>0</v>
      </c>
      <c r="AY53" s="1066">
        <f ca="1">IF($I53=5, 0, VLOOKUP(Myリゾート!$C53,OFFSET(高速化データ!$A$6,0,0,高速化データ!$A$1,106), 19+(($I53+1)*14), TRUE)-AJ53)</f>
        <v>2080</v>
      </c>
      <c r="AZ53" s="1058">
        <f ca="1">IF($I53=5, 0, VLOOKUP(Myリゾート!$C53,OFFSET(高速化データ!$A$6,0,0,高速化データ!$A$1,106), 20+(($I53+1)*14), TRUE)-AK53)</f>
        <v>10400</v>
      </c>
      <c r="BA53" s="1076">
        <f ca="1">IF($I53=5, 0, VLOOKUP(Myリゾート!$C53,OFFSET(高速化データ!$A$6,0,0,高速化データ!$A$1,106), 17+(($I53+1)*14), TRUE)*$B$1/100-VLOOKUP(Myリゾート!$C53,OFFSET(高速化データ!$A$6,0,0,高速化データ!$A$1,106), 16+(($I53+1)*14),TRUE)-AH53)</f>
        <v>-154.55000000000007</v>
      </c>
      <c r="BB53" s="1056">
        <f t="shared" ca="1" si="6"/>
        <v>6240</v>
      </c>
      <c r="BC53" s="1057">
        <f t="shared" ca="1" si="6"/>
        <v>31200</v>
      </c>
      <c r="BD53" s="1068">
        <f t="shared" ca="1" si="7"/>
        <v>-463.65</v>
      </c>
      <c r="BE53" s="9">
        <f t="shared" ca="1" si="8"/>
        <v>780</v>
      </c>
      <c r="BF53" s="7">
        <f t="shared" ca="1" si="8"/>
        <v>180</v>
      </c>
      <c r="BG53" s="7">
        <f t="shared" ca="1" si="9"/>
        <v>6240</v>
      </c>
      <c r="BH53" s="7">
        <f t="shared" ca="1" si="9"/>
        <v>31200</v>
      </c>
      <c r="BI53" s="7">
        <f t="shared" ca="1" si="9"/>
        <v>468</v>
      </c>
      <c r="BJ53" s="7">
        <f t="shared" ca="1" si="9"/>
        <v>2340</v>
      </c>
      <c r="BK53" s="8">
        <f t="shared" ca="1" si="10"/>
        <v>780</v>
      </c>
    </row>
    <row r="54" spans="2:63">
      <c r="B54" s="203" t="s">
        <v>263</v>
      </c>
      <c r="C54" s="1055">
        <f ca="1">VLOOKUP(Myリゾート!$B54,OFFSET(高速化データ!$DD$6,0,0,高速化データ!$A$1,2), 2, FALSE)</f>
        <v>7019</v>
      </c>
      <c r="D54" s="59" t="str">
        <f ca="1">LEFT(VLOOKUP(Myリゾート!$C54,OFFSET(高速化データ!$A$6,0,0,高速化データ!$A$1,106), 3, TRUE),2)</f>
        <v>カジ</v>
      </c>
      <c r="E54" s="1063" t="str">
        <f ca="1">VLOOKUP(Myリゾート!$C54,OFFSET(高速化データ!$A$6,0,0,高速化データ!$A$1,106), 4, TRUE)&amp;""</f>
        <v/>
      </c>
      <c r="F54" s="1064" t="str">
        <f ca="1">VLOOKUP(Myリゾート!$C54,OFFSET(高速化データ!$A$6,0,0,高速化データ!$A$1,106), 5, TRUE)&amp;""</f>
        <v>○</v>
      </c>
      <c r="G54" s="1064" t="str">
        <f ca="1">VLOOKUP(Myリゾート!$C54,OFFSET(高速化データ!$A$6,0,0,高速化データ!$A$1,106), 6, TRUE)&amp;""</f>
        <v>○</v>
      </c>
      <c r="H54" s="1065" t="str">
        <f ca="1">VLOOKUP(Myリゾート!$C54,OFFSET(高速化データ!$A$6,0,0,高速化データ!$A$1,106), 7, TRUE)&amp;""</f>
        <v/>
      </c>
      <c r="I54" s="1131">
        <v>4</v>
      </c>
      <c r="J54" s="1134" t="s">
        <v>945</v>
      </c>
      <c r="K54" s="1061">
        <f ca="1">VLOOKUP(Myリゾート!$C54,OFFSET(高速化データ!$A$6,0,0,高速化データ!$A$1,106), 10, TRUE)</f>
        <v>5</v>
      </c>
      <c r="L54" s="1062">
        <f ca="1">VLOOKUP(Myリゾート!$C54,OFFSET(高速化データ!$A$6,0,0,高速化データ!$A$1,106), 12, TRUE)</f>
        <v>4.333333333333333</v>
      </c>
      <c r="M54" s="1066">
        <f ca="1">VLOOKUP(Myリゾート!$C54,OFFSET(高速化データ!$A$6,0,0,高速化データ!$A$1,106), 86, TRUE)</f>
        <v>1560</v>
      </c>
      <c r="N54" s="1058">
        <f ca="1">VLOOKUP(Myリゾート!$C54,OFFSET(高速化データ!$A$6,0,0,高速化データ!$A$1,106), 87, TRUE)</f>
        <v>360</v>
      </c>
      <c r="O54" s="1058">
        <f t="shared" ca="1" si="0"/>
        <v>632.70000000000005</v>
      </c>
      <c r="P54" s="1059">
        <f t="shared" ca="1" si="3"/>
        <v>-927.3</v>
      </c>
      <c r="Q54" s="1061">
        <f ca="1">VLOOKUP(Myリゾート!$C54,OFFSET(高速化データ!$A$6,0,0,高速化データ!$A$1,106), 88, TRUE)</f>
        <v>8</v>
      </c>
      <c r="R54" s="1060">
        <f ca="1">VLOOKUP(Myリゾート!$C54,OFFSET(高速化データ!$A$6,0,0,高速化データ!$A$1,106), 89, TRUE)</f>
        <v>12480</v>
      </c>
      <c r="S54" s="1060">
        <f ca="1">VLOOKUP(Myリゾート!$C54,OFFSET(高速化データ!$A$6,0,0,高速化データ!$A$1,106), 90, TRUE)</f>
        <v>62400</v>
      </c>
      <c r="T54" s="1060">
        <f ca="1">VLOOKUP(Myリゾート!$C54,OFFSET(高速化データ!$A$6,0,0,高速化データ!$A$1,106), 91, TRUE)</f>
        <v>936</v>
      </c>
      <c r="U54" s="1067">
        <f ca="1">VLOOKUP(Myリゾート!$C54,OFFSET(高速化データ!$A$6,0,0,高速化データ!$A$1,106), 92, TRUE)</f>
        <v>4680</v>
      </c>
      <c r="V54" s="1066">
        <f ca="1">VLOOKUP(Myリゾート!$C54,OFFSET(高速化データ!$A$6,0,0,高速化データ!$A$1,106), 30, TRUE)</f>
        <v>520</v>
      </c>
      <c r="W54" s="1058">
        <f ca="1">VLOOKUP(Myリゾート!$C54,OFFSET(高速化データ!$A$6,0,0,高速化データ!$A$1,106), 31, TRUE)</f>
        <v>120</v>
      </c>
      <c r="X54" s="1058">
        <f t="shared" ca="1" si="1"/>
        <v>210.9</v>
      </c>
      <c r="Y54" s="1068">
        <f t="shared" ca="1" si="4"/>
        <v>-309.10000000000002</v>
      </c>
      <c r="Z54" s="1061">
        <f ca="1">VLOOKUP(Myリゾート!$C54,OFFSET(高速化データ!$A$6,0,0,高速化データ!$A$1,106), 32, TRUE)</f>
        <v>8</v>
      </c>
      <c r="AA54" s="1060">
        <f ca="1">VLOOKUP(Myリゾート!$C54,OFFSET(高速化データ!$A$6,0,0,高速化データ!$A$1,106), 33, TRUE)</f>
        <v>4160</v>
      </c>
      <c r="AB54" s="1060">
        <f ca="1">VLOOKUP(Myリゾート!$C54,OFFSET(高速化データ!$A$6,0,0,高速化データ!$A$1,106), 34, TRUE)</f>
        <v>20800</v>
      </c>
      <c r="AC54" s="1060">
        <f ca="1">VLOOKUP(Myリゾート!$C54,OFFSET(高速化データ!$A$6,0,0,高速化データ!$A$1,106), 35, TRUE)</f>
        <v>312</v>
      </c>
      <c r="AD54" s="1069">
        <f ca="1">VLOOKUP(Myリゾート!$C54,OFFSET(高速化データ!$A$6,0,0,高速化データ!$A$1,106), 36, TRUE)</f>
        <v>1560</v>
      </c>
      <c r="AE54" s="1066">
        <f ca="1">VLOOKUP(Myリゾート!$C54,OFFSET(高速化データ!$A$6,0,0,高速化データ!$A$1,106), 16+($I54*14), TRUE)</f>
        <v>1040</v>
      </c>
      <c r="AF54" s="1058">
        <f ca="1">VLOOKUP(Myリゾート!$C54,OFFSET(高速化データ!$A$6,0,0,高速化データ!$A$1,106), 17+($I54*14), TRUE)</f>
        <v>240</v>
      </c>
      <c r="AG54" s="1058">
        <f t="shared" ca="1" si="2"/>
        <v>421.8</v>
      </c>
      <c r="AH54" s="1068">
        <f t="shared" ca="1" si="5"/>
        <v>-618.20000000000005</v>
      </c>
      <c r="AI54" s="1061">
        <f ca="1">VLOOKUP(Myリゾート!$C54,OFFSET(高速化データ!$A$6,0,0,高速化データ!$A$1,106), 18+($I54*14), TRUE)</f>
        <v>8</v>
      </c>
      <c r="AJ54" s="1058">
        <f ca="1">VLOOKUP(Myリゾート!$C54,OFFSET(高速化データ!$A$6,0,0,高速化データ!$A$1,106), 19+($I54*14), TRUE)</f>
        <v>8320</v>
      </c>
      <c r="AK54" s="1058">
        <f ca="1">VLOOKUP(Myリゾート!$C54,OFFSET(高速化データ!$A$6,0,0,高速化データ!$A$1,106), 20+($I54*14), TRUE)</f>
        <v>41600</v>
      </c>
      <c r="AL54" s="1058">
        <f ca="1">VLOOKUP(Myリゾート!$C54,OFFSET(高速化データ!$A$6,0,0,高速化データ!$A$1,106), 21+($I54*14), TRUE)</f>
        <v>624</v>
      </c>
      <c r="AM54" s="1070">
        <f ca="1">VLOOKUP(Myリゾート!$C54,OFFSET(高速化データ!$A$6,0,0,高速化データ!$A$1,106), 22+($I54*14), TRUE)</f>
        <v>3120</v>
      </c>
      <c r="AN54" s="1072">
        <f ca="1">VLOOKUP(Myリゾート!$C54,OFFSET(高速化データ!$A$6,0,0,高速化データ!$A$1,106), 11, TRUE)</f>
        <v>7.4999999999999997E-2</v>
      </c>
      <c r="AO54" s="1110">
        <f ca="1">VLOOKUP(Myリゾート!$C54,OFFSET(高速化データ!$A$6,0,0,高速化データ!$A$1,106), 13, TRUE)</f>
        <v>30</v>
      </c>
      <c r="AP54" s="1073" t="str">
        <f ca="1">VLOOKUP(Myリゾート!$C54,OFFSET(高速化データ!$A$6,0,0,高速化データ!$A$1,106), 15, TRUE)</f>
        <v>B</v>
      </c>
      <c r="AQ54" s="1071" t="str">
        <f ca="1">VLOOKUP(Myリゾート!$C54,OFFSET(高速化データ!$A$6,0,0,高速化データ!$A$1,106), 9, TRUE)</f>
        <v>VIP</v>
      </c>
      <c r="AR54" s="1112">
        <f ca="1">IF($I54=5, 0,VLOOKUP(Myリゾート!$C54,OFFSET(高速化データ!$A$6,0,0,高速化データ!$A$1,106), 23+(($I54+1)*14), TRUE))</f>
        <v>0</v>
      </c>
      <c r="AS54" s="1058">
        <f ca="1">IF($I54=5, 0,VLOOKUP(Myリゾート!$C54,OFFSET(高速化データ!$A$6,0,0,高速化データ!$A$1,106), 24+(($I54+1)*14), TRUE))</f>
        <v>0</v>
      </c>
      <c r="AT54" s="1074">
        <f ca="1">IF($I54=5, 0,VLOOKUP(Myリゾート!$C54,OFFSET(高速化データ!$A$6,0,0,高速化データ!$A$1,106), 25+(($I54+1)*14), TRUE))</f>
        <v>0</v>
      </c>
      <c r="AU54" s="1074">
        <f ca="1">IF($I54=5, 0,VLOOKUP(Myリゾート!$C54,OFFSET(高速化データ!$A$6,0,0,高速化データ!$A$1,106), 26+(($I54+1)*14), TRUE))</f>
        <v>0</v>
      </c>
      <c r="AV54" s="1074">
        <f ca="1">IF($I54=5, 0,VLOOKUP(Myリゾート!$C54,OFFSET(高速化データ!$A$6,0,0,高速化データ!$A$1,106), 27+(($I54+1)*14), TRUE))</f>
        <v>0</v>
      </c>
      <c r="AW54" s="1075">
        <f ca="1">IF($I54=5, 0,VLOOKUP(Myリゾート!$C54,OFFSET(高速化データ!$A$6,0,0,高速化データ!$A$1,106), 28+(($I54+1)*14), TRUE))</f>
        <v>0</v>
      </c>
      <c r="AX54" s="1070">
        <f ca="1">IF($I54=5, 0,VLOOKUP(Myリゾート!$C54,OFFSET(高速化データ!$A$6,0,0,高速化データ!$A$1,106), 29+(($I54+1)*14), TRUE))</f>
        <v>0</v>
      </c>
      <c r="AY54" s="1066">
        <f ca="1">IF($I54=5, 0, VLOOKUP(Myリゾート!$C54,OFFSET(高速化データ!$A$6,0,0,高速化データ!$A$1,106), 19+(($I54+1)*14), TRUE)-AJ54)</f>
        <v>4160</v>
      </c>
      <c r="AZ54" s="1058">
        <f ca="1">IF($I54=5, 0, VLOOKUP(Myリゾート!$C54,OFFSET(高速化データ!$A$6,0,0,高速化データ!$A$1,106), 20+(($I54+1)*14), TRUE)-AK54)</f>
        <v>20800</v>
      </c>
      <c r="BA54" s="1076">
        <f ca="1">IF($I54=5, 0, VLOOKUP(Myリゾート!$C54,OFFSET(高速化データ!$A$6,0,0,高速化データ!$A$1,106), 17+(($I54+1)*14), TRUE)*$B$1/100-VLOOKUP(Myリゾート!$C54,OFFSET(高速化データ!$A$6,0,0,高速化データ!$A$1,106), 16+(($I54+1)*14),TRUE)-AH54)</f>
        <v>-309.09999999999991</v>
      </c>
      <c r="BB54" s="1056">
        <f t="shared" ca="1" si="6"/>
        <v>4160</v>
      </c>
      <c r="BC54" s="1057">
        <f t="shared" ca="1" si="6"/>
        <v>20800</v>
      </c>
      <c r="BD54" s="1068">
        <f t="shared" ca="1" si="7"/>
        <v>-309.09999999999991</v>
      </c>
      <c r="BE54" s="9">
        <f t="shared" si="8"/>
        <v>0</v>
      </c>
      <c r="BF54" s="7">
        <f t="shared" si="8"/>
        <v>0</v>
      </c>
      <c r="BG54" s="7">
        <f t="shared" si="9"/>
        <v>0</v>
      </c>
      <c r="BH54" s="7">
        <f t="shared" si="9"/>
        <v>0</v>
      </c>
      <c r="BI54" s="7">
        <f t="shared" si="9"/>
        <v>0</v>
      </c>
      <c r="BJ54" s="7">
        <f t="shared" si="9"/>
        <v>0</v>
      </c>
      <c r="BK54" s="8">
        <f t="shared" ca="1" si="10"/>
        <v>1040</v>
      </c>
    </row>
    <row r="55" spans="2:63">
      <c r="B55" s="203" t="s">
        <v>296</v>
      </c>
      <c r="C55" s="1055">
        <f ca="1">VLOOKUP(Myリゾート!$B55,OFFSET(高速化データ!$DD$6,0,0,高速化データ!$A$1,2), 2, FALSE)</f>
        <v>101</v>
      </c>
      <c r="D55" s="59" t="str">
        <f ca="1">LEFT(VLOOKUP(Myリゾート!$C55,OFFSET(高速化データ!$A$6,0,0,高速化データ!$A$1,106), 3, TRUE),2)</f>
        <v>カジ</v>
      </c>
      <c r="E55" s="1063" t="str">
        <f ca="1">VLOOKUP(Myリゾート!$C55,OFFSET(高速化データ!$A$6,0,0,高速化データ!$A$1,106), 4, TRUE)&amp;""</f>
        <v/>
      </c>
      <c r="F55" s="1064" t="str">
        <f ca="1">VLOOKUP(Myリゾート!$C55,OFFSET(高速化データ!$A$6,0,0,高速化データ!$A$1,106), 5, TRUE)&amp;""</f>
        <v>○</v>
      </c>
      <c r="G55" s="1064" t="str">
        <f ca="1">VLOOKUP(Myリゾート!$C55,OFFSET(高速化データ!$A$6,0,0,高速化データ!$A$1,106), 6, TRUE)&amp;""</f>
        <v/>
      </c>
      <c r="H55" s="1065" t="str">
        <f ca="1">VLOOKUP(Myリゾート!$C55,OFFSET(高速化データ!$A$6,0,0,高速化データ!$A$1,106), 7, TRUE)&amp;""</f>
        <v/>
      </c>
      <c r="I55" s="1131">
        <v>5</v>
      </c>
      <c r="J55" s="1134"/>
      <c r="K55" s="1061">
        <f ca="1">VLOOKUP(Myリゾート!$C55,OFFSET(高速化データ!$A$6,0,0,高速化データ!$A$1,106), 10, TRUE)</f>
        <v>6</v>
      </c>
      <c r="L55" s="1062">
        <f ca="1">VLOOKUP(Myリゾート!$C55,OFFSET(高速化データ!$A$6,0,0,高速化データ!$A$1,106), 12, TRUE)</f>
        <v>4.2857142857142856</v>
      </c>
      <c r="M55" s="1066">
        <f ca="1">VLOOKUP(Myリゾート!$C55,OFFSET(高速化データ!$A$6,0,0,高速化データ!$A$1,106), 86, TRUE)</f>
        <v>1200</v>
      </c>
      <c r="N55" s="1058">
        <f ca="1">VLOOKUP(Myリゾート!$C55,OFFSET(高速化データ!$A$6,0,0,高速化データ!$A$1,106), 87, TRUE)</f>
        <v>280</v>
      </c>
      <c r="O55" s="1058">
        <f t="shared" ca="1" si="0"/>
        <v>492.1</v>
      </c>
      <c r="P55" s="1059">
        <f t="shared" ca="1" si="3"/>
        <v>-707.9</v>
      </c>
      <c r="Q55" s="1061">
        <f ca="1">VLOOKUP(Myリゾート!$C55,OFFSET(高速化データ!$A$6,0,0,高速化データ!$A$1,106), 88, TRUE)</f>
        <v>6</v>
      </c>
      <c r="R55" s="1060">
        <f ca="1">VLOOKUP(Myリゾート!$C55,OFFSET(高速化データ!$A$6,0,0,高速化データ!$A$1,106), 89, TRUE)</f>
        <v>7200</v>
      </c>
      <c r="S55" s="1060">
        <f ca="1">VLOOKUP(Myリゾート!$C55,OFFSET(高速化データ!$A$6,0,0,高速化データ!$A$1,106), 90, TRUE)</f>
        <v>43200</v>
      </c>
      <c r="T55" s="1060">
        <f ca="1">VLOOKUP(Myリゾート!$C55,OFFSET(高速化データ!$A$6,0,0,高速化データ!$A$1,106), 91, TRUE)</f>
        <v>540</v>
      </c>
      <c r="U55" s="1067">
        <f ca="1">VLOOKUP(Myリゾート!$C55,OFFSET(高速化データ!$A$6,0,0,高速化データ!$A$1,106), 92, TRUE)</f>
        <v>3240</v>
      </c>
      <c r="V55" s="1066">
        <f ca="1">VLOOKUP(Myリゾート!$C55,OFFSET(高速化データ!$A$6,0,0,高速化データ!$A$1,106), 30, TRUE)</f>
        <v>400</v>
      </c>
      <c r="W55" s="1058">
        <f ca="1">VLOOKUP(Myリゾート!$C55,OFFSET(高速化データ!$A$6,0,0,高速化データ!$A$1,106), 31, TRUE)</f>
        <v>94</v>
      </c>
      <c r="X55" s="1058">
        <f t="shared" ca="1" si="1"/>
        <v>165.20500000000001</v>
      </c>
      <c r="Y55" s="1068">
        <f t="shared" ca="1" si="4"/>
        <v>-234.79499999999999</v>
      </c>
      <c r="Z55" s="1061">
        <f ca="1">VLOOKUP(Myリゾート!$C55,OFFSET(高速化データ!$A$6,0,0,高速化データ!$A$1,106), 32, TRUE)</f>
        <v>6</v>
      </c>
      <c r="AA55" s="1060">
        <f ca="1">VLOOKUP(Myリゾート!$C55,OFFSET(高速化データ!$A$6,0,0,高速化データ!$A$1,106), 33, TRUE)</f>
        <v>2400</v>
      </c>
      <c r="AB55" s="1060">
        <f ca="1">VLOOKUP(Myリゾート!$C55,OFFSET(高速化データ!$A$6,0,0,高速化データ!$A$1,106), 34, TRUE)</f>
        <v>14400</v>
      </c>
      <c r="AC55" s="1060">
        <f ca="1">VLOOKUP(Myリゾート!$C55,OFFSET(高速化データ!$A$6,0,0,高速化データ!$A$1,106), 35, TRUE)</f>
        <v>180</v>
      </c>
      <c r="AD55" s="1069">
        <f ca="1">VLOOKUP(Myリゾート!$C55,OFFSET(高速化データ!$A$6,0,0,高速化データ!$A$1,106), 36, TRUE)</f>
        <v>1080</v>
      </c>
      <c r="AE55" s="1066">
        <f ca="1">VLOOKUP(Myリゾート!$C55,OFFSET(高速化データ!$A$6,0,0,高速化データ!$A$1,106), 16+($I55*14), TRUE)</f>
        <v>1200</v>
      </c>
      <c r="AF55" s="1058">
        <f ca="1">VLOOKUP(Myリゾート!$C55,OFFSET(高速化データ!$A$6,0,0,高速化データ!$A$1,106), 17+($I55*14), TRUE)</f>
        <v>280</v>
      </c>
      <c r="AG55" s="1058">
        <f t="shared" ca="1" si="2"/>
        <v>492.1</v>
      </c>
      <c r="AH55" s="1068">
        <f t="shared" ca="1" si="5"/>
        <v>-707.9</v>
      </c>
      <c r="AI55" s="1061">
        <f ca="1">VLOOKUP(Myリゾート!$C55,OFFSET(高速化データ!$A$6,0,0,高速化データ!$A$1,106), 18+($I55*14), TRUE)</f>
        <v>6</v>
      </c>
      <c r="AJ55" s="1058">
        <f ca="1">VLOOKUP(Myリゾート!$C55,OFFSET(高速化データ!$A$6,0,0,高速化データ!$A$1,106), 19+($I55*14), TRUE)</f>
        <v>7200</v>
      </c>
      <c r="AK55" s="1058">
        <f ca="1">VLOOKUP(Myリゾート!$C55,OFFSET(高速化データ!$A$6,0,0,高速化データ!$A$1,106), 20+($I55*14), TRUE)</f>
        <v>43200</v>
      </c>
      <c r="AL55" s="1058">
        <f ca="1">VLOOKUP(Myリゾート!$C55,OFFSET(高速化データ!$A$6,0,0,高速化データ!$A$1,106), 21+($I55*14), TRUE)</f>
        <v>540</v>
      </c>
      <c r="AM55" s="1070">
        <f ca="1">VLOOKUP(Myリゾート!$C55,OFFSET(高速化データ!$A$6,0,0,高速化データ!$A$1,106), 22+($I55*14), TRUE)</f>
        <v>3240</v>
      </c>
      <c r="AN55" s="1072">
        <f ca="1">VLOOKUP(Myリゾート!$C55,OFFSET(高速化データ!$A$6,0,0,高速化データ!$A$1,106), 11, TRUE)</f>
        <v>7.4999999999999997E-2</v>
      </c>
      <c r="AO55" s="1110">
        <f ca="1">VLOOKUP(Myリゾート!$C55,OFFSET(高速化データ!$A$6,0,0,高速化データ!$A$1,106), 13, TRUE)</f>
        <v>100</v>
      </c>
      <c r="AP55" s="1073" t="str">
        <f ca="1">VLOOKUP(Myリゾート!$C55,OFFSET(高速化データ!$A$6,0,0,高速化データ!$A$1,106), 15, TRUE)</f>
        <v>B</v>
      </c>
      <c r="AQ55" s="1071" t="str">
        <f ca="1">VLOOKUP(Myリゾート!$C55,OFFSET(高速化データ!$A$6,0,0,高速化データ!$A$1,106), 9, TRUE)</f>
        <v>限定</v>
      </c>
      <c r="AR55" s="1112">
        <f ca="1">IF($I55=5, 0,VLOOKUP(Myリゾート!$C55,OFFSET(高速化データ!$A$6,0,0,高速化データ!$A$1,106), 23+(($I55+1)*14), TRUE))</f>
        <v>0</v>
      </c>
      <c r="AS55" s="1058">
        <f ca="1">IF($I55=5, 0,VLOOKUP(Myリゾート!$C55,OFFSET(高速化データ!$A$6,0,0,高速化データ!$A$1,106), 24+(($I55+1)*14), TRUE))</f>
        <v>0</v>
      </c>
      <c r="AT55" s="1074">
        <f ca="1">IF($I55=5, 0,VLOOKUP(Myリゾート!$C55,OFFSET(高速化データ!$A$6,0,0,高速化データ!$A$1,106), 25+(($I55+1)*14), TRUE))</f>
        <v>0</v>
      </c>
      <c r="AU55" s="1074">
        <f ca="1">IF($I55=5, 0,VLOOKUP(Myリゾート!$C55,OFFSET(高速化データ!$A$6,0,0,高速化データ!$A$1,106), 26+(($I55+1)*14), TRUE))</f>
        <v>0</v>
      </c>
      <c r="AV55" s="1074">
        <f ca="1">IF($I55=5, 0,VLOOKUP(Myリゾート!$C55,OFFSET(高速化データ!$A$6,0,0,高速化データ!$A$1,106), 27+(($I55+1)*14), TRUE))</f>
        <v>0</v>
      </c>
      <c r="AW55" s="1075">
        <f ca="1">IF($I55=5, 0,VLOOKUP(Myリゾート!$C55,OFFSET(高速化データ!$A$6,0,0,高速化データ!$A$1,106), 28+(($I55+1)*14), TRUE))</f>
        <v>0</v>
      </c>
      <c r="AX55" s="1070">
        <f ca="1">IF($I55=5, 0,VLOOKUP(Myリゾート!$C55,OFFSET(高速化データ!$A$6,0,0,高速化データ!$A$1,106), 29+(($I55+1)*14), TRUE))</f>
        <v>0</v>
      </c>
      <c r="AY55" s="1066">
        <f ca="1">IF($I55=5, 0, VLOOKUP(Myリゾート!$C55,OFFSET(高速化データ!$A$6,0,0,高速化データ!$A$1,106), 19+(($I55+1)*14), TRUE)-AJ55)</f>
        <v>0</v>
      </c>
      <c r="AZ55" s="1058">
        <f ca="1">IF($I55=5, 0, VLOOKUP(Myリゾート!$C55,OFFSET(高速化データ!$A$6,0,0,高速化データ!$A$1,106), 20+(($I55+1)*14), TRUE)-AK55)</f>
        <v>0</v>
      </c>
      <c r="BA55" s="1076">
        <f ca="1">IF($I55=5, 0, VLOOKUP(Myリゾート!$C55,OFFSET(高速化データ!$A$6,0,0,高速化データ!$A$1,106), 17+(($I55+1)*14), TRUE)*$B$1/100-VLOOKUP(Myリゾート!$C55,OFFSET(高速化データ!$A$6,0,0,高速化データ!$A$1,106), 16+(($I55+1)*14),TRUE)-AH55)</f>
        <v>0</v>
      </c>
      <c r="BB55" s="1056">
        <f t="shared" ca="1" si="6"/>
        <v>0</v>
      </c>
      <c r="BC55" s="1057">
        <f t="shared" ca="1" si="6"/>
        <v>0</v>
      </c>
      <c r="BD55" s="1068">
        <f t="shared" ca="1" si="7"/>
        <v>0</v>
      </c>
      <c r="BE55" s="9">
        <f t="shared" ca="1" si="8"/>
        <v>1200</v>
      </c>
      <c r="BF55" s="7">
        <f t="shared" ca="1" si="8"/>
        <v>280</v>
      </c>
      <c r="BG55" s="7">
        <f t="shared" ca="1" si="9"/>
        <v>7200</v>
      </c>
      <c r="BH55" s="7">
        <f t="shared" ca="1" si="9"/>
        <v>43200</v>
      </c>
      <c r="BI55" s="7">
        <f t="shared" ca="1" si="9"/>
        <v>540</v>
      </c>
      <c r="BJ55" s="7">
        <f t="shared" ca="1" si="9"/>
        <v>3240</v>
      </c>
      <c r="BK55" s="8">
        <f t="shared" ca="1" si="10"/>
        <v>1200</v>
      </c>
    </row>
    <row r="56" spans="2:63">
      <c r="B56" s="203" t="s">
        <v>296</v>
      </c>
      <c r="C56" s="1055">
        <f ca="1">VLOOKUP(Myリゾート!$B56,OFFSET(高速化データ!$DD$6,0,0,高速化データ!$A$1,2), 2, FALSE)</f>
        <v>101</v>
      </c>
      <c r="D56" s="59" t="str">
        <f ca="1">LEFT(VLOOKUP(Myリゾート!$C56,OFFSET(高速化データ!$A$6,0,0,高速化データ!$A$1,106), 3, TRUE),2)</f>
        <v>カジ</v>
      </c>
      <c r="E56" s="1063" t="str">
        <f ca="1">VLOOKUP(Myリゾート!$C56,OFFSET(高速化データ!$A$6,0,0,高速化データ!$A$1,106), 4, TRUE)&amp;""</f>
        <v/>
      </c>
      <c r="F56" s="1064" t="str">
        <f ca="1">VLOOKUP(Myリゾート!$C56,OFFSET(高速化データ!$A$6,0,0,高速化データ!$A$1,106), 5, TRUE)&amp;""</f>
        <v>○</v>
      </c>
      <c r="G56" s="1064" t="str">
        <f ca="1">VLOOKUP(Myリゾート!$C56,OFFSET(高速化データ!$A$6,0,0,高速化データ!$A$1,106), 6, TRUE)&amp;""</f>
        <v/>
      </c>
      <c r="H56" s="1065" t="str">
        <f ca="1">VLOOKUP(Myリゾート!$C56,OFFSET(高速化データ!$A$6,0,0,高速化データ!$A$1,106), 7, TRUE)&amp;""</f>
        <v/>
      </c>
      <c r="I56" s="1131">
        <v>5</v>
      </c>
      <c r="J56" s="1134"/>
      <c r="K56" s="1061">
        <f ca="1">VLOOKUP(Myリゾート!$C56,OFFSET(高速化データ!$A$6,0,0,高速化データ!$A$1,106), 10, TRUE)</f>
        <v>6</v>
      </c>
      <c r="L56" s="1062">
        <f ca="1">VLOOKUP(Myリゾート!$C56,OFFSET(高速化データ!$A$6,0,0,高速化データ!$A$1,106), 12, TRUE)</f>
        <v>4.2857142857142856</v>
      </c>
      <c r="M56" s="1066">
        <f ca="1">VLOOKUP(Myリゾート!$C56,OFFSET(高速化データ!$A$6,0,0,高速化データ!$A$1,106), 86, TRUE)</f>
        <v>1200</v>
      </c>
      <c r="N56" s="1058">
        <f ca="1">VLOOKUP(Myリゾート!$C56,OFFSET(高速化データ!$A$6,0,0,高速化データ!$A$1,106), 87, TRUE)</f>
        <v>280</v>
      </c>
      <c r="O56" s="1058">
        <f t="shared" ca="1" si="0"/>
        <v>492.1</v>
      </c>
      <c r="P56" s="1059">
        <f t="shared" ca="1" si="3"/>
        <v>-707.9</v>
      </c>
      <c r="Q56" s="1061">
        <f ca="1">VLOOKUP(Myリゾート!$C56,OFFSET(高速化データ!$A$6,0,0,高速化データ!$A$1,106), 88, TRUE)</f>
        <v>6</v>
      </c>
      <c r="R56" s="1060">
        <f ca="1">VLOOKUP(Myリゾート!$C56,OFFSET(高速化データ!$A$6,0,0,高速化データ!$A$1,106), 89, TRUE)</f>
        <v>7200</v>
      </c>
      <c r="S56" s="1060">
        <f ca="1">VLOOKUP(Myリゾート!$C56,OFFSET(高速化データ!$A$6,0,0,高速化データ!$A$1,106), 90, TRUE)</f>
        <v>43200</v>
      </c>
      <c r="T56" s="1060">
        <f ca="1">VLOOKUP(Myリゾート!$C56,OFFSET(高速化データ!$A$6,0,0,高速化データ!$A$1,106), 91, TRUE)</f>
        <v>540</v>
      </c>
      <c r="U56" s="1067">
        <f ca="1">VLOOKUP(Myリゾート!$C56,OFFSET(高速化データ!$A$6,0,0,高速化データ!$A$1,106), 92, TRUE)</f>
        <v>3240</v>
      </c>
      <c r="V56" s="1066">
        <f ca="1">VLOOKUP(Myリゾート!$C56,OFFSET(高速化データ!$A$6,0,0,高速化データ!$A$1,106), 30, TRUE)</f>
        <v>400</v>
      </c>
      <c r="W56" s="1058">
        <f ca="1">VLOOKUP(Myリゾート!$C56,OFFSET(高速化データ!$A$6,0,0,高速化データ!$A$1,106), 31, TRUE)</f>
        <v>94</v>
      </c>
      <c r="X56" s="1058">
        <f t="shared" ca="1" si="1"/>
        <v>165.20500000000001</v>
      </c>
      <c r="Y56" s="1068">
        <f t="shared" ca="1" si="4"/>
        <v>-234.79499999999999</v>
      </c>
      <c r="Z56" s="1061">
        <f ca="1">VLOOKUP(Myリゾート!$C56,OFFSET(高速化データ!$A$6,0,0,高速化データ!$A$1,106), 32, TRUE)</f>
        <v>6</v>
      </c>
      <c r="AA56" s="1060">
        <f ca="1">VLOOKUP(Myリゾート!$C56,OFFSET(高速化データ!$A$6,0,0,高速化データ!$A$1,106), 33, TRUE)</f>
        <v>2400</v>
      </c>
      <c r="AB56" s="1060">
        <f ca="1">VLOOKUP(Myリゾート!$C56,OFFSET(高速化データ!$A$6,0,0,高速化データ!$A$1,106), 34, TRUE)</f>
        <v>14400</v>
      </c>
      <c r="AC56" s="1060">
        <f ca="1">VLOOKUP(Myリゾート!$C56,OFFSET(高速化データ!$A$6,0,0,高速化データ!$A$1,106), 35, TRUE)</f>
        <v>180</v>
      </c>
      <c r="AD56" s="1069">
        <f ca="1">VLOOKUP(Myリゾート!$C56,OFFSET(高速化データ!$A$6,0,0,高速化データ!$A$1,106), 36, TRUE)</f>
        <v>1080</v>
      </c>
      <c r="AE56" s="1066">
        <f ca="1">VLOOKUP(Myリゾート!$C56,OFFSET(高速化データ!$A$6,0,0,高速化データ!$A$1,106), 16+($I56*14), TRUE)</f>
        <v>1200</v>
      </c>
      <c r="AF56" s="1058">
        <f ca="1">VLOOKUP(Myリゾート!$C56,OFFSET(高速化データ!$A$6,0,0,高速化データ!$A$1,106), 17+($I56*14), TRUE)</f>
        <v>280</v>
      </c>
      <c r="AG56" s="1058">
        <f t="shared" ca="1" si="2"/>
        <v>492.1</v>
      </c>
      <c r="AH56" s="1068">
        <f t="shared" ca="1" si="5"/>
        <v>-707.9</v>
      </c>
      <c r="AI56" s="1061">
        <f ca="1">VLOOKUP(Myリゾート!$C56,OFFSET(高速化データ!$A$6,0,0,高速化データ!$A$1,106), 18+($I56*14), TRUE)</f>
        <v>6</v>
      </c>
      <c r="AJ56" s="1058">
        <f ca="1">VLOOKUP(Myリゾート!$C56,OFFSET(高速化データ!$A$6,0,0,高速化データ!$A$1,106), 19+($I56*14), TRUE)</f>
        <v>7200</v>
      </c>
      <c r="AK56" s="1058">
        <f ca="1">VLOOKUP(Myリゾート!$C56,OFFSET(高速化データ!$A$6,0,0,高速化データ!$A$1,106), 20+($I56*14), TRUE)</f>
        <v>43200</v>
      </c>
      <c r="AL56" s="1058">
        <f ca="1">VLOOKUP(Myリゾート!$C56,OFFSET(高速化データ!$A$6,0,0,高速化データ!$A$1,106), 21+($I56*14), TRUE)</f>
        <v>540</v>
      </c>
      <c r="AM56" s="1070">
        <f ca="1">VLOOKUP(Myリゾート!$C56,OFFSET(高速化データ!$A$6,0,0,高速化データ!$A$1,106), 22+($I56*14), TRUE)</f>
        <v>3240</v>
      </c>
      <c r="AN56" s="1072">
        <f ca="1">VLOOKUP(Myリゾート!$C56,OFFSET(高速化データ!$A$6,0,0,高速化データ!$A$1,106), 11, TRUE)</f>
        <v>7.4999999999999997E-2</v>
      </c>
      <c r="AO56" s="1110">
        <f ca="1">VLOOKUP(Myリゾート!$C56,OFFSET(高速化データ!$A$6,0,0,高速化データ!$A$1,106), 13, TRUE)</f>
        <v>100</v>
      </c>
      <c r="AP56" s="1073" t="str">
        <f ca="1">VLOOKUP(Myリゾート!$C56,OFFSET(高速化データ!$A$6,0,0,高速化データ!$A$1,106), 15, TRUE)</f>
        <v>B</v>
      </c>
      <c r="AQ56" s="1071" t="str">
        <f ca="1">VLOOKUP(Myリゾート!$C56,OFFSET(高速化データ!$A$6,0,0,高速化データ!$A$1,106), 9, TRUE)</f>
        <v>限定</v>
      </c>
      <c r="AR56" s="1112">
        <f ca="1">IF($I56=5, 0,VLOOKUP(Myリゾート!$C56,OFFSET(高速化データ!$A$6,0,0,高速化データ!$A$1,106), 23+(($I56+1)*14), TRUE))</f>
        <v>0</v>
      </c>
      <c r="AS56" s="1058">
        <f ca="1">IF($I56=5, 0,VLOOKUP(Myリゾート!$C56,OFFSET(高速化データ!$A$6,0,0,高速化データ!$A$1,106), 24+(($I56+1)*14), TRUE))</f>
        <v>0</v>
      </c>
      <c r="AT56" s="1074">
        <f ca="1">IF($I56=5, 0,VLOOKUP(Myリゾート!$C56,OFFSET(高速化データ!$A$6,0,0,高速化データ!$A$1,106), 25+(($I56+1)*14), TRUE))</f>
        <v>0</v>
      </c>
      <c r="AU56" s="1074">
        <f ca="1">IF($I56=5, 0,VLOOKUP(Myリゾート!$C56,OFFSET(高速化データ!$A$6,0,0,高速化データ!$A$1,106), 26+(($I56+1)*14), TRUE))</f>
        <v>0</v>
      </c>
      <c r="AV56" s="1074">
        <f ca="1">IF($I56=5, 0,VLOOKUP(Myリゾート!$C56,OFFSET(高速化データ!$A$6,0,0,高速化データ!$A$1,106), 27+(($I56+1)*14), TRUE))</f>
        <v>0</v>
      </c>
      <c r="AW56" s="1075">
        <f ca="1">IF($I56=5, 0,VLOOKUP(Myリゾート!$C56,OFFSET(高速化データ!$A$6,0,0,高速化データ!$A$1,106), 28+(($I56+1)*14), TRUE))</f>
        <v>0</v>
      </c>
      <c r="AX56" s="1070">
        <f ca="1">IF($I56=5, 0,VLOOKUP(Myリゾート!$C56,OFFSET(高速化データ!$A$6,0,0,高速化データ!$A$1,106), 29+(($I56+1)*14), TRUE))</f>
        <v>0</v>
      </c>
      <c r="AY56" s="1066">
        <f ca="1">IF($I56=5, 0, VLOOKUP(Myリゾート!$C56,OFFSET(高速化データ!$A$6,0,0,高速化データ!$A$1,106), 19+(($I56+1)*14), TRUE)-AJ56)</f>
        <v>0</v>
      </c>
      <c r="AZ56" s="1058">
        <f ca="1">IF($I56=5, 0, VLOOKUP(Myリゾート!$C56,OFFSET(高速化データ!$A$6,0,0,高速化データ!$A$1,106), 20+(($I56+1)*14), TRUE)-AK56)</f>
        <v>0</v>
      </c>
      <c r="BA56" s="1076">
        <f ca="1">IF($I56=5, 0, VLOOKUP(Myリゾート!$C56,OFFSET(高速化データ!$A$6,0,0,高速化データ!$A$1,106), 17+(($I56+1)*14), TRUE)*$B$1/100-VLOOKUP(Myリゾート!$C56,OFFSET(高速化データ!$A$6,0,0,高速化データ!$A$1,106), 16+(($I56+1)*14),TRUE)-AH56)</f>
        <v>0</v>
      </c>
      <c r="BB56" s="1056">
        <f t="shared" ca="1" si="6"/>
        <v>0</v>
      </c>
      <c r="BC56" s="1057">
        <f t="shared" ca="1" si="6"/>
        <v>0</v>
      </c>
      <c r="BD56" s="1068">
        <f t="shared" ca="1" si="7"/>
        <v>0</v>
      </c>
      <c r="BE56" s="9">
        <f t="shared" ca="1" si="8"/>
        <v>1200</v>
      </c>
      <c r="BF56" s="7">
        <f t="shared" ca="1" si="8"/>
        <v>280</v>
      </c>
      <c r="BG56" s="7">
        <f t="shared" ca="1" si="9"/>
        <v>7200</v>
      </c>
      <c r="BH56" s="7">
        <f t="shared" ca="1" si="9"/>
        <v>43200</v>
      </c>
      <c r="BI56" s="7">
        <f t="shared" ca="1" si="9"/>
        <v>540</v>
      </c>
      <c r="BJ56" s="7">
        <f t="shared" ca="1" si="9"/>
        <v>3240</v>
      </c>
      <c r="BK56" s="8">
        <f t="shared" ca="1" si="10"/>
        <v>1200</v>
      </c>
    </row>
    <row r="57" spans="2:63">
      <c r="B57" s="203" t="s">
        <v>194</v>
      </c>
      <c r="C57" s="1055">
        <f ca="1">VLOOKUP(Myリゾート!$B57,OFFSET(高速化データ!$DD$6,0,0,高速化データ!$A$1,2), 2, FALSE)</f>
        <v>6017</v>
      </c>
      <c r="D57" s="59" t="str">
        <f ca="1">LEFT(VLOOKUP(Myリゾート!$C57,OFFSET(高速化データ!$A$6,0,0,高速化データ!$A$1,106), 3, TRUE),2)</f>
        <v>カジ</v>
      </c>
      <c r="E57" s="1063" t="str">
        <f ca="1">VLOOKUP(Myリゾート!$C57,OFFSET(高速化データ!$A$6,0,0,高速化データ!$A$1,106), 4, TRUE)&amp;""</f>
        <v/>
      </c>
      <c r="F57" s="1064" t="str">
        <f ca="1">VLOOKUP(Myリゾート!$C57,OFFSET(高速化データ!$A$6,0,0,高速化データ!$A$1,106), 5, TRUE)&amp;""</f>
        <v>○</v>
      </c>
      <c r="G57" s="1064" t="str">
        <f ca="1">VLOOKUP(Myリゾート!$C57,OFFSET(高速化データ!$A$6,0,0,高速化データ!$A$1,106), 6, TRUE)&amp;""</f>
        <v/>
      </c>
      <c r="H57" s="1065" t="str">
        <f ca="1">VLOOKUP(Myリゾート!$C57,OFFSET(高速化データ!$A$6,0,0,高速化データ!$A$1,106), 7, TRUE)&amp;""</f>
        <v/>
      </c>
      <c r="I57" s="1131">
        <v>4</v>
      </c>
      <c r="J57" s="1134"/>
      <c r="K57" s="1061">
        <f ca="1">VLOOKUP(Myリゾート!$C57,OFFSET(高速化データ!$A$6,0,0,高速化データ!$A$1,106), 10, TRUE)</f>
        <v>6</v>
      </c>
      <c r="L57" s="1062">
        <f ca="1">VLOOKUP(Myリゾート!$C57,OFFSET(高速化データ!$A$6,0,0,高速化データ!$A$1,106), 12, TRUE)</f>
        <v>3.657142857142857</v>
      </c>
      <c r="M57" s="1066">
        <f ca="1">VLOOKUP(Myリゾート!$C57,OFFSET(高速化データ!$A$6,0,0,高速化データ!$A$1,106), 86, TRUE)</f>
        <v>1280</v>
      </c>
      <c r="N57" s="1058">
        <f ca="1">VLOOKUP(Myリゾート!$C57,OFFSET(高速化データ!$A$6,0,0,高速化データ!$A$1,106), 87, TRUE)</f>
        <v>350</v>
      </c>
      <c r="O57" s="1058">
        <f t="shared" ca="1" si="0"/>
        <v>615.125</v>
      </c>
      <c r="P57" s="1059">
        <f t="shared" ca="1" si="3"/>
        <v>-664.875</v>
      </c>
      <c r="Q57" s="1061">
        <f ca="1">VLOOKUP(Myリゾート!$C57,OFFSET(高速化データ!$A$6,0,0,高速化データ!$A$1,106), 88, TRUE)</f>
        <v>8</v>
      </c>
      <c r="R57" s="1060">
        <f ca="1">VLOOKUP(Myリゾート!$C57,OFFSET(高速化データ!$A$6,0,0,高速化データ!$A$1,106), 89, TRUE)</f>
        <v>10240</v>
      </c>
      <c r="S57" s="1060">
        <f ca="1">VLOOKUP(Myリゾート!$C57,OFFSET(高速化データ!$A$6,0,0,高速化データ!$A$1,106), 90, TRUE)</f>
        <v>61440</v>
      </c>
      <c r="T57" s="1060">
        <f ca="1">VLOOKUP(Myリゾート!$C57,OFFSET(高速化データ!$A$6,0,0,高速化データ!$A$1,106), 91, TRUE)</f>
        <v>768</v>
      </c>
      <c r="U57" s="1067">
        <f ca="1">VLOOKUP(Myリゾート!$C57,OFFSET(高速化データ!$A$6,0,0,高速化データ!$A$1,106), 92, TRUE)</f>
        <v>4608</v>
      </c>
      <c r="V57" s="1066">
        <f ca="1">VLOOKUP(Myリゾート!$C57,OFFSET(高速化データ!$A$6,0,0,高速化データ!$A$1,106), 30, TRUE)</f>
        <v>427</v>
      </c>
      <c r="W57" s="1058">
        <f ca="1">VLOOKUP(Myリゾート!$C57,OFFSET(高速化データ!$A$6,0,0,高速化データ!$A$1,106), 31, TRUE)</f>
        <v>117</v>
      </c>
      <c r="X57" s="1058">
        <f t="shared" ca="1" si="1"/>
        <v>205.6275</v>
      </c>
      <c r="Y57" s="1068">
        <f t="shared" ca="1" si="4"/>
        <v>-221.3725</v>
      </c>
      <c r="Z57" s="1061">
        <f ca="1">VLOOKUP(Myリゾート!$C57,OFFSET(高速化データ!$A$6,0,0,高速化データ!$A$1,106), 32, TRUE)</f>
        <v>7</v>
      </c>
      <c r="AA57" s="1060">
        <f ca="1">VLOOKUP(Myリゾート!$C57,OFFSET(高速化データ!$A$6,0,0,高速化データ!$A$1,106), 33, TRUE)</f>
        <v>2989</v>
      </c>
      <c r="AB57" s="1060">
        <f ca="1">VLOOKUP(Myリゾート!$C57,OFFSET(高速化データ!$A$6,0,0,高速化データ!$A$1,106), 34, TRUE)</f>
        <v>17934</v>
      </c>
      <c r="AC57" s="1060">
        <f ca="1">VLOOKUP(Myリゾート!$C57,OFFSET(高速化データ!$A$6,0,0,高速化データ!$A$1,106), 35, TRUE)</f>
        <v>224</v>
      </c>
      <c r="AD57" s="1069">
        <f ca="1">VLOOKUP(Myリゾート!$C57,OFFSET(高速化データ!$A$6,0,0,高速化データ!$A$1,106), 36, TRUE)</f>
        <v>1345</v>
      </c>
      <c r="AE57" s="1066">
        <f ca="1">VLOOKUP(Myリゾート!$C57,OFFSET(高速化データ!$A$6,0,0,高速化データ!$A$1,106), 16+($I57*14), TRUE)</f>
        <v>854</v>
      </c>
      <c r="AF57" s="1058">
        <f ca="1">VLOOKUP(Myリゾート!$C57,OFFSET(高速化データ!$A$6,0,0,高速化データ!$A$1,106), 17+($I57*14), TRUE)</f>
        <v>234</v>
      </c>
      <c r="AG57" s="1058">
        <f t="shared" ca="1" si="2"/>
        <v>411.255</v>
      </c>
      <c r="AH57" s="1068">
        <f t="shared" ca="1" si="5"/>
        <v>-442.745</v>
      </c>
      <c r="AI57" s="1061">
        <f ca="1">VLOOKUP(Myリゾート!$C57,OFFSET(高速化データ!$A$6,0,0,高速化データ!$A$1,106), 18+($I57*14), TRUE)</f>
        <v>7</v>
      </c>
      <c r="AJ57" s="1058">
        <f ca="1">VLOOKUP(Myリゾート!$C57,OFFSET(高速化データ!$A$6,0,0,高速化データ!$A$1,106), 19+($I57*14), TRUE)</f>
        <v>5978</v>
      </c>
      <c r="AK57" s="1058">
        <f ca="1">VLOOKUP(Myリゾート!$C57,OFFSET(高速化データ!$A$6,0,0,高速化データ!$A$1,106), 20+($I57*14), TRUE)</f>
        <v>35868</v>
      </c>
      <c r="AL57" s="1058">
        <f ca="1">VLOOKUP(Myリゾート!$C57,OFFSET(高速化データ!$A$6,0,0,高速化データ!$A$1,106), 21+($I57*14), TRUE)</f>
        <v>448</v>
      </c>
      <c r="AM57" s="1070">
        <f ca="1">VLOOKUP(Myリゾート!$C57,OFFSET(高速化データ!$A$6,0,0,高速化データ!$A$1,106), 22+($I57*14), TRUE)</f>
        <v>2690</v>
      </c>
      <c r="AN57" s="1072">
        <f ca="1">VLOOKUP(Myリゾート!$C57,OFFSET(高速化データ!$A$6,0,0,高速化データ!$A$1,106), 11, TRUE)</f>
        <v>7.4999999999999997E-2</v>
      </c>
      <c r="AO57" s="1110">
        <f ca="1">VLOOKUP(Myリゾート!$C57,OFFSET(高速化データ!$A$6,0,0,高速化データ!$A$1,106), 13, TRUE)</f>
        <v>30</v>
      </c>
      <c r="AP57" s="1073" t="str">
        <f ca="1">VLOOKUP(Myリゾート!$C57,OFFSET(高速化データ!$A$6,0,0,高速化データ!$A$1,106), 15, TRUE)</f>
        <v>B</v>
      </c>
      <c r="AQ57" s="1071" t="str">
        <f ca="1">VLOOKUP(Myリゾート!$C57,OFFSET(高速化データ!$A$6,0,0,高速化データ!$A$1,106), 9, TRUE)</f>
        <v>24限定</v>
      </c>
      <c r="AR57" s="1112">
        <f ca="1">IF($I57=5, 0,VLOOKUP(Myリゾート!$C57,OFFSET(高速化データ!$A$6,0,0,高速化データ!$A$1,106), 23+(($I57+1)*14), TRUE))</f>
        <v>216</v>
      </c>
      <c r="AS57" s="1058">
        <f ca="1">IF($I57=5, 0,VLOOKUP(Myリゾート!$C57,OFFSET(高速化データ!$A$6,0,0,高速化データ!$A$1,106), 24+(($I57+1)*14), TRUE))</f>
        <v>5800000</v>
      </c>
      <c r="AT57" s="1074">
        <f ca="1">IF($I57=5, 0,VLOOKUP(Myリゾート!$C57,OFFSET(高速化データ!$A$6,0,0,高速化データ!$A$1,106), 25+(($I57+1)*14), TRUE))</f>
        <v>0</v>
      </c>
      <c r="AU57" s="1074">
        <f ca="1">IF($I57=5, 0,VLOOKUP(Myリゾート!$C57,OFFSET(高速化データ!$A$6,0,0,高速化データ!$A$1,106), 26+(($I57+1)*14), TRUE))</f>
        <v>12</v>
      </c>
      <c r="AV57" s="1074">
        <f ca="1">IF($I57=5, 0,VLOOKUP(Myリゾート!$C57,OFFSET(高速化データ!$A$6,0,0,高速化データ!$A$1,106), 27+(($I57+1)*14), TRUE))</f>
        <v>0</v>
      </c>
      <c r="AW57" s="1075">
        <f ca="1">IF($I57=5, 0,VLOOKUP(Myリゾート!$C57,OFFSET(高速化データ!$A$6,0,0,高速化データ!$A$1,106), 28+(($I57+1)*14), TRUE))</f>
        <v>28.854361979166669</v>
      </c>
      <c r="AX57" s="1070">
        <f ca="1">IF($I57=5, 0,VLOOKUP(Myリゾート!$C57,OFFSET(高速化データ!$A$6,0,0,高速化データ!$A$1,106), 29+(($I57+1)*14), TRUE))</f>
        <v>26851</v>
      </c>
      <c r="AY57" s="1066">
        <f ca="1">IF($I57=5, 0, VLOOKUP(Myリゾート!$C57,OFFSET(高速化データ!$A$6,0,0,高速化データ!$A$1,106), 19+(($I57+1)*14), TRUE)-AJ57)</f>
        <v>4262</v>
      </c>
      <c r="AZ57" s="1058">
        <f ca="1">IF($I57=5, 0, VLOOKUP(Myリゾート!$C57,OFFSET(高速化データ!$A$6,0,0,高速化データ!$A$1,106), 20+(($I57+1)*14), TRUE)-AK57)</f>
        <v>25572</v>
      </c>
      <c r="BA57" s="1076">
        <f ca="1">IF($I57=5, 0, VLOOKUP(Myリゾート!$C57,OFFSET(高速化データ!$A$6,0,0,高速化データ!$A$1,106), 17+(($I57+1)*14), TRUE)*$B$1/100-VLOOKUP(Myリゾート!$C57,OFFSET(高速化データ!$A$6,0,0,高速化データ!$A$1,106), 16+(($I57+1)*14),TRUE)-AH57)</f>
        <v>-222.13</v>
      </c>
      <c r="BB57" s="1056">
        <f t="shared" ca="1" si="6"/>
        <v>4262</v>
      </c>
      <c r="BC57" s="1057">
        <f t="shared" ca="1" si="6"/>
        <v>25572</v>
      </c>
      <c r="BD57" s="1068">
        <f t="shared" ca="1" si="7"/>
        <v>-222.13</v>
      </c>
      <c r="BE57" s="9">
        <f t="shared" ca="1" si="8"/>
        <v>854</v>
      </c>
      <c r="BF57" s="7">
        <f t="shared" ca="1" si="8"/>
        <v>234</v>
      </c>
      <c r="BG57" s="7">
        <f t="shared" ca="1" si="9"/>
        <v>5978</v>
      </c>
      <c r="BH57" s="7">
        <f t="shared" ca="1" si="9"/>
        <v>35868</v>
      </c>
      <c r="BI57" s="7">
        <f t="shared" ca="1" si="9"/>
        <v>448</v>
      </c>
      <c r="BJ57" s="7">
        <f t="shared" ca="1" si="9"/>
        <v>2690</v>
      </c>
      <c r="BK57" s="8">
        <f t="shared" ca="1" si="10"/>
        <v>854</v>
      </c>
    </row>
    <row r="58" spans="2:63">
      <c r="B58" s="203" t="s">
        <v>247</v>
      </c>
      <c r="C58" s="1055">
        <f ca="1">VLOOKUP(Myリゾート!$B58,OFFSET(高速化データ!$DD$6,0,0,高速化データ!$A$1,2), 2, FALSE)</f>
        <v>6032</v>
      </c>
      <c r="D58" s="59" t="str">
        <f ca="1">LEFT(VLOOKUP(Myリゾート!$C58,OFFSET(高速化データ!$A$6,0,0,高速化データ!$A$1,106), 3, TRUE),2)</f>
        <v>カジ</v>
      </c>
      <c r="E58" s="1063" t="str">
        <f ca="1">VLOOKUP(Myリゾート!$C58,OFFSET(高速化データ!$A$6,0,0,高速化データ!$A$1,106), 4, TRUE)&amp;""</f>
        <v/>
      </c>
      <c r="F58" s="1064" t="str">
        <f ca="1">VLOOKUP(Myリゾート!$C58,OFFSET(高速化データ!$A$6,0,0,高速化データ!$A$1,106), 5, TRUE)&amp;""</f>
        <v>○</v>
      </c>
      <c r="G58" s="1064" t="str">
        <f ca="1">VLOOKUP(Myリゾート!$C58,OFFSET(高速化データ!$A$6,0,0,高速化データ!$A$1,106), 6, TRUE)&amp;""</f>
        <v/>
      </c>
      <c r="H58" s="1065" t="str">
        <f ca="1">VLOOKUP(Myリゾート!$C58,OFFSET(高速化データ!$A$6,0,0,高速化データ!$A$1,106), 7, TRUE)&amp;""</f>
        <v/>
      </c>
      <c r="I58" s="1131">
        <v>3</v>
      </c>
      <c r="J58" s="1134"/>
      <c r="K58" s="1061">
        <f ca="1">VLOOKUP(Myリゾート!$C58,OFFSET(高速化データ!$A$6,0,0,高速化データ!$A$1,106), 10, TRUE)</f>
        <v>6</v>
      </c>
      <c r="L58" s="1062">
        <f ca="1">VLOOKUP(Myリゾート!$C58,OFFSET(高速化データ!$A$6,0,0,高速化データ!$A$1,106), 12, TRUE)</f>
        <v>3.6527777777777777</v>
      </c>
      <c r="M58" s="1066">
        <f ca="1">VLOOKUP(Myリゾート!$C58,OFFSET(高速化データ!$A$6,0,0,高速化データ!$A$1,106), 86, TRUE)</f>
        <v>1315</v>
      </c>
      <c r="N58" s="1058">
        <f ca="1">VLOOKUP(Myリゾート!$C58,OFFSET(高速化データ!$A$6,0,0,高速化データ!$A$1,106), 87, TRUE)</f>
        <v>360</v>
      </c>
      <c r="O58" s="1058">
        <f t="shared" ca="1" si="0"/>
        <v>632.70000000000005</v>
      </c>
      <c r="P58" s="1059">
        <f t="shared" ca="1" si="3"/>
        <v>-682.3</v>
      </c>
      <c r="Q58" s="1061">
        <f ca="1">VLOOKUP(Myリゾート!$C58,OFFSET(高速化データ!$A$6,0,0,高速化データ!$A$1,106), 88, TRUE)</f>
        <v>8</v>
      </c>
      <c r="R58" s="1060">
        <f ca="1">VLOOKUP(Myリゾート!$C58,OFFSET(高速化データ!$A$6,0,0,高速化データ!$A$1,106), 89, TRUE)</f>
        <v>10520</v>
      </c>
      <c r="S58" s="1060">
        <f ca="1">VLOOKUP(Myリゾート!$C58,OFFSET(高速化データ!$A$6,0,0,高速化データ!$A$1,106), 90, TRUE)</f>
        <v>63120</v>
      </c>
      <c r="T58" s="1060">
        <f ca="1">VLOOKUP(Myリゾート!$C58,OFFSET(高速化データ!$A$6,0,0,高速化データ!$A$1,106), 91, TRUE)</f>
        <v>789</v>
      </c>
      <c r="U58" s="1067">
        <f ca="1">VLOOKUP(Myリゾート!$C58,OFFSET(高速化データ!$A$6,0,0,高速化データ!$A$1,106), 92, TRUE)</f>
        <v>4734</v>
      </c>
      <c r="V58" s="1066">
        <f ca="1">VLOOKUP(Myリゾート!$C58,OFFSET(高速化データ!$A$6,0,0,高速化データ!$A$1,106), 30, TRUE)</f>
        <v>439</v>
      </c>
      <c r="W58" s="1058">
        <f ca="1">VLOOKUP(Myリゾート!$C58,OFFSET(高速化データ!$A$6,0,0,高速化データ!$A$1,106), 31, TRUE)</f>
        <v>120</v>
      </c>
      <c r="X58" s="1058">
        <f t="shared" ca="1" si="1"/>
        <v>210.9</v>
      </c>
      <c r="Y58" s="1068">
        <f t="shared" ca="1" si="4"/>
        <v>-228.1</v>
      </c>
      <c r="Z58" s="1061">
        <f ca="1">VLOOKUP(Myリゾート!$C58,OFFSET(高速化データ!$A$6,0,0,高速化データ!$A$1,106), 32, TRUE)</f>
        <v>8</v>
      </c>
      <c r="AA58" s="1060">
        <f ca="1">VLOOKUP(Myリゾート!$C58,OFFSET(高速化データ!$A$6,0,0,高速化データ!$A$1,106), 33, TRUE)</f>
        <v>3512</v>
      </c>
      <c r="AB58" s="1060">
        <f ca="1">VLOOKUP(Myリゾート!$C58,OFFSET(高速化データ!$A$6,0,0,高速化データ!$A$1,106), 34, TRUE)</f>
        <v>21072</v>
      </c>
      <c r="AC58" s="1060">
        <f ca="1">VLOOKUP(Myリゾート!$C58,OFFSET(高速化データ!$A$6,0,0,高速化データ!$A$1,106), 35, TRUE)</f>
        <v>263</v>
      </c>
      <c r="AD58" s="1069">
        <f ca="1">VLOOKUP(Myリゾート!$C58,OFFSET(高速化データ!$A$6,0,0,高速化データ!$A$1,106), 36, TRUE)</f>
        <v>1580</v>
      </c>
      <c r="AE58" s="1066">
        <f ca="1">VLOOKUP(Myリゾート!$C58,OFFSET(高速化データ!$A$6,0,0,高速化データ!$A$1,106), 16+($I58*14), TRUE)</f>
        <v>658</v>
      </c>
      <c r="AF58" s="1058">
        <f ca="1">VLOOKUP(Myリゾート!$C58,OFFSET(高速化データ!$A$6,0,0,高速化データ!$A$1,106), 17+($I58*14), TRUE)</f>
        <v>180</v>
      </c>
      <c r="AG58" s="1058">
        <f t="shared" ca="1" si="2"/>
        <v>316.35000000000002</v>
      </c>
      <c r="AH58" s="1068">
        <f t="shared" ca="1" si="5"/>
        <v>-341.65</v>
      </c>
      <c r="AI58" s="1061">
        <f ca="1">VLOOKUP(Myリゾート!$C58,OFFSET(高速化データ!$A$6,0,0,高速化データ!$A$1,106), 18+($I58*14), TRUE)</f>
        <v>8</v>
      </c>
      <c r="AJ58" s="1058">
        <f ca="1">VLOOKUP(Myリゾート!$C58,OFFSET(高速化データ!$A$6,0,0,高速化データ!$A$1,106), 19+($I58*14), TRUE)</f>
        <v>5264</v>
      </c>
      <c r="AK58" s="1058">
        <f ca="1">VLOOKUP(Myリゾート!$C58,OFFSET(高速化データ!$A$6,0,0,高速化データ!$A$1,106), 20+($I58*14), TRUE)</f>
        <v>31584</v>
      </c>
      <c r="AL58" s="1058">
        <f ca="1">VLOOKUP(Myリゾート!$C58,OFFSET(高速化データ!$A$6,0,0,高速化データ!$A$1,106), 21+($I58*14), TRUE)</f>
        <v>394</v>
      </c>
      <c r="AM58" s="1070">
        <f ca="1">VLOOKUP(Myリゾート!$C58,OFFSET(高速化データ!$A$6,0,0,高速化データ!$A$1,106), 22+($I58*14), TRUE)</f>
        <v>2368</v>
      </c>
      <c r="AN58" s="1072">
        <f ca="1">VLOOKUP(Myリゾート!$C58,OFFSET(高速化データ!$A$6,0,0,高速化データ!$A$1,106), 11, TRUE)</f>
        <v>7.4999999999999997E-2</v>
      </c>
      <c r="AO58" s="1110">
        <f ca="1">VLOOKUP(Myリゾート!$C58,OFFSET(高速化データ!$A$6,0,0,高速化データ!$A$1,106), 13, TRUE)</f>
        <v>30</v>
      </c>
      <c r="AP58" s="1073" t="str">
        <f ca="1">VLOOKUP(Myリゾート!$C58,OFFSET(高速化データ!$A$6,0,0,高速化データ!$A$1,106), 15, TRUE)</f>
        <v>B</v>
      </c>
      <c r="AQ58" s="1071" t="str">
        <f ca="1">VLOOKUP(Myリゾート!$C58,OFFSET(高速化データ!$A$6,0,0,高速化データ!$A$1,106), 9, TRUE)</f>
        <v>24限定</v>
      </c>
      <c r="AR58" s="1112">
        <f ca="1">IF($I58=5, 0,VLOOKUP(Myリゾート!$C58,OFFSET(高速化データ!$A$6,0,0,高速化データ!$A$1,106), 23+(($I58+1)*14), TRUE))</f>
        <v>144</v>
      </c>
      <c r="AS58" s="1058">
        <f ca="1">IF($I58=5, 0,VLOOKUP(Myリゾート!$C58,OFFSET(高速化データ!$A$6,0,0,高速化データ!$A$1,106), 24+(($I58+1)*14), TRUE))</f>
        <v>4960000</v>
      </c>
      <c r="AT58" s="1074">
        <f ca="1">IF($I58=5, 0,VLOOKUP(Myリゾート!$C58,OFFSET(高速化データ!$A$6,0,0,高速化データ!$A$1,106), 25+(($I58+1)*14), TRUE))</f>
        <v>0</v>
      </c>
      <c r="AU58" s="1074">
        <f ca="1">IF($I58=5, 0,VLOOKUP(Myリゾート!$C58,OFFSET(高速化データ!$A$6,0,0,高速化データ!$A$1,106), 26+(($I58+1)*14), TRUE))</f>
        <v>9</v>
      </c>
      <c r="AV58" s="1074">
        <f ca="1">IF($I58=5, 0,VLOOKUP(Myリゾート!$C58,OFFSET(高速化データ!$A$6,0,0,高速化データ!$A$1,106), 27+(($I58+1)*14), TRUE))</f>
        <v>0</v>
      </c>
      <c r="AW58" s="1075">
        <f ca="1">IF($I58=5, 0,VLOOKUP(Myリゾート!$C58,OFFSET(高速化データ!$A$6,0,0,高速化データ!$A$1,106), 28+(($I58+1)*14), TRUE))</f>
        <v>33.958190801976436</v>
      </c>
      <c r="AX58" s="1070">
        <f ca="1">IF($I58=5, 0,VLOOKUP(Myリゾート!$C58,OFFSET(高速化データ!$A$6,0,0,高速化データ!$A$1,106), 29+(($I58+1)*14), TRUE))</f>
        <v>34444</v>
      </c>
      <c r="AY58" s="1066">
        <f ca="1">IF($I58=5, 0, VLOOKUP(Myリゾート!$C58,OFFSET(高速化データ!$A$6,0,0,高速化データ!$A$1,106), 19+(($I58+1)*14), TRUE)-AJ58)</f>
        <v>1752</v>
      </c>
      <c r="AZ58" s="1058">
        <f ca="1">IF($I58=5, 0, VLOOKUP(Myリゾート!$C58,OFFSET(高速化データ!$A$6,0,0,高速化データ!$A$1,106), 20+(($I58+1)*14), TRUE)-AK58)</f>
        <v>10512</v>
      </c>
      <c r="BA58" s="1076">
        <f ca="1">IF($I58=5, 0, VLOOKUP(Myリゾート!$C58,OFFSET(高速化データ!$A$6,0,0,高速化データ!$A$1,106), 17+(($I58+1)*14), TRUE)*$B$1/100-VLOOKUP(Myリゾート!$C58,OFFSET(高速化データ!$A$6,0,0,高速化データ!$A$1,106), 16+(($I58+1)*14),TRUE)-AH58)</f>
        <v>-113.55000000000001</v>
      </c>
      <c r="BB58" s="1056">
        <f t="shared" ca="1" si="6"/>
        <v>5256</v>
      </c>
      <c r="BC58" s="1057">
        <f t="shared" ca="1" si="6"/>
        <v>31536</v>
      </c>
      <c r="BD58" s="1068">
        <f t="shared" ca="1" si="7"/>
        <v>-340.65</v>
      </c>
      <c r="BE58" s="9">
        <f t="shared" ca="1" si="8"/>
        <v>658</v>
      </c>
      <c r="BF58" s="7">
        <f t="shared" ca="1" si="8"/>
        <v>180</v>
      </c>
      <c r="BG58" s="7">
        <f t="shared" ca="1" si="9"/>
        <v>5264</v>
      </c>
      <c r="BH58" s="7">
        <f t="shared" ca="1" si="9"/>
        <v>31584</v>
      </c>
      <c r="BI58" s="7">
        <f t="shared" ca="1" si="9"/>
        <v>394</v>
      </c>
      <c r="BJ58" s="7">
        <f t="shared" ca="1" si="9"/>
        <v>2368</v>
      </c>
      <c r="BK58" s="8">
        <f t="shared" ca="1" si="10"/>
        <v>658</v>
      </c>
    </row>
    <row r="59" spans="2:63">
      <c r="B59" s="203" t="s">
        <v>255</v>
      </c>
      <c r="C59" s="1055">
        <f ca="1">VLOOKUP(Myリゾート!$B59,OFFSET(高速化データ!$DD$6,0,0,高速化データ!$A$1,2), 2, FALSE)</f>
        <v>531</v>
      </c>
      <c r="D59" s="59" t="str">
        <f ca="1">LEFT(VLOOKUP(Myリゾート!$C59,OFFSET(高速化データ!$A$6,0,0,高速化データ!$A$1,106), 3, TRUE),2)</f>
        <v>カジ</v>
      </c>
      <c r="E59" s="1063" t="str">
        <f ca="1">VLOOKUP(Myリゾート!$C59,OFFSET(高速化データ!$A$6,0,0,高速化データ!$A$1,106), 4, TRUE)&amp;""</f>
        <v/>
      </c>
      <c r="F59" s="1064" t="str">
        <f ca="1">VLOOKUP(Myリゾート!$C59,OFFSET(高速化データ!$A$6,0,0,高速化データ!$A$1,106), 5, TRUE)&amp;""</f>
        <v>○</v>
      </c>
      <c r="G59" s="1064" t="str">
        <f ca="1">VLOOKUP(Myリゾート!$C59,OFFSET(高速化データ!$A$6,0,0,高速化データ!$A$1,106), 6, TRUE)&amp;""</f>
        <v/>
      </c>
      <c r="H59" s="1065" t="str">
        <f ca="1">VLOOKUP(Myリゾート!$C59,OFFSET(高速化データ!$A$6,0,0,高速化データ!$A$1,106), 7, TRUE)&amp;""</f>
        <v/>
      </c>
      <c r="I59" s="1131">
        <v>2</v>
      </c>
      <c r="J59" s="1134"/>
      <c r="K59" s="1061">
        <f ca="1">VLOOKUP(Myリゾート!$C59,OFFSET(高速化データ!$A$6,0,0,高速化データ!$A$1,106), 10, TRUE)</f>
        <v>12</v>
      </c>
      <c r="L59" s="1062">
        <f ca="1">VLOOKUP(Myリゾート!$C59,OFFSET(高速化データ!$A$6,0,0,高速化データ!$A$1,106), 12, TRUE)</f>
        <v>3.3333333333333335</v>
      </c>
      <c r="M59" s="1066">
        <f ca="1">VLOOKUP(Myリゾート!$C59,OFFSET(高速化データ!$A$6,0,0,高速化データ!$A$1,106), 86, TRUE)</f>
        <v>1000</v>
      </c>
      <c r="N59" s="1058">
        <f ca="1">VLOOKUP(Myリゾート!$C59,OFFSET(高速化データ!$A$6,0,0,高速化データ!$A$1,106), 87, TRUE)</f>
        <v>300</v>
      </c>
      <c r="O59" s="1058">
        <f t="shared" ca="1" si="0"/>
        <v>527.25</v>
      </c>
      <c r="P59" s="1059">
        <f t="shared" ca="1" si="3"/>
        <v>-472.75</v>
      </c>
      <c r="Q59" s="1061">
        <f ca="1">VLOOKUP(Myリゾート!$C59,OFFSET(高速化データ!$A$6,0,0,高速化データ!$A$1,106), 88, TRUE)</f>
        <v>12</v>
      </c>
      <c r="R59" s="1060">
        <f ca="1">VLOOKUP(Myリゾート!$C59,OFFSET(高速化データ!$A$6,0,0,高速化データ!$A$1,106), 89, TRUE)</f>
        <v>12000</v>
      </c>
      <c r="S59" s="1060">
        <f ca="1">VLOOKUP(Myリゾート!$C59,OFFSET(高速化データ!$A$6,0,0,高速化データ!$A$1,106), 90, TRUE)</f>
        <v>144000</v>
      </c>
      <c r="T59" s="1060">
        <f ca="1">VLOOKUP(Myリゾート!$C59,OFFSET(高速化データ!$A$6,0,0,高速化データ!$A$1,106), 91, TRUE)</f>
        <v>900</v>
      </c>
      <c r="U59" s="1067">
        <f ca="1">VLOOKUP(Myリゾート!$C59,OFFSET(高速化データ!$A$6,0,0,高速化データ!$A$1,106), 92, TRUE)</f>
        <v>10800</v>
      </c>
      <c r="V59" s="1066">
        <f ca="1">VLOOKUP(Myリゾート!$C59,OFFSET(高速化データ!$A$6,0,0,高速化データ!$A$1,106), 30, TRUE)</f>
        <v>334</v>
      </c>
      <c r="W59" s="1058">
        <f ca="1">VLOOKUP(Myリゾート!$C59,OFFSET(高速化データ!$A$6,0,0,高速化データ!$A$1,106), 31, TRUE)</f>
        <v>100</v>
      </c>
      <c r="X59" s="1058">
        <f t="shared" ca="1" si="1"/>
        <v>175.75</v>
      </c>
      <c r="Y59" s="1068">
        <f t="shared" ca="1" si="4"/>
        <v>-158.25</v>
      </c>
      <c r="Z59" s="1061">
        <f ca="1">VLOOKUP(Myリゾート!$C59,OFFSET(高速化データ!$A$6,0,0,高速化データ!$A$1,106), 32, TRUE)</f>
        <v>12</v>
      </c>
      <c r="AA59" s="1060">
        <f ca="1">VLOOKUP(Myリゾート!$C59,OFFSET(高速化データ!$A$6,0,0,高速化データ!$A$1,106), 33, TRUE)</f>
        <v>4008</v>
      </c>
      <c r="AB59" s="1060">
        <f ca="1">VLOOKUP(Myリゾート!$C59,OFFSET(高速化データ!$A$6,0,0,高速化データ!$A$1,106), 34, TRUE)</f>
        <v>48096</v>
      </c>
      <c r="AC59" s="1060">
        <f ca="1">VLOOKUP(Myリゾート!$C59,OFFSET(高速化データ!$A$6,0,0,高速化データ!$A$1,106), 35, TRUE)</f>
        <v>300</v>
      </c>
      <c r="AD59" s="1069">
        <f ca="1">VLOOKUP(Myリゾート!$C59,OFFSET(高速化データ!$A$6,0,0,高速化データ!$A$1,106), 36, TRUE)</f>
        <v>3607</v>
      </c>
      <c r="AE59" s="1066">
        <f ca="1">VLOOKUP(Myリゾート!$C59,OFFSET(高速化データ!$A$6,0,0,高速化データ!$A$1,106), 16+($I59*14), TRUE)</f>
        <v>417</v>
      </c>
      <c r="AF59" s="1058">
        <f ca="1">VLOOKUP(Myリゾート!$C59,OFFSET(高速化データ!$A$6,0,0,高速化データ!$A$1,106), 17+($I59*14), TRUE)</f>
        <v>125</v>
      </c>
      <c r="AG59" s="1058">
        <f t="shared" ca="1" si="2"/>
        <v>219.6875</v>
      </c>
      <c r="AH59" s="1068">
        <f t="shared" ca="1" si="5"/>
        <v>-197.3125</v>
      </c>
      <c r="AI59" s="1061">
        <f ca="1">VLOOKUP(Myリゾート!$C59,OFFSET(高速化データ!$A$6,0,0,高速化データ!$A$1,106), 18+($I59*14), TRUE)</f>
        <v>12</v>
      </c>
      <c r="AJ59" s="1058">
        <f ca="1">VLOOKUP(Myリゾート!$C59,OFFSET(高速化データ!$A$6,0,0,高速化データ!$A$1,106), 19+($I59*14), TRUE)</f>
        <v>5004</v>
      </c>
      <c r="AK59" s="1058">
        <f ca="1">VLOOKUP(Myリゾート!$C59,OFFSET(高速化データ!$A$6,0,0,高速化データ!$A$1,106), 20+($I59*14), TRUE)</f>
        <v>60048</v>
      </c>
      <c r="AL59" s="1058">
        <f ca="1">VLOOKUP(Myリゾート!$C59,OFFSET(高速化データ!$A$6,0,0,高速化データ!$A$1,106), 21+($I59*14), TRUE)</f>
        <v>375</v>
      </c>
      <c r="AM59" s="1070">
        <f ca="1">VLOOKUP(Myリゾート!$C59,OFFSET(高速化データ!$A$6,0,0,高速化データ!$A$1,106), 22+($I59*14), TRUE)</f>
        <v>4503</v>
      </c>
      <c r="AN59" s="1072">
        <f ca="1">VLOOKUP(Myリゾート!$C59,OFFSET(高速化データ!$A$6,0,0,高速化データ!$A$1,106), 11, TRUE)</f>
        <v>7.4999999999999997E-2</v>
      </c>
      <c r="AO59" s="1110">
        <f ca="1">VLOOKUP(Myリゾート!$C59,OFFSET(高速化データ!$A$6,0,0,高速化データ!$A$1,106), 13, TRUE)</f>
        <v>100</v>
      </c>
      <c r="AP59" s="1073" t="str">
        <f ca="1">VLOOKUP(Myリゾート!$C59,OFFSET(高速化データ!$A$6,0,0,高速化データ!$A$1,106), 15, TRUE)</f>
        <v>B</v>
      </c>
      <c r="AQ59" s="1071" t="str">
        <f ca="1">VLOOKUP(Myリゾート!$C59,OFFSET(高速化データ!$A$6,0,0,高速化データ!$A$1,106), 9, TRUE)</f>
        <v>カジノW</v>
      </c>
      <c r="AR59" s="1112">
        <f ca="1">IF($I59=5, 0,VLOOKUP(Myリゾート!$C59,OFFSET(高速化データ!$A$6,0,0,高速化データ!$A$1,106), 23+(($I59+1)*14), TRUE))</f>
        <v>18</v>
      </c>
      <c r="AS59" s="1058">
        <f ca="1">IF($I59=5, 0,VLOOKUP(Myリゾート!$C59,OFFSET(高速化データ!$A$6,0,0,高速化データ!$A$1,106), 24+(($I59+1)*14), TRUE))</f>
        <v>5400000</v>
      </c>
      <c r="AT59" s="1074">
        <f ca="1">IF($I59=5, 0,VLOOKUP(Myリゾート!$C59,OFFSET(高速化データ!$A$6,0,0,高速化データ!$A$1,106), 25+(($I59+1)*14), TRUE))</f>
        <v>0</v>
      </c>
      <c r="AU59" s="1074">
        <f ca="1">IF($I59=5, 0,VLOOKUP(Myリゾート!$C59,OFFSET(高速化データ!$A$6,0,0,高速化データ!$A$1,106), 26+(($I59+1)*14), TRUE))</f>
        <v>10</v>
      </c>
      <c r="AV59" s="1074">
        <f ca="1">IF($I59=5, 0,VLOOKUP(Myリゾート!$C59,OFFSET(高速化データ!$A$6,0,0,高速化データ!$A$1,106), 27+(($I59+1)*14), TRUE))</f>
        <v>0</v>
      </c>
      <c r="AW59" s="1075">
        <f ca="1">IF($I59=5, 0,VLOOKUP(Myリゾート!$C59,OFFSET(高速化データ!$A$6,0,0,高速化データ!$A$1,106), 28+(($I59+1)*14), TRUE))</f>
        <v>38.125499999999995</v>
      </c>
      <c r="AX59" s="1070">
        <f ca="1">IF($I59=5, 0,VLOOKUP(Myリゾート!$C59,OFFSET(高速化データ!$A$6,0,0,高速化データ!$A$1,106), 29+(($I59+1)*14), TRUE))</f>
        <v>300000</v>
      </c>
      <c r="AY59" s="1066">
        <f ca="1">IF($I59=5, 0, VLOOKUP(Myリゾート!$C59,OFFSET(高速化データ!$A$6,0,0,高速化データ!$A$1,106), 19+(($I59+1)*14), TRUE)-AJ59)</f>
        <v>996</v>
      </c>
      <c r="AZ59" s="1058">
        <f ca="1">IF($I59=5, 0, VLOOKUP(Myリゾート!$C59,OFFSET(高速化データ!$A$6,0,0,高速化データ!$A$1,106), 20+(($I59+1)*14), TRUE)-AK59)</f>
        <v>11952</v>
      </c>
      <c r="BA59" s="1076">
        <f ca="1">IF($I59=5, 0, VLOOKUP(Myリゾート!$C59,OFFSET(高速化データ!$A$6,0,0,高速化データ!$A$1,106), 17+(($I59+1)*14), TRUE)*$B$1/100-VLOOKUP(Myリゾート!$C59,OFFSET(高速化データ!$A$6,0,0,高速化データ!$A$1,106), 16+(($I59+1)*14),TRUE)-AH59)</f>
        <v>-39.0625</v>
      </c>
      <c r="BB59" s="1056">
        <f t="shared" ca="1" si="6"/>
        <v>6996</v>
      </c>
      <c r="BC59" s="1057">
        <f t="shared" ca="1" si="6"/>
        <v>83952</v>
      </c>
      <c r="BD59" s="1068">
        <f t="shared" ca="1" si="7"/>
        <v>-275.4375</v>
      </c>
      <c r="BE59" s="9">
        <f t="shared" ca="1" si="8"/>
        <v>417</v>
      </c>
      <c r="BF59" s="7">
        <f t="shared" ca="1" si="8"/>
        <v>125</v>
      </c>
      <c r="BG59" s="7">
        <f t="shared" ca="1" si="9"/>
        <v>5004</v>
      </c>
      <c r="BH59" s="7">
        <f t="shared" ca="1" si="9"/>
        <v>60048</v>
      </c>
      <c r="BI59" s="7">
        <f t="shared" ca="1" si="9"/>
        <v>375</v>
      </c>
      <c r="BJ59" s="7">
        <f t="shared" ca="1" si="9"/>
        <v>4503</v>
      </c>
      <c r="BK59" s="8">
        <f t="shared" ca="1" si="10"/>
        <v>417</v>
      </c>
    </row>
    <row r="60" spans="2:63">
      <c r="B60" s="1126" t="s">
        <v>60</v>
      </c>
      <c r="C60" s="1055">
        <f ca="1">VLOOKUP(Myリゾート!$B60,OFFSET(高速化データ!$DD$6,0,0,高速化データ!$A$1,2), 2, FALSE)</f>
        <v>5</v>
      </c>
      <c r="D60" s="59" t="str">
        <f ca="1">LEFT(VLOOKUP(Myリゾート!$C60,OFFSET(高速化データ!$A$6,0,0,高速化データ!$A$1,106), 3, TRUE),2)</f>
        <v>ホテ</v>
      </c>
      <c r="E60" s="1063" t="str">
        <f ca="1">VLOOKUP(Myリゾート!$C60,OFFSET(高速化データ!$A$6,0,0,高速化データ!$A$1,106), 4, TRUE)&amp;""</f>
        <v/>
      </c>
      <c r="F60" s="1064" t="str">
        <f ca="1">VLOOKUP(Myリゾート!$C60,OFFSET(高速化データ!$A$6,0,0,高速化データ!$A$1,106), 5, TRUE)&amp;""</f>
        <v>○</v>
      </c>
      <c r="G60" s="1064" t="str">
        <f ca="1">VLOOKUP(Myリゾート!$C60,OFFSET(高速化データ!$A$6,0,0,高速化データ!$A$1,106), 6, TRUE)&amp;""</f>
        <v/>
      </c>
      <c r="H60" s="1065" t="str">
        <f ca="1">VLOOKUP(Myリゾート!$C60,OFFSET(高速化データ!$A$6,0,0,高速化データ!$A$1,106), 7, TRUE)&amp;""</f>
        <v/>
      </c>
      <c r="I60" s="1131">
        <v>1</v>
      </c>
      <c r="J60" s="1134"/>
      <c r="K60" s="1061">
        <f ca="1">VLOOKUP(Myリゾート!$C60,OFFSET(高速化データ!$A$6,0,0,高速化データ!$A$1,106), 10, TRUE)</f>
        <v>4</v>
      </c>
      <c r="L60" s="1062">
        <f ca="1">VLOOKUP(Myリゾート!$C60,OFFSET(高速化データ!$A$6,0,0,高速化データ!$A$1,106), 12, TRUE)</f>
        <v>3.5087719298245612</v>
      </c>
      <c r="M60" s="1066">
        <f ca="1">VLOOKUP(Myリゾート!$C60,OFFSET(高速化データ!$A$6,0,0,高速化データ!$A$1,106), 86, TRUE)</f>
        <v>400</v>
      </c>
      <c r="N60" s="1058">
        <f ca="1">VLOOKUP(Myリゾート!$C60,OFFSET(高速化データ!$A$6,0,0,高速化データ!$A$1,106), 87, TRUE)</f>
        <v>114</v>
      </c>
      <c r="O60" s="1058">
        <f t="shared" ca="1" si="0"/>
        <v>200.35499999999999</v>
      </c>
      <c r="P60" s="1059">
        <f t="shared" ca="1" si="3"/>
        <v>-199.64500000000001</v>
      </c>
      <c r="Q60" s="1061">
        <f ca="1">VLOOKUP(Myリゾート!$C60,OFFSET(高速化データ!$A$6,0,0,高速化データ!$A$1,106), 88, TRUE)</f>
        <v>3</v>
      </c>
      <c r="R60" s="1060">
        <f ca="1">VLOOKUP(Myリゾート!$C60,OFFSET(高速化データ!$A$6,0,0,高速化データ!$A$1,106), 89, TRUE)</f>
        <v>1200</v>
      </c>
      <c r="S60" s="1060">
        <f ca="1">VLOOKUP(Myリゾート!$C60,OFFSET(高速化データ!$A$6,0,0,高速化データ!$A$1,106), 90, TRUE)</f>
        <v>4800</v>
      </c>
      <c r="T60" s="1060">
        <f ca="1">VLOOKUP(Myリゾート!$C60,OFFSET(高速化データ!$A$6,0,0,高速化データ!$A$1,106), 91, TRUE)</f>
        <v>30</v>
      </c>
      <c r="U60" s="1067">
        <f ca="1">VLOOKUP(Myリゾート!$C60,OFFSET(高速化データ!$A$6,0,0,高速化データ!$A$1,106), 92, TRUE)</f>
        <v>120</v>
      </c>
      <c r="V60" s="1066">
        <f ca="1">VLOOKUP(Myリゾート!$C60,OFFSET(高速化データ!$A$6,0,0,高速化データ!$A$1,106), 30, TRUE)</f>
        <v>200</v>
      </c>
      <c r="W60" s="1058">
        <f ca="1">VLOOKUP(Myリゾート!$C60,OFFSET(高速化データ!$A$6,0,0,高速化データ!$A$1,106), 31, TRUE)</f>
        <v>57</v>
      </c>
      <c r="X60" s="1058">
        <f t="shared" ca="1" si="1"/>
        <v>100.17749999999999</v>
      </c>
      <c r="Y60" s="1068">
        <f t="shared" ca="1" si="4"/>
        <v>-99.822500000000005</v>
      </c>
      <c r="Z60" s="1061">
        <f ca="1">VLOOKUP(Myリゾート!$C60,OFFSET(高速化データ!$A$6,0,0,高速化データ!$A$1,106), 32, TRUE)</f>
        <v>3</v>
      </c>
      <c r="AA60" s="1060">
        <f ca="1">VLOOKUP(Myリゾート!$C60,OFFSET(高速化データ!$A$6,0,0,高速化データ!$A$1,106), 33, TRUE)</f>
        <v>600</v>
      </c>
      <c r="AB60" s="1060">
        <f ca="1">VLOOKUP(Myリゾート!$C60,OFFSET(高速化データ!$A$6,0,0,高速化データ!$A$1,106), 34, TRUE)</f>
        <v>2400</v>
      </c>
      <c r="AC60" s="1060">
        <f ca="1">VLOOKUP(Myリゾート!$C60,OFFSET(高速化データ!$A$6,0,0,高速化データ!$A$1,106), 35, TRUE)</f>
        <v>15</v>
      </c>
      <c r="AD60" s="1069">
        <f ca="1">VLOOKUP(Myリゾート!$C60,OFFSET(高速化データ!$A$6,0,0,高速化データ!$A$1,106), 36, TRUE)</f>
        <v>60</v>
      </c>
      <c r="AE60" s="1066">
        <f ca="1">VLOOKUP(Myリゾート!$C60,OFFSET(高速化データ!$A$6,0,0,高速化データ!$A$1,106), 16+($I60*14), TRUE)</f>
        <v>200</v>
      </c>
      <c r="AF60" s="1058">
        <f ca="1">VLOOKUP(Myリゾート!$C60,OFFSET(高速化データ!$A$6,0,0,高速化データ!$A$1,106), 17+($I60*14), TRUE)</f>
        <v>57</v>
      </c>
      <c r="AG60" s="1058">
        <f t="shared" ca="1" si="2"/>
        <v>100.17749999999999</v>
      </c>
      <c r="AH60" s="1068">
        <f t="shared" ca="1" si="5"/>
        <v>-99.822500000000005</v>
      </c>
      <c r="AI60" s="1061">
        <f ca="1">VLOOKUP(Myリゾート!$C60,OFFSET(高速化データ!$A$6,0,0,高速化データ!$A$1,106), 18+($I60*14), TRUE)</f>
        <v>3</v>
      </c>
      <c r="AJ60" s="1058">
        <f ca="1">VLOOKUP(Myリゾート!$C60,OFFSET(高速化データ!$A$6,0,0,高速化データ!$A$1,106), 19+($I60*14), TRUE)</f>
        <v>600</v>
      </c>
      <c r="AK60" s="1058">
        <f ca="1">VLOOKUP(Myリゾート!$C60,OFFSET(高速化データ!$A$6,0,0,高速化データ!$A$1,106), 20+($I60*14), TRUE)</f>
        <v>2400</v>
      </c>
      <c r="AL60" s="1058">
        <f ca="1">VLOOKUP(Myリゾート!$C60,OFFSET(高速化データ!$A$6,0,0,高速化データ!$A$1,106), 21+($I60*14), TRUE)</f>
        <v>15</v>
      </c>
      <c r="AM60" s="1070">
        <f ca="1">VLOOKUP(Myリゾート!$C60,OFFSET(高速化データ!$A$6,0,0,高速化データ!$A$1,106), 22+($I60*14), TRUE)</f>
        <v>60</v>
      </c>
      <c r="AN60" s="1072">
        <f ca="1">VLOOKUP(Myリゾート!$C60,OFFSET(高速化データ!$A$6,0,0,高速化データ!$A$1,106), 11, TRUE)</f>
        <v>2.5000000000000001E-2</v>
      </c>
      <c r="AO60" s="1110">
        <f ca="1">VLOOKUP(Myリゾート!$C60,OFFSET(高速化データ!$A$6,0,0,高速化データ!$A$1,106), 13, TRUE)</f>
        <v>30</v>
      </c>
      <c r="AP60" s="1073" t="str">
        <f ca="1">VLOOKUP(Myリゾート!$C60,OFFSET(高速化データ!$A$6,0,0,高速化データ!$A$1,106), 15, TRUE)</f>
        <v>A</v>
      </c>
      <c r="AQ60" s="1071" t="str">
        <f ca="1">VLOOKUP(Myリゾート!$C60,OFFSET(高速化データ!$A$6,0,0,高速化データ!$A$1,106), 9, TRUE)</f>
        <v>レベル</v>
      </c>
      <c r="AR60" s="1112">
        <f ca="1">IF($I60=5, 0,VLOOKUP(Myリゾート!$C60,OFFSET(高速化データ!$A$6,0,0,高速化データ!$A$1,106), 23+(($I60+1)*14), TRUE))</f>
        <v>8.3333333333333329E-2</v>
      </c>
      <c r="AS60" s="1058">
        <f ca="1">IF($I60=5, 0,VLOOKUP(Myリゾート!$C60,OFFSET(高速化データ!$A$6,0,0,高速化データ!$A$1,106), 24+(($I60+1)*14), TRUE))</f>
        <v>3000</v>
      </c>
      <c r="AT60" s="1074">
        <f ca="1">IF($I60=5, 0,VLOOKUP(Myリゾート!$C60,OFFSET(高速化データ!$A$6,0,0,高速化データ!$A$1,106), 25+(($I60+1)*14), TRUE))</f>
        <v>0</v>
      </c>
      <c r="AU60" s="1074">
        <f ca="1">IF($I60=5, 0,VLOOKUP(Myリゾート!$C60,OFFSET(高速化データ!$A$6,0,0,高速化データ!$A$1,106), 26+(($I60+1)*14), TRUE))</f>
        <v>0</v>
      </c>
      <c r="AV60" s="1074">
        <f ca="1">IF($I60=5, 0,VLOOKUP(Myリゾート!$C60,OFFSET(高速化データ!$A$6,0,0,高速化データ!$A$1,106), 27+(($I60+1)*14), TRUE))</f>
        <v>0</v>
      </c>
      <c r="AW60" s="1075">
        <f ca="1">IF($I60=5, 0,VLOOKUP(Myリゾート!$C60,OFFSET(高速化データ!$A$6,0,0,高速化データ!$A$1,106), 28+(($I60+1)*14), TRUE))</f>
        <v>0.14120370370370369</v>
      </c>
      <c r="AX60" s="1070">
        <f ca="1">IF($I60=5, 0,VLOOKUP(Myリゾート!$C60,OFFSET(高速化データ!$A$6,0,0,高速化データ!$A$1,106), 29+(($I60+1)*14), TRUE))</f>
        <v>36000</v>
      </c>
      <c r="AY60" s="1066">
        <f ca="1">IF($I60=5, 0, VLOOKUP(Myリゾート!$C60,OFFSET(高速化データ!$A$6,0,0,高速化データ!$A$1,106), 19+(($I60+1)*14), TRUE)-AJ60)</f>
        <v>300</v>
      </c>
      <c r="AZ60" s="1058">
        <f ca="1">IF($I60=5, 0, VLOOKUP(Myリゾート!$C60,OFFSET(高速化データ!$A$6,0,0,高速化データ!$A$1,106), 20+(($I60+1)*14), TRUE)-AK60)</f>
        <v>1200</v>
      </c>
      <c r="BA60" s="1076">
        <f ca="1">IF($I60=5, 0, VLOOKUP(Myリゾート!$C60,OFFSET(高速化データ!$A$6,0,0,高速化データ!$A$1,106), 17+(($I60+1)*14), TRUE)*$B$1/100-VLOOKUP(Myリゾート!$C60,OFFSET(高速化データ!$A$6,0,0,高速化データ!$A$1,106), 16+(($I60+1)*14),TRUE)-AH60)</f>
        <v>-50.790000000000006</v>
      </c>
      <c r="BB60" s="1056">
        <f t="shared" ca="1" si="6"/>
        <v>600</v>
      </c>
      <c r="BC60" s="1057">
        <f t="shared" ca="1" si="6"/>
        <v>2400</v>
      </c>
      <c r="BD60" s="1068">
        <f t="shared" ca="1" si="7"/>
        <v>-99.822500000000005</v>
      </c>
      <c r="BE60" s="9">
        <f t="shared" ca="1" si="8"/>
        <v>200</v>
      </c>
      <c r="BF60" s="7">
        <f t="shared" ca="1" si="8"/>
        <v>57</v>
      </c>
      <c r="BG60" s="7">
        <f t="shared" ca="1" si="9"/>
        <v>600</v>
      </c>
      <c r="BH60" s="7">
        <f t="shared" ca="1" si="9"/>
        <v>2400</v>
      </c>
      <c r="BI60" s="7">
        <f t="shared" ca="1" si="9"/>
        <v>15</v>
      </c>
      <c r="BJ60" s="7">
        <f t="shared" ca="1" si="9"/>
        <v>60</v>
      </c>
      <c r="BK60" s="8">
        <f t="shared" ca="1" si="10"/>
        <v>200</v>
      </c>
    </row>
    <row r="61" spans="2:63">
      <c r="B61" s="1126" t="s">
        <v>61</v>
      </c>
      <c r="C61" s="1055">
        <f ca="1">VLOOKUP(Myリゾート!$B61,OFFSET(高速化データ!$DD$6,0,0,高速化データ!$A$1,2), 2, FALSE)</f>
        <v>18</v>
      </c>
      <c r="D61" s="59" t="str">
        <f ca="1">LEFT(VLOOKUP(Myリゾート!$C61,OFFSET(高速化データ!$A$6,0,0,高速化データ!$A$1,106), 3, TRUE),2)</f>
        <v>ホテ</v>
      </c>
      <c r="E61" s="1063" t="str">
        <f ca="1">VLOOKUP(Myリゾート!$C61,OFFSET(高速化データ!$A$6,0,0,高速化データ!$A$1,106), 4, TRUE)&amp;""</f>
        <v/>
      </c>
      <c r="F61" s="1064" t="str">
        <f ca="1">VLOOKUP(Myリゾート!$C61,OFFSET(高速化データ!$A$6,0,0,高速化データ!$A$1,106), 5, TRUE)&amp;""</f>
        <v>○</v>
      </c>
      <c r="G61" s="1064" t="str">
        <f ca="1">VLOOKUP(Myリゾート!$C61,OFFSET(高速化データ!$A$6,0,0,高速化データ!$A$1,106), 6, TRUE)&amp;""</f>
        <v/>
      </c>
      <c r="H61" s="1065" t="str">
        <f ca="1">VLOOKUP(Myリゾート!$C61,OFFSET(高速化データ!$A$6,0,0,高速化データ!$A$1,106), 7, TRUE)&amp;""</f>
        <v/>
      </c>
      <c r="I61" s="1131">
        <v>0</v>
      </c>
      <c r="J61" s="1134"/>
      <c r="K61" s="1061">
        <f ca="1">VLOOKUP(Myリゾート!$C61,OFFSET(高速化データ!$A$6,0,0,高速化データ!$A$1,106), 10, TRUE)</f>
        <v>5</v>
      </c>
      <c r="L61" s="1062">
        <f ca="1">VLOOKUP(Myリゾート!$C61,OFFSET(高速化データ!$A$6,0,0,高速化データ!$A$1,106), 12, TRUE)</f>
        <v>3.5820895522388061</v>
      </c>
      <c r="M61" s="1066">
        <f ca="1">VLOOKUP(Myリゾート!$C61,OFFSET(高速化データ!$A$6,0,0,高速化データ!$A$1,106), 86, TRUE)</f>
        <v>480</v>
      </c>
      <c r="N61" s="1058">
        <f ca="1">VLOOKUP(Myリゾート!$C61,OFFSET(高速化データ!$A$6,0,0,高速化データ!$A$1,106), 87, TRUE)</f>
        <v>134</v>
      </c>
      <c r="O61" s="1058">
        <f t="shared" ca="1" si="0"/>
        <v>235.505</v>
      </c>
      <c r="P61" s="1059">
        <f t="shared" ca="1" si="3"/>
        <v>-244.495</v>
      </c>
      <c r="Q61" s="1061">
        <f ca="1">VLOOKUP(Myリゾート!$C61,OFFSET(高速化データ!$A$6,0,0,高速化データ!$A$1,106), 88, TRUE)</f>
        <v>3</v>
      </c>
      <c r="R61" s="1060">
        <f ca="1">VLOOKUP(Myリゾート!$C61,OFFSET(高速化データ!$A$6,0,0,高速化データ!$A$1,106), 89, TRUE)</f>
        <v>1440</v>
      </c>
      <c r="S61" s="1060">
        <f ca="1">VLOOKUP(Myリゾート!$C61,OFFSET(高速化データ!$A$6,0,0,高速化データ!$A$1,106), 90, TRUE)</f>
        <v>7200</v>
      </c>
      <c r="T61" s="1060">
        <f ca="1">VLOOKUP(Myリゾート!$C61,OFFSET(高速化データ!$A$6,0,0,高速化データ!$A$1,106), 91, TRUE)</f>
        <v>36</v>
      </c>
      <c r="U61" s="1067">
        <f ca="1">VLOOKUP(Myリゾート!$C61,OFFSET(高速化データ!$A$6,0,0,高速化データ!$A$1,106), 92, TRUE)</f>
        <v>180</v>
      </c>
      <c r="V61" s="1066">
        <f ca="1">VLOOKUP(Myリゾート!$C61,OFFSET(高速化データ!$A$6,0,0,高速化データ!$A$1,106), 30, TRUE)</f>
        <v>240</v>
      </c>
      <c r="W61" s="1058">
        <f ca="1">VLOOKUP(Myリゾート!$C61,OFFSET(高速化データ!$A$6,0,0,高速化データ!$A$1,106), 31, TRUE)</f>
        <v>67</v>
      </c>
      <c r="X61" s="1058">
        <f t="shared" ca="1" si="1"/>
        <v>117.7525</v>
      </c>
      <c r="Y61" s="1068">
        <f t="shared" ca="1" si="4"/>
        <v>-122.2475</v>
      </c>
      <c r="Z61" s="1061">
        <f ca="1">VLOOKUP(Myリゾート!$C61,OFFSET(高速化データ!$A$6,0,0,高速化データ!$A$1,106), 32, TRUE)</f>
        <v>3</v>
      </c>
      <c r="AA61" s="1060">
        <f ca="1">VLOOKUP(Myリゾート!$C61,OFFSET(高速化データ!$A$6,0,0,高速化データ!$A$1,106), 33, TRUE)</f>
        <v>720</v>
      </c>
      <c r="AB61" s="1060">
        <f ca="1">VLOOKUP(Myリゾート!$C61,OFFSET(高速化データ!$A$6,0,0,高速化データ!$A$1,106), 34, TRUE)</f>
        <v>3600</v>
      </c>
      <c r="AC61" s="1060">
        <f ca="1">VLOOKUP(Myリゾート!$C61,OFFSET(高速化データ!$A$6,0,0,高速化データ!$A$1,106), 35, TRUE)</f>
        <v>18</v>
      </c>
      <c r="AD61" s="1069">
        <f ca="1">VLOOKUP(Myリゾート!$C61,OFFSET(高速化データ!$A$6,0,0,高速化データ!$A$1,106), 36, TRUE)</f>
        <v>90</v>
      </c>
      <c r="AE61" s="1066">
        <f ca="1">VLOOKUP(Myリゾート!$C61,OFFSET(高速化データ!$A$6,0,0,高速化データ!$A$1,106), 16+($I61*14), TRUE)</f>
        <v>0</v>
      </c>
      <c r="AF61" s="1058">
        <f ca="1">VLOOKUP(Myリゾート!$C61,OFFSET(高速化データ!$A$6,0,0,高速化データ!$A$1,106), 17+($I61*14), TRUE)</f>
        <v>0</v>
      </c>
      <c r="AG61" s="1058">
        <f t="shared" ca="1" si="2"/>
        <v>0</v>
      </c>
      <c r="AH61" s="1068">
        <f t="shared" ca="1" si="5"/>
        <v>0</v>
      </c>
      <c r="AI61" s="1061">
        <f ca="1">VLOOKUP(Myリゾート!$C61,OFFSET(高速化データ!$A$6,0,0,高速化データ!$A$1,106), 18+($I61*14), TRUE)</f>
        <v>0</v>
      </c>
      <c r="AJ61" s="1058">
        <f ca="1">VLOOKUP(Myリゾート!$C61,OFFSET(高速化データ!$A$6,0,0,高速化データ!$A$1,106), 19+($I61*14), TRUE)</f>
        <v>0</v>
      </c>
      <c r="AK61" s="1058">
        <f ca="1">VLOOKUP(Myリゾート!$C61,OFFSET(高速化データ!$A$6,0,0,高速化データ!$A$1,106), 20+($I61*14), TRUE)</f>
        <v>0</v>
      </c>
      <c r="AL61" s="1058">
        <f ca="1">VLOOKUP(Myリゾート!$C61,OFFSET(高速化データ!$A$6,0,0,高速化データ!$A$1,106), 21+($I61*14), TRUE)</f>
        <v>0</v>
      </c>
      <c r="AM61" s="1070">
        <f ca="1">VLOOKUP(Myリゾート!$C61,OFFSET(高速化データ!$A$6,0,0,高速化データ!$A$1,106), 22+($I61*14), TRUE)</f>
        <v>0</v>
      </c>
      <c r="AN61" s="1072">
        <f ca="1">VLOOKUP(Myリゾート!$C61,OFFSET(高速化データ!$A$6,0,0,高速化データ!$A$1,106), 11, TRUE)</f>
        <v>2.5000000000000001E-2</v>
      </c>
      <c r="AO61" s="1110">
        <f ca="1">VLOOKUP(Myリゾート!$C61,OFFSET(高速化データ!$A$6,0,0,高速化データ!$A$1,106), 13, TRUE)</f>
        <v>30</v>
      </c>
      <c r="AP61" s="1073" t="str">
        <f ca="1">VLOOKUP(Myリゾート!$C61,OFFSET(高速化データ!$A$6,0,0,高速化データ!$A$1,106), 15, TRUE)</f>
        <v>A</v>
      </c>
      <c r="AQ61" s="1071" t="str">
        <f ca="1">VLOOKUP(Myリゾート!$C61,OFFSET(高速化データ!$A$6,0,0,高速化データ!$A$1,106), 9, TRUE)</f>
        <v>レベル</v>
      </c>
      <c r="AR61" s="1112">
        <f ca="1">IF($I61=5, 0,VLOOKUP(Myリゾート!$C61,OFFSET(高速化データ!$A$6,0,0,高速化データ!$A$1,106), 23+(($I61+1)*14), TRUE))</f>
        <v>3</v>
      </c>
      <c r="AS61" s="1058">
        <f ca="1">IF($I61=5, 0,VLOOKUP(Myリゾート!$C61,OFFSET(高速化データ!$A$6,0,0,高速化データ!$A$1,106), 24+(($I61+1)*14), TRUE))</f>
        <v>6000</v>
      </c>
      <c r="AT61" s="1074">
        <f ca="1">IF($I61=5, 0,VLOOKUP(Myリゾート!$C61,OFFSET(高速化データ!$A$6,0,0,高速化データ!$A$1,106), 25+(($I61+1)*14), TRUE))</f>
        <v>0</v>
      </c>
      <c r="AU61" s="1074">
        <f ca="1">IF($I61=5, 0,VLOOKUP(Myリゾート!$C61,OFFSET(高速化データ!$A$6,0,0,高速化データ!$A$1,106), 26+(($I61+1)*14), TRUE))</f>
        <v>0</v>
      </c>
      <c r="AV61" s="1074">
        <f ca="1">IF($I61=5, 0,VLOOKUP(Myリゾート!$C61,OFFSET(高速化データ!$A$6,0,0,高速化データ!$A$1,106), 27+(($I61+1)*14), TRUE))</f>
        <v>0</v>
      </c>
      <c r="AW61" s="1075">
        <f ca="1">IF($I61=5, 0,VLOOKUP(Myリゾート!$C61,OFFSET(高速化データ!$A$6,0,0,高速化データ!$A$1,106), 28+(($I61+1)*14), TRUE))</f>
        <v>0.34722222222222227</v>
      </c>
      <c r="AX61" s="1070">
        <f ca="1">IF($I61=5, 0,VLOOKUP(Myリゾート!$C61,OFFSET(高速化データ!$A$6,0,0,高速化データ!$A$1,106), 29+(($I61+1)*14), TRUE))</f>
        <v>2000</v>
      </c>
      <c r="AY61" s="1066">
        <f ca="1">IF($I61=5, 0, VLOOKUP(Myリゾート!$C61,OFFSET(高速化データ!$A$6,0,0,高速化データ!$A$1,106), 19+(($I61+1)*14), TRUE)-AJ61)</f>
        <v>720</v>
      </c>
      <c r="AZ61" s="1058">
        <f ca="1">IF($I61=5, 0, VLOOKUP(Myリゾート!$C61,OFFSET(高速化データ!$A$6,0,0,高速化データ!$A$1,106), 20+(($I61+1)*14), TRUE)-AK61)</f>
        <v>3600</v>
      </c>
      <c r="BA61" s="1076">
        <f ca="1">IF($I61=5, 0, VLOOKUP(Myリゾート!$C61,OFFSET(高速化データ!$A$6,0,0,高速化データ!$A$1,106), 17+(($I61+1)*14), TRUE)*$B$1/100-VLOOKUP(Myリゾート!$C61,OFFSET(高速化データ!$A$6,0,0,高速化データ!$A$1,106), 16+(($I61+1)*14),TRUE)-AH61)</f>
        <v>-122.2475</v>
      </c>
      <c r="BB61" s="1056">
        <f t="shared" ca="1" si="6"/>
        <v>1440</v>
      </c>
      <c r="BC61" s="1057">
        <f t="shared" ca="1" si="6"/>
        <v>7200</v>
      </c>
      <c r="BD61" s="1068">
        <f t="shared" ca="1" si="7"/>
        <v>-244.495</v>
      </c>
      <c r="BE61" s="9">
        <f t="shared" ca="1" si="8"/>
        <v>0</v>
      </c>
      <c r="BF61" s="7">
        <f t="shared" ca="1" si="8"/>
        <v>0</v>
      </c>
      <c r="BG61" s="7">
        <f t="shared" ca="1" si="9"/>
        <v>0</v>
      </c>
      <c r="BH61" s="7">
        <f t="shared" ca="1" si="9"/>
        <v>0</v>
      </c>
      <c r="BI61" s="7">
        <f t="shared" ca="1" si="9"/>
        <v>0</v>
      </c>
      <c r="BJ61" s="7">
        <f t="shared" ca="1" si="9"/>
        <v>0</v>
      </c>
      <c r="BK61" s="8">
        <f t="shared" ca="1" si="10"/>
        <v>0</v>
      </c>
    </row>
    <row r="62" spans="2:63">
      <c r="B62" s="1126" t="s">
        <v>53</v>
      </c>
      <c r="C62" s="1055">
        <f ca="1">VLOOKUP(Myリゾート!$B62,OFFSET(高速化データ!$DD$6,0,0,高速化データ!$A$1,2), 2, FALSE)</f>
        <v>26</v>
      </c>
      <c r="D62" s="59" t="str">
        <f ca="1">LEFT(VLOOKUP(Myリゾート!$C62,OFFSET(高速化データ!$A$6,0,0,高速化データ!$A$1,106), 3, TRUE),2)</f>
        <v>ホテ</v>
      </c>
      <c r="E62" s="1063" t="str">
        <f ca="1">VLOOKUP(Myリゾート!$C62,OFFSET(高速化データ!$A$6,0,0,高速化データ!$A$1,106), 4, TRUE)&amp;""</f>
        <v/>
      </c>
      <c r="F62" s="1064" t="str">
        <f ca="1">VLOOKUP(Myリゾート!$C62,OFFSET(高速化データ!$A$6,0,0,高速化データ!$A$1,106), 5, TRUE)&amp;""</f>
        <v>○</v>
      </c>
      <c r="G62" s="1064" t="str">
        <f ca="1">VLOOKUP(Myリゾート!$C62,OFFSET(高速化データ!$A$6,0,0,高速化データ!$A$1,106), 6, TRUE)&amp;""</f>
        <v/>
      </c>
      <c r="H62" s="1065" t="str">
        <f ca="1">VLOOKUP(Myリゾート!$C62,OFFSET(高速化データ!$A$6,0,0,高速化データ!$A$1,106), 7, TRUE)&amp;""</f>
        <v/>
      </c>
      <c r="I62" s="1131">
        <v>0</v>
      </c>
      <c r="J62" s="1134"/>
      <c r="K62" s="1061">
        <f ca="1">VLOOKUP(Myリゾート!$C62,OFFSET(高速化データ!$A$6,0,0,高速化データ!$A$1,106), 10, TRUE)</f>
        <v>6</v>
      </c>
      <c r="L62" s="1062">
        <f ca="1">VLOOKUP(Myリゾート!$C62,OFFSET(高速化データ!$A$6,0,0,高速化データ!$A$1,106), 12, TRUE)</f>
        <v>3.6363636363636362</v>
      </c>
      <c r="M62" s="1066">
        <f ca="1">VLOOKUP(Myリゾート!$C62,OFFSET(高速化データ!$A$6,0,0,高速化データ!$A$1,106), 86, TRUE)</f>
        <v>560</v>
      </c>
      <c r="N62" s="1058">
        <f ca="1">VLOOKUP(Myリゾート!$C62,OFFSET(高速化データ!$A$6,0,0,高速化データ!$A$1,106), 87, TRUE)</f>
        <v>154</v>
      </c>
      <c r="O62" s="1058">
        <f t="shared" ca="1" si="0"/>
        <v>270.65499999999997</v>
      </c>
      <c r="P62" s="1059">
        <f t="shared" ca="1" si="3"/>
        <v>-289.34500000000003</v>
      </c>
      <c r="Q62" s="1061">
        <f ca="1">VLOOKUP(Myリゾート!$C62,OFFSET(高速化データ!$A$6,0,0,高速化データ!$A$1,106), 88, TRUE)</f>
        <v>3</v>
      </c>
      <c r="R62" s="1060">
        <f ca="1">VLOOKUP(Myリゾート!$C62,OFFSET(高速化データ!$A$6,0,0,高速化データ!$A$1,106), 89, TRUE)</f>
        <v>1680</v>
      </c>
      <c r="S62" s="1060">
        <f ca="1">VLOOKUP(Myリゾート!$C62,OFFSET(高速化データ!$A$6,0,0,高速化データ!$A$1,106), 90, TRUE)</f>
        <v>10080</v>
      </c>
      <c r="T62" s="1060">
        <f ca="1">VLOOKUP(Myリゾート!$C62,OFFSET(高速化データ!$A$6,0,0,高速化データ!$A$1,106), 91, TRUE)</f>
        <v>42</v>
      </c>
      <c r="U62" s="1067">
        <f ca="1">VLOOKUP(Myリゾート!$C62,OFFSET(高速化データ!$A$6,0,0,高速化データ!$A$1,106), 92, TRUE)</f>
        <v>252</v>
      </c>
      <c r="V62" s="1066">
        <f ca="1">VLOOKUP(Myリゾート!$C62,OFFSET(高速化データ!$A$6,0,0,高速化データ!$A$1,106), 30, TRUE)</f>
        <v>280</v>
      </c>
      <c r="W62" s="1058">
        <f ca="1">VLOOKUP(Myリゾート!$C62,OFFSET(高速化データ!$A$6,0,0,高速化データ!$A$1,106), 31, TRUE)</f>
        <v>77</v>
      </c>
      <c r="X62" s="1058">
        <f t="shared" ca="1" si="1"/>
        <v>135.32749999999999</v>
      </c>
      <c r="Y62" s="1068">
        <f t="shared" ca="1" si="4"/>
        <v>-144.67250000000001</v>
      </c>
      <c r="Z62" s="1061">
        <f ca="1">VLOOKUP(Myリゾート!$C62,OFFSET(高速化データ!$A$6,0,0,高速化データ!$A$1,106), 32, TRUE)</f>
        <v>3</v>
      </c>
      <c r="AA62" s="1060">
        <f ca="1">VLOOKUP(Myリゾート!$C62,OFFSET(高速化データ!$A$6,0,0,高速化データ!$A$1,106), 33, TRUE)</f>
        <v>840</v>
      </c>
      <c r="AB62" s="1060">
        <f ca="1">VLOOKUP(Myリゾート!$C62,OFFSET(高速化データ!$A$6,0,0,高速化データ!$A$1,106), 34, TRUE)</f>
        <v>5040</v>
      </c>
      <c r="AC62" s="1060">
        <f ca="1">VLOOKUP(Myリゾート!$C62,OFFSET(高速化データ!$A$6,0,0,高速化データ!$A$1,106), 35, TRUE)</f>
        <v>21</v>
      </c>
      <c r="AD62" s="1069">
        <f ca="1">VLOOKUP(Myリゾート!$C62,OFFSET(高速化データ!$A$6,0,0,高速化データ!$A$1,106), 36, TRUE)</f>
        <v>126</v>
      </c>
      <c r="AE62" s="1066">
        <f ca="1">VLOOKUP(Myリゾート!$C62,OFFSET(高速化データ!$A$6,0,0,高速化データ!$A$1,106), 16+($I62*14), TRUE)</f>
        <v>0</v>
      </c>
      <c r="AF62" s="1058">
        <f ca="1">VLOOKUP(Myリゾート!$C62,OFFSET(高速化データ!$A$6,0,0,高速化データ!$A$1,106), 17+($I62*14), TRUE)</f>
        <v>0</v>
      </c>
      <c r="AG62" s="1058">
        <f t="shared" ca="1" si="2"/>
        <v>0</v>
      </c>
      <c r="AH62" s="1068">
        <f t="shared" ca="1" si="5"/>
        <v>0</v>
      </c>
      <c r="AI62" s="1061">
        <f ca="1">VLOOKUP(Myリゾート!$C62,OFFSET(高速化データ!$A$6,0,0,高速化データ!$A$1,106), 18+($I62*14), TRUE)</f>
        <v>0</v>
      </c>
      <c r="AJ62" s="1058">
        <f ca="1">VLOOKUP(Myリゾート!$C62,OFFSET(高速化データ!$A$6,0,0,高速化データ!$A$1,106), 19+($I62*14), TRUE)</f>
        <v>0</v>
      </c>
      <c r="AK62" s="1058">
        <f ca="1">VLOOKUP(Myリゾート!$C62,OFFSET(高速化データ!$A$6,0,0,高速化データ!$A$1,106), 20+($I62*14), TRUE)</f>
        <v>0</v>
      </c>
      <c r="AL62" s="1058">
        <f ca="1">VLOOKUP(Myリゾート!$C62,OFFSET(高速化データ!$A$6,0,0,高速化データ!$A$1,106), 21+($I62*14), TRUE)</f>
        <v>0</v>
      </c>
      <c r="AM62" s="1070">
        <f ca="1">VLOOKUP(Myリゾート!$C62,OFFSET(高速化データ!$A$6,0,0,高速化データ!$A$1,106), 22+($I62*14), TRUE)</f>
        <v>0</v>
      </c>
      <c r="AN62" s="1072">
        <f ca="1">VLOOKUP(Myリゾート!$C62,OFFSET(高速化データ!$A$6,0,0,高速化データ!$A$1,106), 11, TRUE)</f>
        <v>2.5000000000000001E-2</v>
      </c>
      <c r="AO62" s="1110">
        <f ca="1">VLOOKUP(Myリゾート!$C62,OFFSET(高速化データ!$A$6,0,0,高速化データ!$A$1,106), 13, TRUE)</f>
        <v>30</v>
      </c>
      <c r="AP62" s="1073" t="str">
        <f ca="1">VLOOKUP(Myリゾート!$C62,OFFSET(高速化データ!$A$6,0,0,高速化データ!$A$1,106), 15, TRUE)</f>
        <v>A</v>
      </c>
      <c r="AQ62" s="1071" t="str">
        <f ca="1">VLOOKUP(Myリゾート!$C62,OFFSET(高速化データ!$A$6,0,0,高速化データ!$A$1,106), 9, TRUE)</f>
        <v>レベル</v>
      </c>
      <c r="AR62" s="1112">
        <f ca="1">IF($I62=5, 0,VLOOKUP(Myリゾート!$C62,OFFSET(高速化データ!$A$6,0,0,高速化データ!$A$1,106), 23+(($I62+1)*14), TRUE))</f>
        <v>10</v>
      </c>
      <c r="AS62" s="1058">
        <f ca="1">IF($I62=5, 0,VLOOKUP(Myリゾート!$C62,OFFSET(高速化データ!$A$6,0,0,高速化データ!$A$1,106), 24+(($I62+1)*14), TRUE))</f>
        <v>40000</v>
      </c>
      <c r="AT62" s="1074">
        <f ca="1">IF($I62=5, 0,VLOOKUP(Myリゾート!$C62,OFFSET(高速化データ!$A$6,0,0,高速化データ!$A$1,106), 25+(($I62+1)*14), TRUE))</f>
        <v>0</v>
      </c>
      <c r="AU62" s="1074">
        <f ca="1">IF($I62=5, 0,VLOOKUP(Myリゾート!$C62,OFFSET(高速化データ!$A$6,0,0,高速化データ!$A$1,106), 26+(($I62+1)*14), TRUE))</f>
        <v>0</v>
      </c>
      <c r="AV62" s="1074">
        <f ca="1">IF($I62=5, 0,VLOOKUP(Myリゾート!$C62,OFFSET(高速化データ!$A$6,0,0,高速化データ!$A$1,106), 27+(($I62+1)*14), TRUE))</f>
        <v>0</v>
      </c>
      <c r="AW62" s="1075">
        <f ca="1">IF($I62=5, 0,VLOOKUP(Myリゾート!$C62,OFFSET(高速化データ!$A$6,0,0,高速化データ!$A$1,106), 28+(($I62+1)*14), TRUE))</f>
        <v>1.9841269841269842</v>
      </c>
      <c r="AX62" s="1070">
        <f ca="1">IF($I62=5, 0,VLOOKUP(Myリゾート!$C62,OFFSET(高速化データ!$A$6,0,0,高速化データ!$A$1,106), 29+(($I62+1)*14), TRUE))</f>
        <v>4000</v>
      </c>
      <c r="AY62" s="1066">
        <f ca="1">IF($I62=5, 0, VLOOKUP(Myリゾート!$C62,OFFSET(高速化データ!$A$6,0,0,高速化データ!$A$1,106), 19+(($I62+1)*14), TRUE)-AJ62)</f>
        <v>840</v>
      </c>
      <c r="AZ62" s="1058">
        <f ca="1">IF($I62=5, 0, VLOOKUP(Myリゾート!$C62,OFFSET(高速化データ!$A$6,0,0,高速化データ!$A$1,106), 20+(($I62+1)*14), TRUE)-AK62)</f>
        <v>5040</v>
      </c>
      <c r="BA62" s="1076">
        <f ca="1">IF($I62=5, 0, VLOOKUP(Myリゾート!$C62,OFFSET(高速化データ!$A$6,0,0,高速化データ!$A$1,106), 17+(($I62+1)*14), TRUE)*$B$1/100-VLOOKUP(Myリゾート!$C62,OFFSET(高速化データ!$A$6,0,0,高速化データ!$A$1,106), 16+(($I62+1)*14),TRUE)-AH62)</f>
        <v>-144.67250000000001</v>
      </c>
      <c r="BB62" s="1056">
        <f t="shared" ca="1" si="6"/>
        <v>1680</v>
      </c>
      <c r="BC62" s="1057">
        <f t="shared" ca="1" si="6"/>
        <v>10080</v>
      </c>
      <c r="BD62" s="1068">
        <f t="shared" ca="1" si="7"/>
        <v>-289.34500000000003</v>
      </c>
      <c r="BE62" s="9">
        <f t="shared" ca="1" si="8"/>
        <v>0</v>
      </c>
      <c r="BF62" s="7">
        <f t="shared" ca="1" si="8"/>
        <v>0</v>
      </c>
      <c r="BG62" s="7">
        <f t="shared" ca="1" si="9"/>
        <v>0</v>
      </c>
      <c r="BH62" s="7">
        <f t="shared" ca="1" si="9"/>
        <v>0</v>
      </c>
      <c r="BI62" s="7">
        <f t="shared" ca="1" si="9"/>
        <v>0</v>
      </c>
      <c r="BJ62" s="7">
        <f t="shared" ca="1" si="9"/>
        <v>0</v>
      </c>
      <c r="BK62" s="8">
        <f t="shared" ca="1" si="10"/>
        <v>0</v>
      </c>
    </row>
    <row r="63" spans="2:63">
      <c r="B63" s="1126" t="s">
        <v>82</v>
      </c>
      <c r="C63" s="1055">
        <f ca="1">VLOOKUP(Myリゾート!$B63,OFFSET(高速化データ!$DD$6,0,0,高速化データ!$A$1,2), 2, FALSE)</f>
        <v>36</v>
      </c>
      <c r="D63" s="59" t="str">
        <f ca="1">LEFT(VLOOKUP(Myリゾート!$C63,OFFSET(高速化データ!$A$6,0,0,高速化データ!$A$1,106), 3, TRUE),2)</f>
        <v>ホテ</v>
      </c>
      <c r="E63" s="1063" t="str">
        <f ca="1">VLOOKUP(Myリゾート!$C63,OFFSET(高速化データ!$A$6,0,0,高速化データ!$A$1,106), 4, TRUE)&amp;""</f>
        <v/>
      </c>
      <c r="F63" s="1064" t="str">
        <f ca="1">VLOOKUP(Myリゾート!$C63,OFFSET(高速化データ!$A$6,0,0,高速化データ!$A$1,106), 5, TRUE)&amp;""</f>
        <v>○</v>
      </c>
      <c r="G63" s="1064" t="str">
        <f ca="1">VLOOKUP(Myリゾート!$C63,OFFSET(高速化データ!$A$6,0,0,高速化データ!$A$1,106), 6, TRUE)&amp;""</f>
        <v/>
      </c>
      <c r="H63" s="1065" t="str">
        <f ca="1">VLOOKUP(Myリゾート!$C63,OFFSET(高速化データ!$A$6,0,0,高速化データ!$A$1,106), 7, TRUE)&amp;""</f>
        <v/>
      </c>
      <c r="I63" s="1131">
        <v>2</v>
      </c>
      <c r="J63" s="1134"/>
      <c r="K63" s="1061">
        <f ca="1">VLOOKUP(Myリゾート!$C63,OFFSET(高速化データ!$A$6,0,0,高速化データ!$A$1,106), 10, TRUE)</f>
        <v>7</v>
      </c>
      <c r="L63" s="1062">
        <f ca="1">VLOOKUP(Myリゾート!$C63,OFFSET(高速化データ!$A$6,0,0,高速化データ!$A$1,106), 12, TRUE)</f>
        <v>3.7647058823529411</v>
      </c>
      <c r="M63" s="1066">
        <f ca="1">VLOOKUP(Myリゾート!$C63,OFFSET(高速化データ!$A$6,0,0,高速化データ!$A$1,106), 86, TRUE)</f>
        <v>640</v>
      </c>
      <c r="N63" s="1058">
        <f ca="1">VLOOKUP(Myリゾート!$C63,OFFSET(高速化データ!$A$6,0,0,高速化データ!$A$1,106), 87, TRUE)</f>
        <v>170</v>
      </c>
      <c r="O63" s="1058">
        <f t="shared" ca="1" si="0"/>
        <v>298.77499999999998</v>
      </c>
      <c r="P63" s="1059">
        <f t="shared" ca="1" si="3"/>
        <v>-341.22500000000002</v>
      </c>
      <c r="Q63" s="1061">
        <f ca="1">VLOOKUP(Myリゾート!$C63,OFFSET(高速化データ!$A$6,0,0,高速化データ!$A$1,106), 88, TRUE)</f>
        <v>4</v>
      </c>
      <c r="R63" s="1060">
        <f ca="1">VLOOKUP(Myリゾート!$C63,OFFSET(高速化データ!$A$6,0,0,高速化データ!$A$1,106), 89, TRUE)</f>
        <v>2560</v>
      </c>
      <c r="S63" s="1060">
        <f ca="1">VLOOKUP(Myリゾート!$C63,OFFSET(高速化データ!$A$6,0,0,高速化データ!$A$1,106), 90, TRUE)</f>
        <v>17920</v>
      </c>
      <c r="T63" s="1060">
        <f ca="1">VLOOKUP(Myリゾート!$C63,OFFSET(高速化データ!$A$6,0,0,高速化データ!$A$1,106), 91, TRUE)</f>
        <v>64</v>
      </c>
      <c r="U63" s="1067">
        <f ca="1">VLOOKUP(Myリゾート!$C63,OFFSET(高速化データ!$A$6,0,0,高速化データ!$A$1,106), 92, TRUE)</f>
        <v>448</v>
      </c>
      <c r="V63" s="1066">
        <f ca="1">VLOOKUP(Myリゾート!$C63,OFFSET(高速化データ!$A$6,0,0,高速化データ!$A$1,106), 30, TRUE)</f>
        <v>320</v>
      </c>
      <c r="W63" s="1058">
        <f ca="1">VLOOKUP(Myリゾート!$C63,OFFSET(高速化データ!$A$6,0,0,高速化データ!$A$1,106), 31, TRUE)</f>
        <v>85</v>
      </c>
      <c r="X63" s="1058">
        <f t="shared" ca="1" si="1"/>
        <v>149.38749999999999</v>
      </c>
      <c r="Y63" s="1068">
        <f t="shared" ca="1" si="4"/>
        <v>-170.61250000000001</v>
      </c>
      <c r="Z63" s="1061">
        <f ca="1">VLOOKUP(Myリゾート!$C63,OFFSET(高速化データ!$A$6,0,0,高速化データ!$A$1,106), 32, TRUE)</f>
        <v>4</v>
      </c>
      <c r="AA63" s="1060">
        <f ca="1">VLOOKUP(Myリゾート!$C63,OFFSET(高速化データ!$A$6,0,0,高速化データ!$A$1,106), 33, TRUE)</f>
        <v>1280</v>
      </c>
      <c r="AB63" s="1060">
        <f ca="1">VLOOKUP(Myリゾート!$C63,OFFSET(高速化データ!$A$6,0,0,高速化データ!$A$1,106), 34, TRUE)</f>
        <v>8960</v>
      </c>
      <c r="AC63" s="1060">
        <f ca="1">VLOOKUP(Myリゾート!$C63,OFFSET(高速化データ!$A$6,0,0,高速化データ!$A$1,106), 35, TRUE)</f>
        <v>32</v>
      </c>
      <c r="AD63" s="1069">
        <f ca="1">VLOOKUP(Myリゾート!$C63,OFFSET(高速化データ!$A$6,0,0,高速化データ!$A$1,106), 36, TRUE)</f>
        <v>224</v>
      </c>
      <c r="AE63" s="1066">
        <f ca="1">VLOOKUP(Myリゾート!$C63,OFFSET(高速化データ!$A$6,0,0,高速化データ!$A$1,106), 16+($I63*14), TRUE)</f>
        <v>480</v>
      </c>
      <c r="AF63" s="1058">
        <f ca="1">VLOOKUP(Myリゾート!$C63,OFFSET(高速化データ!$A$6,0,0,高速化データ!$A$1,106), 17+($I63*14), TRUE)</f>
        <v>127</v>
      </c>
      <c r="AG63" s="1058">
        <f t="shared" ca="1" si="2"/>
        <v>223.20249999999999</v>
      </c>
      <c r="AH63" s="1068">
        <f t="shared" ca="1" si="5"/>
        <v>-256.79750000000001</v>
      </c>
      <c r="AI63" s="1061">
        <f ca="1">VLOOKUP(Myリゾート!$C63,OFFSET(高速化データ!$A$6,0,0,高速化データ!$A$1,106), 18+($I63*14), TRUE)</f>
        <v>4</v>
      </c>
      <c r="AJ63" s="1058">
        <f ca="1">VLOOKUP(Myリゾート!$C63,OFFSET(高速化データ!$A$6,0,0,高速化データ!$A$1,106), 19+($I63*14), TRUE)</f>
        <v>1920</v>
      </c>
      <c r="AK63" s="1058">
        <f ca="1">VLOOKUP(Myリゾート!$C63,OFFSET(高速化データ!$A$6,0,0,高速化データ!$A$1,106), 20+($I63*14), TRUE)</f>
        <v>13440</v>
      </c>
      <c r="AL63" s="1058">
        <f ca="1">VLOOKUP(Myリゾート!$C63,OFFSET(高速化データ!$A$6,0,0,高速化データ!$A$1,106), 21+($I63*14), TRUE)</f>
        <v>48</v>
      </c>
      <c r="AM63" s="1070">
        <f ca="1">VLOOKUP(Myリゾート!$C63,OFFSET(高速化データ!$A$6,0,0,高速化データ!$A$1,106), 22+($I63*14), TRUE)</f>
        <v>336</v>
      </c>
      <c r="AN63" s="1072">
        <f ca="1">VLOOKUP(Myリゾート!$C63,OFFSET(高速化データ!$A$6,0,0,高速化データ!$A$1,106), 11, TRUE)</f>
        <v>2.5000000000000001E-2</v>
      </c>
      <c r="AO63" s="1110">
        <f ca="1">VLOOKUP(Myリゾート!$C63,OFFSET(高速化データ!$A$6,0,0,高速化データ!$A$1,106), 13, TRUE)</f>
        <v>30</v>
      </c>
      <c r="AP63" s="1073" t="str">
        <f ca="1">VLOOKUP(Myリゾート!$C63,OFFSET(高速化データ!$A$6,0,0,高速化データ!$A$1,106), 15, TRUE)</f>
        <v>A</v>
      </c>
      <c r="AQ63" s="1071" t="str">
        <f ca="1">VLOOKUP(Myリゾート!$C63,OFFSET(高速化データ!$A$6,0,0,高速化データ!$A$1,106), 9, TRUE)</f>
        <v>レベル</v>
      </c>
      <c r="AR63" s="1112">
        <f ca="1">IF($I63=5, 0,VLOOKUP(Myリゾート!$C63,OFFSET(高速化データ!$A$6,0,0,高速化データ!$A$1,106), 23+(($I63+1)*14), TRUE))</f>
        <v>24</v>
      </c>
      <c r="AS63" s="1058">
        <f ca="1">IF($I63=5, 0,VLOOKUP(Myリゾート!$C63,OFFSET(高速化データ!$A$6,0,0,高速化データ!$A$1,106), 24+(($I63+1)*14), TRUE))</f>
        <v>375000</v>
      </c>
      <c r="AT63" s="1074">
        <f ca="1">IF($I63=5, 0,VLOOKUP(Myリゾート!$C63,OFFSET(高速化データ!$A$6,0,0,高速化データ!$A$1,106), 25+(($I63+1)*14), TRUE))</f>
        <v>1</v>
      </c>
      <c r="AU63" s="1074">
        <f ca="1">IF($I63=5, 0,VLOOKUP(Myリゾート!$C63,OFFSET(高速化データ!$A$6,0,0,高速化データ!$A$1,106), 26+(($I63+1)*14), TRUE))</f>
        <v>0</v>
      </c>
      <c r="AV63" s="1074">
        <f ca="1">IF($I63=5, 0,VLOOKUP(Myリゾート!$C63,OFFSET(高速化データ!$A$6,0,0,高速化データ!$A$1,106), 27+(($I63+1)*14), TRUE))</f>
        <v>0</v>
      </c>
      <c r="AW63" s="1075">
        <f ca="1">IF($I63=5, 0,VLOOKUP(Myリゾート!$C63,OFFSET(高速化データ!$A$6,0,0,高速化データ!$A$1,106), 28+(($I63+1)*14), TRUE))</f>
        <v>7.8325892857142856</v>
      </c>
      <c r="AX63" s="1070">
        <f ca="1">IF($I63=5, 0,VLOOKUP(Myリゾート!$C63,OFFSET(高速化データ!$A$6,0,0,高速化データ!$A$1,106), 29+(($I63+1)*14), TRUE))</f>
        <v>15625</v>
      </c>
      <c r="AY63" s="1066">
        <f ca="1">IF($I63=5, 0, VLOOKUP(Myリゾート!$C63,OFFSET(高速化データ!$A$6,0,0,高速化データ!$A$1,106), 19+(($I63+1)*14), TRUE)-AJ63)</f>
        <v>320</v>
      </c>
      <c r="AZ63" s="1058">
        <f ca="1">IF($I63=5, 0, VLOOKUP(Myリゾート!$C63,OFFSET(高速化データ!$A$6,0,0,高速化データ!$A$1,106), 20+(($I63+1)*14), TRUE)-AK63)</f>
        <v>2240</v>
      </c>
      <c r="BA63" s="1076">
        <f ca="1">IF($I63=5, 0, VLOOKUP(Myリゾート!$C63,OFFSET(高速化データ!$A$6,0,0,高速化データ!$A$1,106), 17+(($I63+1)*14), TRUE)*$B$1/100-VLOOKUP(Myリゾート!$C63,OFFSET(高速化データ!$A$6,0,0,高速化データ!$A$1,106), 16+(($I63+1)*14),TRUE)-AH63)</f>
        <v>-43.092499999999973</v>
      </c>
      <c r="BB63" s="1056">
        <f t="shared" ca="1" si="6"/>
        <v>640</v>
      </c>
      <c r="BC63" s="1057">
        <f t="shared" ca="1" si="6"/>
        <v>4480</v>
      </c>
      <c r="BD63" s="1068">
        <f t="shared" ca="1" si="7"/>
        <v>-84.427500000000009</v>
      </c>
      <c r="BE63" s="9">
        <f t="shared" ca="1" si="8"/>
        <v>480</v>
      </c>
      <c r="BF63" s="7">
        <f t="shared" ca="1" si="8"/>
        <v>127</v>
      </c>
      <c r="BG63" s="7">
        <f t="shared" ca="1" si="9"/>
        <v>1920</v>
      </c>
      <c r="BH63" s="7">
        <f t="shared" ca="1" si="9"/>
        <v>13440</v>
      </c>
      <c r="BI63" s="7">
        <f t="shared" ca="1" si="9"/>
        <v>48</v>
      </c>
      <c r="BJ63" s="7">
        <f t="shared" ca="1" si="9"/>
        <v>336</v>
      </c>
      <c r="BK63" s="8">
        <f t="shared" ca="1" si="10"/>
        <v>480</v>
      </c>
    </row>
    <row r="64" spans="2:63">
      <c r="B64" s="1126" t="s">
        <v>80</v>
      </c>
      <c r="C64" s="1055">
        <f ca="1">VLOOKUP(Myリゾート!$B64,OFFSET(高速化データ!$DD$6,0,0,高速化データ!$A$1,2), 2, FALSE)</f>
        <v>48</v>
      </c>
      <c r="D64" s="59" t="str">
        <f ca="1">LEFT(VLOOKUP(Myリゾート!$C64,OFFSET(高速化データ!$A$6,0,0,高速化データ!$A$1,106), 3, TRUE),2)</f>
        <v>ホテ</v>
      </c>
      <c r="E64" s="1063" t="str">
        <f ca="1">VLOOKUP(Myリゾート!$C64,OFFSET(高速化データ!$A$6,0,0,高速化データ!$A$1,106), 4, TRUE)&amp;""</f>
        <v>○</v>
      </c>
      <c r="F64" s="1064" t="str">
        <f ca="1">VLOOKUP(Myリゾート!$C64,OFFSET(高速化データ!$A$6,0,0,高速化データ!$A$1,106), 5, TRUE)&amp;""</f>
        <v>○</v>
      </c>
      <c r="G64" s="1064" t="str">
        <f ca="1">VLOOKUP(Myリゾート!$C64,OFFSET(高速化データ!$A$6,0,0,高速化データ!$A$1,106), 6, TRUE)&amp;""</f>
        <v/>
      </c>
      <c r="H64" s="1065" t="str">
        <f ca="1">VLOOKUP(Myリゾート!$C64,OFFSET(高速化データ!$A$6,0,0,高速化データ!$A$1,106), 7, TRUE)&amp;""</f>
        <v/>
      </c>
      <c r="I64" s="1131">
        <v>4</v>
      </c>
      <c r="J64" s="1134"/>
      <c r="K64" s="1061">
        <f ca="1">VLOOKUP(Myリゾート!$C64,OFFSET(高速化データ!$A$6,0,0,高速化データ!$A$1,106), 10, TRUE)</f>
        <v>8</v>
      </c>
      <c r="L64" s="1062">
        <f ca="1">VLOOKUP(Myリゾート!$C64,OFFSET(高速化データ!$A$6,0,0,高速化データ!$A$1,106), 12, TRUE)</f>
        <v>4.3428571428571425</v>
      </c>
      <c r="M64" s="1066">
        <f ca="1">VLOOKUP(Myリゾート!$C64,OFFSET(高速化データ!$A$6,0,0,高速化データ!$A$1,106), 86, TRUE)</f>
        <v>1520</v>
      </c>
      <c r="N64" s="1058">
        <f ca="1">VLOOKUP(Myリゾート!$C64,OFFSET(高速化データ!$A$6,0,0,高速化データ!$A$1,106), 87, TRUE)</f>
        <v>350</v>
      </c>
      <c r="O64" s="1058">
        <f t="shared" ca="1" si="0"/>
        <v>615.125</v>
      </c>
      <c r="P64" s="1059">
        <f t="shared" ca="1" si="3"/>
        <v>-904.875</v>
      </c>
      <c r="Q64" s="1061">
        <f ca="1">VLOOKUP(Myリゾート!$C64,OFFSET(高速化データ!$A$6,0,0,高速化データ!$A$1,106), 88, TRUE)</f>
        <v>9</v>
      </c>
      <c r="R64" s="1060">
        <f ca="1">VLOOKUP(Myリゾート!$C64,OFFSET(高速化データ!$A$6,0,0,高速化データ!$A$1,106), 89, TRUE)</f>
        <v>13680</v>
      </c>
      <c r="S64" s="1060">
        <f ca="1">VLOOKUP(Myリゾート!$C64,OFFSET(高速化データ!$A$6,0,0,高速化データ!$A$1,106), 90, TRUE)</f>
        <v>109440</v>
      </c>
      <c r="T64" s="1060">
        <f ca="1">VLOOKUP(Myリゾート!$C64,OFFSET(高速化データ!$A$6,0,0,高速化データ!$A$1,106), 91, TRUE)</f>
        <v>342</v>
      </c>
      <c r="U64" s="1067">
        <f ca="1">VLOOKUP(Myリゾート!$C64,OFFSET(高速化データ!$A$6,0,0,高速化データ!$A$1,106), 92, TRUE)</f>
        <v>2736</v>
      </c>
      <c r="V64" s="1066">
        <f ca="1">VLOOKUP(Myリゾート!$C64,OFFSET(高速化データ!$A$6,0,0,高速化データ!$A$1,106), 30, TRUE)</f>
        <v>760</v>
      </c>
      <c r="W64" s="1058">
        <f ca="1">VLOOKUP(Myリゾート!$C64,OFFSET(高速化データ!$A$6,0,0,高速化データ!$A$1,106), 31, TRUE)</f>
        <v>175</v>
      </c>
      <c r="X64" s="1058">
        <f t="shared" ca="1" si="1"/>
        <v>307.5625</v>
      </c>
      <c r="Y64" s="1068">
        <f t="shared" ca="1" si="4"/>
        <v>-452.4375</v>
      </c>
      <c r="Z64" s="1061">
        <f ca="1">VLOOKUP(Myリゾート!$C64,OFFSET(高速化データ!$A$6,0,0,高速化データ!$A$1,106), 32, TRUE)</f>
        <v>8</v>
      </c>
      <c r="AA64" s="1060">
        <f ca="1">VLOOKUP(Myリゾート!$C64,OFFSET(高速化データ!$A$6,0,0,高速化データ!$A$1,106), 33, TRUE)</f>
        <v>6080</v>
      </c>
      <c r="AB64" s="1060">
        <f ca="1">VLOOKUP(Myリゾート!$C64,OFFSET(高速化データ!$A$6,0,0,高速化データ!$A$1,106), 34, TRUE)</f>
        <v>48640</v>
      </c>
      <c r="AC64" s="1060">
        <f ca="1">VLOOKUP(Myリゾート!$C64,OFFSET(高速化データ!$A$6,0,0,高速化データ!$A$1,106), 35, TRUE)</f>
        <v>152</v>
      </c>
      <c r="AD64" s="1069">
        <f ca="1">VLOOKUP(Myリゾート!$C64,OFFSET(高速化データ!$A$6,0,0,高速化データ!$A$1,106), 36, TRUE)</f>
        <v>1216</v>
      </c>
      <c r="AE64" s="1066">
        <f ca="1">VLOOKUP(Myリゾート!$C64,OFFSET(高速化データ!$A$6,0,0,高速化データ!$A$1,106), 16+($I64*14), TRUE)</f>
        <v>1444</v>
      </c>
      <c r="AF64" s="1058">
        <f ca="1">VLOOKUP(Myリゾート!$C64,OFFSET(高速化データ!$A$6,0,0,高速化データ!$A$1,106), 17+($I64*14), TRUE)</f>
        <v>332</v>
      </c>
      <c r="AG64" s="1058">
        <f t="shared" ca="1" si="2"/>
        <v>583.49</v>
      </c>
      <c r="AH64" s="1068">
        <f t="shared" ca="1" si="5"/>
        <v>-860.51</v>
      </c>
      <c r="AI64" s="1061">
        <f ca="1">VLOOKUP(Myリゾート!$C64,OFFSET(高速化データ!$A$6,0,0,高速化データ!$A$1,106), 18+($I64*14), TRUE)</f>
        <v>9</v>
      </c>
      <c r="AJ64" s="1058">
        <f ca="1">VLOOKUP(Myリゾート!$C64,OFFSET(高速化データ!$A$6,0,0,高速化データ!$A$1,106), 19+($I64*14), TRUE)</f>
        <v>12996</v>
      </c>
      <c r="AK64" s="1058">
        <f ca="1">VLOOKUP(Myリゾート!$C64,OFFSET(高速化データ!$A$6,0,0,高速化データ!$A$1,106), 20+($I64*14), TRUE)</f>
        <v>103968</v>
      </c>
      <c r="AL64" s="1058">
        <f ca="1">VLOOKUP(Myリゾート!$C64,OFFSET(高速化データ!$A$6,0,0,高速化データ!$A$1,106), 21+($I64*14), TRUE)</f>
        <v>324</v>
      </c>
      <c r="AM64" s="1070">
        <f ca="1">VLOOKUP(Myリゾート!$C64,OFFSET(高速化データ!$A$6,0,0,高速化データ!$A$1,106), 22+($I64*14), TRUE)</f>
        <v>2599</v>
      </c>
      <c r="AN64" s="1072">
        <f ca="1">VLOOKUP(Myリゾート!$C64,OFFSET(高速化データ!$A$6,0,0,高速化データ!$A$1,106), 11, TRUE)</f>
        <v>2.5000000000000001E-2</v>
      </c>
      <c r="AO64" s="1110">
        <f ca="1">VLOOKUP(Myリゾート!$C64,OFFSET(高速化データ!$A$6,0,0,高速化データ!$A$1,106), 13, TRUE)</f>
        <v>30</v>
      </c>
      <c r="AP64" s="1073" t="str">
        <f ca="1">VLOOKUP(Myリゾート!$C64,OFFSET(高速化データ!$A$6,0,0,高速化データ!$A$1,106), 15, TRUE)</f>
        <v>A</v>
      </c>
      <c r="AQ64" s="1071" t="str">
        <f ca="1">VLOOKUP(Myリゾート!$C64,OFFSET(高速化データ!$A$6,0,0,高速化データ!$A$1,106), 9, TRUE)</f>
        <v>レベル</v>
      </c>
      <c r="AR64" s="1112">
        <f ca="1">IF($I64=5, 0,VLOOKUP(Myリゾート!$C64,OFFSET(高速化データ!$A$6,0,0,高速化データ!$A$1,106), 23+(($I64+1)*14), TRUE))</f>
        <v>120</v>
      </c>
      <c r="AS64" s="1058">
        <f ca="1">IF($I64=5, 0,VLOOKUP(Myリゾート!$C64,OFFSET(高速化データ!$A$6,0,0,高速化データ!$A$1,106), 24+(($I64+1)*14), TRUE))</f>
        <v>7500000</v>
      </c>
      <c r="AT64" s="1074">
        <f ca="1">IF($I64=5, 0,VLOOKUP(Myリゾート!$C64,OFFSET(高速化データ!$A$6,0,0,高速化データ!$A$1,106), 25+(($I64+1)*14), TRUE))</f>
        <v>0</v>
      </c>
      <c r="AU64" s="1074">
        <f ca="1">IF($I64=5, 0,VLOOKUP(Myリゾート!$C64,OFFSET(高速化データ!$A$6,0,0,高速化データ!$A$1,106), 26+(($I64+1)*14), TRUE))</f>
        <v>1</v>
      </c>
      <c r="AV64" s="1074">
        <f ca="1">IF($I64=5, 0,VLOOKUP(Myリゾート!$C64,OFFSET(高速化データ!$A$6,0,0,高速化データ!$A$1,106), 27+(($I64+1)*14), TRUE))</f>
        <v>0</v>
      </c>
      <c r="AW64" s="1075">
        <f ca="1">IF($I64=5, 0,VLOOKUP(Myリゾート!$C64,OFFSET(高速化データ!$A$6,0,0,高速化データ!$A$1,106), 28+(($I64+1)*14), TRUE))</f>
        <v>27.593567251461987</v>
      </c>
      <c r="AX64" s="1070">
        <f ca="1">IF($I64=5, 0,VLOOKUP(Myリゾート!$C64,OFFSET(高速化データ!$A$6,0,0,高速化データ!$A$1,106), 29+(($I64+1)*14), TRUE))</f>
        <v>62500</v>
      </c>
      <c r="AY64" s="1066">
        <f ca="1">IF($I64=5, 0, VLOOKUP(Myリゾート!$C64,OFFSET(高速化データ!$A$6,0,0,高速化データ!$A$1,106), 19+(($I64+1)*14), TRUE)-AJ64)</f>
        <v>684</v>
      </c>
      <c r="AZ64" s="1058">
        <f ca="1">IF($I64=5, 0, VLOOKUP(Myリゾート!$C64,OFFSET(高速化データ!$A$6,0,0,高速化データ!$A$1,106), 20+(($I64+1)*14), TRUE)-AK64)</f>
        <v>5472</v>
      </c>
      <c r="BA64" s="1076">
        <f ca="1">IF($I64=5, 0, VLOOKUP(Myリゾート!$C64,OFFSET(高速化データ!$A$6,0,0,高速化データ!$A$1,106), 17+(($I64+1)*14), TRUE)*$B$1/100-VLOOKUP(Myリゾート!$C64,OFFSET(高速化データ!$A$6,0,0,高速化データ!$A$1,106), 16+(($I64+1)*14),TRUE)-AH64)</f>
        <v>-44.365000000000009</v>
      </c>
      <c r="BB64" s="1056">
        <f t="shared" ca="1" si="6"/>
        <v>684</v>
      </c>
      <c r="BC64" s="1057">
        <f t="shared" ca="1" si="6"/>
        <v>5472</v>
      </c>
      <c r="BD64" s="1068">
        <f t="shared" ca="1" si="7"/>
        <v>-44.365000000000009</v>
      </c>
      <c r="BE64" s="9">
        <f t="shared" ca="1" si="8"/>
        <v>1444</v>
      </c>
      <c r="BF64" s="7">
        <f t="shared" ca="1" si="8"/>
        <v>332</v>
      </c>
      <c r="BG64" s="7">
        <f t="shared" ca="1" si="9"/>
        <v>12996</v>
      </c>
      <c r="BH64" s="7">
        <f t="shared" ca="1" si="9"/>
        <v>103968</v>
      </c>
      <c r="BI64" s="7">
        <f t="shared" ca="1" si="9"/>
        <v>324</v>
      </c>
      <c r="BJ64" s="7">
        <f t="shared" ca="1" si="9"/>
        <v>2599</v>
      </c>
      <c r="BK64" s="8">
        <f t="shared" ca="1" si="10"/>
        <v>1444</v>
      </c>
    </row>
    <row r="65" spans="2:63">
      <c r="B65" s="1126" t="s">
        <v>108</v>
      </c>
      <c r="C65" s="1055">
        <f ca="1">VLOOKUP(Myリゾート!$B65,OFFSET(高速化データ!$DD$6,0,0,高速化データ!$A$1,2), 2, FALSE)</f>
        <v>64</v>
      </c>
      <c r="D65" s="59" t="str">
        <f ca="1">LEFT(VLOOKUP(Myリゾート!$C65,OFFSET(高速化データ!$A$6,0,0,高速化データ!$A$1,106), 3, TRUE),2)</f>
        <v>ホテ</v>
      </c>
      <c r="E65" s="1063" t="str">
        <f ca="1">VLOOKUP(Myリゾート!$C65,OFFSET(高速化データ!$A$6,0,0,高速化データ!$A$1,106), 4, TRUE)&amp;""</f>
        <v>○</v>
      </c>
      <c r="F65" s="1064" t="str">
        <f ca="1">VLOOKUP(Myリゾート!$C65,OFFSET(高速化データ!$A$6,0,0,高速化データ!$A$1,106), 5, TRUE)&amp;""</f>
        <v>○</v>
      </c>
      <c r="G65" s="1064" t="str">
        <f ca="1">VLOOKUP(Myリゾート!$C65,OFFSET(高速化データ!$A$6,0,0,高速化データ!$A$1,106), 6, TRUE)&amp;""</f>
        <v/>
      </c>
      <c r="H65" s="1065" t="str">
        <f ca="1">VLOOKUP(Myリゾート!$C65,OFFSET(高速化データ!$A$6,0,0,高速化データ!$A$1,106), 7, TRUE)&amp;""</f>
        <v/>
      </c>
      <c r="I65" s="1131">
        <v>5</v>
      </c>
      <c r="J65" s="1134"/>
      <c r="K65" s="1061">
        <f ca="1">VLOOKUP(Myリゾート!$C65,OFFSET(高速化データ!$A$6,0,0,高速化データ!$A$1,106), 10, TRUE)</f>
        <v>9</v>
      </c>
      <c r="L65" s="1062">
        <f ca="1">VLOOKUP(Myリゾート!$C65,OFFSET(高速化データ!$A$6,0,0,高速化データ!$A$1,106), 12, TRUE)</f>
        <v>4.9438202247191008</v>
      </c>
      <c r="M65" s="1066">
        <f ca="1">VLOOKUP(Myリゾート!$C65,OFFSET(高速化データ!$A$6,0,0,高速化データ!$A$1,106), 86, TRUE)</f>
        <v>1760</v>
      </c>
      <c r="N65" s="1058">
        <f ca="1">VLOOKUP(Myリゾート!$C65,OFFSET(高速化データ!$A$6,0,0,高速化データ!$A$1,106), 87, TRUE)</f>
        <v>356</v>
      </c>
      <c r="O65" s="1058">
        <f t="shared" ca="1" si="0"/>
        <v>625.66999999999996</v>
      </c>
      <c r="P65" s="1059">
        <f t="shared" ca="1" si="3"/>
        <v>-1134.33</v>
      </c>
      <c r="Q65" s="1061">
        <f ca="1">VLOOKUP(Myリゾート!$C65,OFFSET(高速化データ!$A$6,0,0,高速化データ!$A$1,106), 88, TRUE)</f>
        <v>10</v>
      </c>
      <c r="R65" s="1060">
        <f ca="1">VLOOKUP(Myリゾート!$C65,OFFSET(高速化データ!$A$6,0,0,高速化データ!$A$1,106), 89, TRUE)</f>
        <v>17600</v>
      </c>
      <c r="S65" s="1060">
        <f ca="1">VLOOKUP(Myリゾート!$C65,OFFSET(高速化データ!$A$6,0,0,高速化データ!$A$1,106), 90, TRUE)</f>
        <v>158400</v>
      </c>
      <c r="T65" s="1060">
        <f ca="1">VLOOKUP(Myリゾート!$C65,OFFSET(高速化データ!$A$6,0,0,高速化データ!$A$1,106), 91, TRUE)</f>
        <v>440</v>
      </c>
      <c r="U65" s="1067">
        <f ca="1">VLOOKUP(Myリゾート!$C65,OFFSET(高速化データ!$A$6,0,0,高速化データ!$A$1,106), 92, TRUE)</f>
        <v>3960</v>
      </c>
      <c r="V65" s="1066">
        <f ca="1">VLOOKUP(Myリゾート!$C65,OFFSET(高速化データ!$A$6,0,0,高速化データ!$A$1,106), 30, TRUE)</f>
        <v>880</v>
      </c>
      <c r="W65" s="1058">
        <f ca="1">VLOOKUP(Myリゾート!$C65,OFFSET(高速化データ!$A$6,0,0,高速化データ!$A$1,106), 31, TRUE)</f>
        <v>178</v>
      </c>
      <c r="X65" s="1058">
        <f t="shared" ca="1" si="1"/>
        <v>312.83499999999998</v>
      </c>
      <c r="Y65" s="1068">
        <f t="shared" ca="1" si="4"/>
        <v>-567.16499999999996</v>
      </c>
      <c r="Z65" s="1061">
        <f ca="1">VLOOKUP(Myリゾート!$C65,OFFSET(高速化データ!$A$6,0,0,高速化データ!$A$1,106), 32, TRUE)</f>
        <v>9</v>
      </c>
      <c r="AA65" s="1060">
        <f ca="1">VLOOKUP(Myリゾート!$C65,OFFSET(高速化データ!$A$6,0,0,高速化データ!$A$1,106), 33, TRUE)</f>
        <v>7920</v>
      </c>
      <c r="AB65" s="1060">
        <f ca="1">VLOOKUP(Myリゾート!$C65,OFFSET(高速化データ!$A$6,0,0,高速化データ!$A$1,106), 34, TRUE)</f>
        <v>71280</v>
      </c>
      <c r="AC65" s="1060">
        <f ca="1">VLOOKUP(Myリゾート!$C65,OFFSET(高速化データ!$A$6,0,0,高速化データ!$A$1,106), 35, TRUE)</f>
        <v>198</v>
      </c>
      <c r="AD65" s="1069">
        <f ca="1">VLOOKUP(Myリゾート!$C65,OFFSET(高速化データ!$A$6,0,0,高速化データ!$A$1,106), 36, TRUE)</f>
        <v>1782</v>
      </c>
      <c r="AE65" s="1066">
        <f ca="1">VLOOKUP(Myリゾート!$C65,OFFSET(高速化データ!$A$6,0,0,高速化データ!$A$1,106), 16+($I65*14), TRUE)</f>
        <v>1760</v>
      </c>
      <c r="AF65" s="1058">
        <f ca="1">VLOOKUP(Myリゾート!$C65,OFFSET(高速化データ!$A$6,0,0,高速化データ!$A$1,106), 17+($I65*14), TRUE)</f>
        <v>356</v>
      </c>
      <c r="AG65" s="1058">
        <f t="shared" ca="1" si="2"/>
        <v>625.66999999999996</v>
      </c>
      <c r="AH65" s="1068">
        <f t="shared" ca="1" si="5"/>
        <v>-1134.33</v>
      </c>
      <c r="AI65" s="1061">
        <f ca="1">VLOOKUP(Myリゾート!$C65,OFFSET(高速化データ!$A$6,0,0,高速化データ!$A$1,106), 18+($I65*14), TRUE)</f>
        <v>10</v>
      </c>
      <c r="AJ65" s="1058">
        <f ca="1">VLOOKUP(Myリゾート!$C65,OFFSET(高速化データ!$A$6,0,0,高速化データ!$A$1,106), 19+($I65*14), TRUE)</f>
        <v>17600</v>
      </c>
      <c r="AK65" s="1058">
        <f ca="1">VLOOKUP(Myリゾート!$C65,OFFSET(高速化データ!$A$6,0,0,高速化データ!$A$1,106), 20+($I65*14), TRUE)</f>
        <v>158400</v>
      </c>
      <c r="AL65" s="1058">
        <f ca="1">VLOOKUP(Myリゾート!$C65,OFFSET(高速化データ!$A$6,0,0,高速化データ!$A$1,106), 21+($I65*14), TRUE)</f>
        <v>440</v>
      </c>
      <c r="AM65" s="1070">
        <f ca="1">VLOOKUP(Myリゾート!$C65,OFFSET(高速化データ!$A$6,0,0,高速化データ!$A$1,106), 22+($I65*14), TRUE)</f>
        <v>3960</v>
      </c>
      <c r="AN65" s="1072">
        <f ca="1">VLOOKUP(Myリゾート!$C65,OFFSET(高速化データ!$A$6,0,0,高速化データ!$A$1,106), 11, TRUE)</f>
        <v>2.5000000000000001E-2</v>
      </c>
      <c r="AO65" s="1110">
        <f ca="1">VLOOKUP(Myリゾート!$C65,OFFSET(高速化データ!$A$6,0,0,高速化データ!$A$1,106), 13, TRUE)</f>
        <v>30</v>
      </c>
      <c r="AP65" s="1073" t="str">
        <f ca="1">VLOOKUP(Myリゾート!$C65,OFFSET(高速化データ!$A$6,0,0,高速化データ!$A$1,106), 15, TRUE)</f>
        <v>A</v>
      </c>
      <c r="AQ65" s="1071" t="str">
        <f ca="1">VLOOKUP(Myリゾート!$C65,OFFSET(高速化データ!$A$6,0,0,高速化データ!$A$1,106), 9, TRUE)</f>
        <v>レベル</v>
      </c>
      <c r="AR65" s="1112">
        <f ca="1">IF($I65=5, 0,VLOOKUP(Myリゾート!$C65,OFFSET(高速化データ!$A$6,0,0,高速化データ!$A$1,106), 23+(($I65+1)*14), TRUE))</f>
        <v>0</v>
      </c>
      <c r="AS65" s="1058">
        <f ca="1">IF($I65=5, 0,VLOOKUP(Myリゾート!$C65,OFFSET(高速化データ!$A$6,0,0,高速化データ!$A$1,106), 24+(($I65+1)*14), TRUE))</f>
        <v>0</v>
      </c>
      <c r="AT65" s="1074">
        <f ca="1">IF($I65=5, 0,VLOOKUP(Myリゾート!$C65,OFFSET(高速化データ!$A$6,0,0,高速化データ!$A$1,106), 25+(($I65+1)*14), TRUE))</f>
        <v>0</v>
      </c>
      <c r="AU65" s="1074">
        <f ca="1">IF($I65=5, 0,VLOOKUP(Myリゾート!$C65,OFFSET(高速化データ!$A$6,0,0,高速化データ!$A$1,106), 26+(($I65+1)*14), TRUE))</f>
        <v>0</v>
      </c>
      <c r="AV65" s="1074">
        <f ca="1">IF($I65=5, 0,VLOOKUP(Myリゾート!$C65,OFFSET(高速化データ!$A$6,0,0,高速化データ!$A$1,106), 27+(($I65+1)*14), TRUE))</f>
        <v>0</v>
      </c>
      <c r="AW65" s="1075">
        <f ca="1">IF($I65=5, 0,VLOOKUP(Myリゾート!$C65,OFFSET(高速化データ!$A$6,0,0,高速化データ!$A$1,106), 28+(($I65+1)*14), TRUE))</f>
        <v>0</v>
      </c>
      <c r="AX65" s="1070">
        <f ca="1">IF($I65=5, 0,VLOOKUP(Myリゾート!$C65,OFFSET(高速化データ!$A$6,0,0,高速化データ!$A$1,106), 29+(($I65+1)*14), TRUE))</f>
        <v>0</v>
      </c>
      <c r="AY65" s="1066">
        <f ca="1">IF($I65=5, 0, VLOOKUP(Myリゾート!$C65,OFFSET(高速化データ!$A$6,0,0,高速化データ!$A$1,106), 19+(($I65+1)*14), TRUE)-AJ65)</f>
        <v>0</v>
      </c>
      <c r="AZ65" s="1058">
        <f ca="1">IF($I65=5, 0, VLOOKUP(Myリゾート!$C65,OFFSET(高速化データ!$A$6,0,0,高速化データ!$A$1,106), 20+(($I65+1)*14), TRUE)-AK65)</f>
        <v>0</v>
      </c>
      <c r="BA65" s="1076">
        <f ca="1">IF($I65=5, 0, VLOOKUP(Myリゾート!$C65,OFFSET(高速化データ!$A$6,0,0,高速化データ!$A$1,106), 17+(($I65+1)*14), TRUE)*$B$1/100-VLOOKUP(Myリゾート!$C65,OFFSET(高速化データ!$A$6,0,0,高速化データ!$A$1,106), 16+(($I65+1)*14),TRUE)-AH65)</f>
        <v>0</v>
      </c>
      <c r="BB65" s="1056">
        <f t="shared" ca="1" si="6"/>
        <v>0</v>
      </c>
      <c r="BC65" s="1057">
        <f t="shared" ca="1" si="6"/>
        <v>0</v>
      </c>
      <c r="BD65" s="1068">
        <f t="shared" ca="1" si="7"/>
        <v>0</v>
      </c>
      <c r="BE65" s="9">
        <f t="shared" ca="1" si="8"/>
        <v>1760</v>
      </c>
      <c r="BF65" s="7">
        <f t="shared" ca="1" si="8"/>
        <v>356</v>
      </c>
      <c r="BG65" s="7">
        <f t="shared" ca="1" si="9"/>
        <v>17600</v>
      </c>
      <c r="BH65" s="7">
        <f t="shared" ca="1" si="9"/>
        <v>158400</v>
      </c>
      <c r="BI65" s="7">
        <f t="shared" ca="1" si="9"/>
        <v>440</v>
      </c>
      <c r="BJ65" s="7">
        <f t="shared" ca="1" si="9"/>
        <v>3960</v>
      </c>
      <c r="BK65" s="8">
        <f t="shared" ca="1" si="10"/>
        <v>1760</v>
      </c>
    </row>
    <row r="66" spans="2:63">
      <c r="B66" s="1126" t="s">
        <v>72</v>
      </c>
      <c r="C66" s="1055">
        <f ca="1">VLOOKUP(Myリゾート!$B66,OFFSET(高速化データ!$DD$6,0,0,高速化データ!$A$1,2), 2, FALSE)</f>
        <v>17</v>
      </c>
      <c r="D66" s="59" t="str">
        <f ca="1">LEFT(VLOOKUP(Myリゾート!$C66,OFFSET(高速化データ!$A$6,0,0,高速化データ!$A$1,106), 3, TRUE),2)</f>
        <v>ホテ</v>
      </c>
      <c r="E66" s="1063" t="str">
        <f ca="1">VLOOKUP(Myリゾート!$C66,OFFSET(高速化データ!$A$6,0,0,高速化データ!$A$1,106), 4, TRUE)&amp;""</f>
        <v/>
      </c>
      <c r="F66" s="1064" t="str">
        <f ca="1">VLOOKUP(Myリゾート!$C66,OFFSET(高速化データ!$A$6,0,0,高速化データ!$A$1,106), 5, TRUE)&amp;""</f>
        <v/>
      </c>
      <c r="G66" s="1064" t="str">
        <f ca="1">VLOOKUP(Myリゾート!$C66,OFFSET(高速化データ!$A$6,0,0,高速化データ!$A$1,106), 6, TRUE)&amp;""</f>
        <v>○</v>
      </c>
      <c r="H66" s="1065" t="str">
        <f ca="1">VLOOKUP(Myリゾート!$C66,OFFSET(高速化データ!$A$6,0,0,高速化データ!$A$1,106), 7, TRUE)&amp;""</f>
        <v>○</v>
      </c>
      <c r="I66" s="1131">
        <v>3</v>
      </c>
      <c r="J66" s="1134" t="s">
        <v>1036</v>
      </c>
      <c r="K66" s="1061">
        <f ca="1">VLOOKUP(Myリゾート!$C66,OFFSET(高速化データ!$A$6,0,0,高速化データ!$A$1,106), 10, TRUE)</f>
        <v>5</v>
      </c>
      <c r="L66" s="1062">
        <f ca="1">VLOOKUP(Myリゾート!$C66,OFFSET(高速化データ!$A$6,0,0,高速化データ!$A$1,106), 12, TRUE)</f>
        <v>3.6164383561643834</v>
      </c>
      <c r="M66" s="1066">
        <f ca="1">VLOOKUP(Myリゾート!$C66,OFFSET(高速化データ!$A$6,0,0,高速化データ!$A$1,106), 86, TRUE)</f>
        <v>528</v>
      </c>
      <c r="N66" s="1058">
        <f ca="1">VLOOKUP(Myリゾート!$C66,OFFSET(高速化データ!$A$6,0,0,高速化データ!$A$1,106), 87, TRUE)</f>
        <v>146</v>
      </c>
      <c r="O66" s="1058">
        <f t="shared" ca="1" si="0"/>
        <v>256.59500000000003</v>
      </c>
      <c r="P66" s="1059">
        <f t="shared" ca="1" si="3"/>
        <v>-271.40499999999997</v>
      </c>
      <c r="Q66" s="1061">
        <f ca="1">VLOOKUP(Myリゾート!$C66,OFFSET(高速化データ!$A$6,0,0,高速化データ!$A$1,106), 88, TRUE)</f>
        <v>3</v>
      </c>
      <c r="R66" s="1060">
        <f ca="1">VLOOKUP(Myリゾート!$C66,OFFSET(高速化データ!$A$6,0,0,高速化データ!$A$1,106), 89, TRUE)</f>
        <v>1584</v>
      </c>
      <c r="S66" s="1060">
        <f ca="1">VLOOKUP(Myリゾート!$C66,OFFSET(高速化データ!$A$6,0,0,高速化データ!$A$1,106), 90, TRUE)</f>
        <v>7920</v>
      </c>
      <c r="T66" s="1060">
        <f ca="1">VLOOKUP(Myリゾート!$C66,OFFSET(高速化データ!$A$6,0,0,高速化データ!$A$1,106), 91, TRUE)</f>
        <v>39</v>
      </c>
      <c r="U66" s="1067">
        <f ca="1">VLOOKUP(Myリゾート!$C66,OFFSET(高速化データ!$A$6,0,0,高速化データ!$A$1,106), 92, TRUE)</f>
        <v>198</v>
      </c>
      <c r="V66" s="1066">
        <f ca="1">VLOOKUP(Myリゾート!$C66,OFFSET(高速化データ!$A$6,0,0,高速化データ!$A$1,106), 30, TRUE)</f>
        <v>264</v>
      </c>
      <c r="W66" s="1058">
        <f ca="1">VLOOKUP(Myリゾート!$C66,OFFSET(高速化データ!$A$6,0,0,高速化データ!$A$1,106), 31, TRUE)</f>
        <v>73</v>
      </c>
      <c r="X66" s="1058">
        <f t="shared" ca="1" si="1"/>
        <v>128.29750000000001</v>
      </c>
      <c r="Y66" s="1068">
        <f t="shared" ca="1" si="4"/>
        <v>-135.70249999999999</v>
      </c>
      <c r="Z66" s="1061">
        <f ca="1">VLOOKUP(Myリゾート!$C66,OFFSET(高速化データ!$A$6,0,0,高速化データ!$A$1,106), 32, TRUE)</f>
        <v>3</v>
      </c>
      <c r="AA66" s="1060">
        <f ca="1">VLOOKUP(Myリゾート!$C66,OFFSET(高速化データ!$A$6,0,0,高速化データ!$A$1,106), 33, TRUE)</f>
        <v>792</v>
      </c>
      <c r="AB66" s="1060">
        <f ca="1">VLOOKUP(Myリゾート!$C66,OFFSET(高速化データ!$A$6,0,0,高速化データ!$A$1,106), 34, TRUE)</f>
        <v>3960</v>
      </c>
      <c r="AC66" s="1060">
        <f ca="1">VLOOKUP(Myリゾート!$C66,OFFSET(高速化データ!$A$6,0,0,高速化データ!$A$1,106), 35, TRUE)</f>
        <v>19</v>
      </c>
      <c r="AD66" s="1069">
        <f ca="1">VLOOKUP(Myリゾート!$C66,OFFSET(高速化データ!$A$6,0,0,高速化データ!$A$1,106), 36, TRUE)</f>
        <v>99</v>
      </c>
      <c r="AE66" s="1066">
        <f ca="1">VLOOKUP(Myリゾート!$C66,OFFSET(高速化データ!$A$6,0,0,高速化データ!$A$1,106), 16+($I66*14), TRUE)</f>
        <v>462</v>
      </c>
      <c r="AF66" s="1058">
        <f ca="1">VLOOKUP(Myリゾート!$C66,OFFSET(高速化データ!$A$6,0,0,高速化データ!$A$1,106), 17+($I66*14), TRUE)</f>
        <v>127</v>
      </c>
      <c r="AG66" s="1058">
        <f t="shared" ca="1" si="2"/>
        <v>223.20249999999999</v>
      </c>
      <c r="AH66" s="1068">
        <f t="shared" ca="1" si="5"/>
        <v>-238.79750000000001</v>
      </c>
      <c r="AI66" s="1061">
        <f ca="1">VLOOKUP(Myリゾート!$C66,OFFSET(高速化データ!$A$6,0,0,高速化データ!$A$1,106), 18+($I66*14), TRUE)</f>
        <v>3</v>
      </c>
      <c r="AJ66" s="1058">
        <f ca="1">VLOOKUP(Myリゾート!$C66,OFFSET(高速化データ!$A$6,0,0,高速化データ!$A$1,106), 19+($I66*14), TRUE)</f>
        <v>1386</v>
      </c>
      <c r="AK66" s="1058">
        <f ca="1">VLOOKUP(Myリゾート!$C66,OFFSET(高速化データ!$A$6,0,0,高速化データ!$A$1,106), 20+($I66*14), TRUE)</f>
        <v>6930</v>
      </c>
      <c r="AL66" s="1058">
        <f ca="1">VLOOKUP(Myリゾート!$C66,OFFSET(高速化データ!$A$6,0,0,高速化データ!$A$1,106), 21+($I66*14), TRUE)</f>
        <v>34</v>
      </c>
      <c r="AM66" s="1070">
        <f ca="1">VLOOKUP(Myリゾート!$C66,OFFSET(高速化データ!$A$6,0,0,高速化データ!$A$1,106), 22+($I66*14), TRUE)</f>
        <v>173</v>
      </c>
      <c r="AN66" s="1072">
        <f ca="1">VLOOKUP(Myリゾート!$C66,OFFSET(高速化データ!$A$6,0,0,高速化データ!$A$1,106), 11, TRUE)</f>
        <v>2.5000000000000001E-2</v>
      </c>
      <c r="AO66" s="1110">
        <f ca="1">VLOOKUP(Myリゾート!$C66,OFFSET(高速化データ!$A$6,0,0,高速化データ!$A$1,106), 13, TRUE)</f>
        <v>30</v>
      </c>
      <c r="AP66" s="1073" t="str">
        <f ca="1">VLOOKUP(Myリゾート!$C66,OFFSET(高速化データ!$A$6,0,0,高速化データ!$A$1,106), 15, TRUE)</f>
        <v>A</v>
      </c>
      <c r="AQ66" s="1071" t="str">
        <f ca="1">VLOOKUP(Myリゾート!$C66,OFFSET(高速化データ!$A$6,0,0,高速化データ!$A$1,106), 9, TRUE)</f>
        <v>景品</v>
      </c>
      <c r="AR66" s="1112">
        <f ca="1">IF($I66=5, 0,VLOOKUP(Myリゾート!$C66,OFFSET(高速化データ!$A$6,0,0,高速化データ!$A$1,106), 23+(($I66+1)*14), TRUE))</f>
        <v>2</v>
      </c>
      <c r="AS66" s="1058">
        <f ca="1">IF($I66=5, 0,VLOOKUP(Myリゾート!$C66,OFFSET(高速化データ!$A$6,0,0,高速化データ!$A$1,106), 24+(($I66+1)*14), TRUE))</f>
        <v>45000</v>
      </c>
      <c r="AT66" s="1074">
        <f ca="1">IF($I66=5, 0,VLOOKUP(Myリゾート!$C66,OFFSET(高速化データ!$A$6,0,0,高速化データ!$A$1,106), 25+(($I66+1)*14), TRUE))</f>
        <v>0</v>
      </c>
      <c r="AU66" s="1074">
        <f ca="1">IF($I66=5, 0,VLOOKUP(Myリゾート!$C66,OFFSET(高速化データ!$A$6,0,0,高速化データ!$A$1,106), 26+(($I66+1)*14), TRUE))</f>
        <v>0</v>
      </c>
      <c r="AV66" s="1074">
        <f ca="1">IF($I66=5, 0,VLOOKUP(Myリゾート!$C66,OFFSET(高速化データ!$A$6,0,0,高速化データ!$A$1,106), 27+(($I66+1)*14), TRUE))</f>
        <v>0</v>
      </c>
      <c r="AW66" s="1075">
        <f ca="1">IF($I66=5, 0,VLOOKUP(Myリゾート!$C66,OFFSET(高速化データ!$A$6,0,0,高速化データ!$A$1,106), 28+(($I66+1)*14), TRUE))</f>
        <v>1.3243512974051896</v>
      </c>
      <c r="AX66" s="1070">
        <f ca="1">IF($I66=5, 0,VLOOKUP(Myリゾート!$C66,OFFSET(高速化データ!$A$6,0,0,高速化データ!$A$1,106), 29+(($I66+1)*14), TRUE))</f>
        <v>22500</v>
      </c>
      <c r="AY66" s="1066">
        <f ca="1">IF($I66=5, 0, VLOOKUP(Myリゾート!$C66,OFFSET(高速化データ!$A$6,0,0,高速化データ!$A$1,106), 19+(($I66+1)*14), TRUE)-AJ66)</f>
        <v>117</v>
      </c>
      <c r="AZ66" s="1058">
        <f ca="1">IF($I66=5, 0, VLOOKUP(Myリゾート!$C66,OFFSET(高速化データ!$A$6,0,0,高速化データ!$A$1,106), 20+(($I66+1)*14), TRUE)-AK66)</f>
        <v>585</v>
      </c>
      <c r="BA66" s="1076">
        <f ca="1">IF($I66=5, 0, VLOOKUP(Myリゾート!$C66,OFFSET(高速化データ!$A$6,0,0,高速化データ!$A$1,106), 17+(($I66+1)*14), TRUE)*$B$1/100-VLOOKUP(Myリゾート!$C66,OFFSET(高速化データ!$A$6,0,0,高速化データ!$A$1,106), 16+(($I66+1)*14),TRUE)-AH66)</f>
        <v>-19.667500000000018</v>
      </c>
      <c r="BB66" s="1056">
        <f t="shared" ca="1" si="6"/>
        <v>198</v>
      </c>
      <c r="BC66" s="1057">
        <f t="shared" ca="1" si="6"/>
        <v>990</v>
      </c>
      <c r="BD66" s="1068">
        <f t="shared" ca="1" si="7"/>
        <v>-32.607499999999959</v>
      </c>
      <c r="BE66" s="9">
        <f t="shared" si="8"/>
        <v>0</v>
      </c>
      <c r="BF66" s="7">
        <f t="shared" si="8"/>
        <v>0</v>
      </c>
      <c r="BG66" s="7">
        <f t="shared" si="9"/>
        <v>0</v>
      </c>
      <c r="BH66" s="7">
        <f t="shared" si="9"/>
        <v>0</v>
      </c>
      <c r="BI66" s="7">
        <f t="shared" si="9"/>
        <v>0</v>
      </c>
      <c r="BJ66" s="7">
        <f t="shared" si="9"/>
        <v>0</v>
      </c>
      <c r="BK66" s="8">
        <f t="shared" ca="1" si="10"/>
        <v>462</v>
      </c>
    </row>
    <row r="67" spans="2:63">
      <c r="B67" s="1126" t="s">
        <v>126</v>
      </c>
      <c r="C67" s="1055">
        <f ca="1">VLOOKUP(Myリゾート!$B67,OFFSET(高速化データ!$DD$6,0,0,高速化データ!$A$1,2), 2, FALSE)</f>
        <v>59</v>
      </c>
      <c r="D67" s="59" t="str">
        <f ca="1">LEFT(VLOOKUP(Myリゾート!$C67,OFFSET(高速化データ!$A$6,0,0,高速化データ!$A$1,106), 3, TRUE),2)</f>
        <v>ホテ</v>
      </c>
      <c r="E67" s="1063" t="str">
        <f ca="1">VLOOKUP(Myリゾート!$C67,OFFSET(高速化データ!$A$6,0,0,高速化データ!$A$1,106), 4, TRUE)&amp;""</f>
        <v>○</v>
      </c>
      <c r="F67" s="1064" t="str">
        <f ca="1">VLOOKUP(Myリゾート!$C67,OFFSET(高速化データ!$A$6,0,0,高速化データ!$A$1,106), 5, TRUE)&amp;""</f>
        <v>○</v>
      </c>
      <c r="G67" s="1064" t="str">
        <f ca="1">VLOOKUP(Myリゾート!$C67,OFFSET(高速化データ!$A$6,0,0,高速化データ!$A$1,106), 6, TRUE)&amp;""</f>
        <v/>
      </c>
      <c r="H67" s="1065" t="str">
        <f ca="1">VLOOKUP(Myリゾート!$C67,OFFSET(高速化データ!$A$6,0,0,高速化データ!$A$1,106), 7, TRUE)&amp;""</f>
        <v/>
      </c>
      <c r="I67" s="1131">
        <v>1</v>
      </c>
      <c r="J67" s="1134"/>
      <c r="K67" s="1061">
        <f ca="1">VLOOKUP(Myリゾート!$C67,OFFSET(高速化データ!$A$6,0,0,高速化データ!$A$1,106), 10, TRUE)</f>
        <v>9</v>
      </c>
      <c r="L67" s="1062">
        <f ca="1">VLOOKUP(Myリゾート!$C67,OFFSET(高速化データ!$A$6,0,0,高速化データ!$A$1,106), 12, TRUE)</f>
        <v>4.9641025641025642</v>
      </c>
      <c r="M67" s="1066">
        <f ca="1">VLOOKUP(Myリゾート!$C67,OFFSET(高速化データ!$A$6,0,0,高速化データ!$A$1,106), 86, TRUE)</f>
        <v>1936</v>
      </c>
      <c r="N67" s="1058">
        <f ca="1">VLOOKUP(Myリゾート!$C67,OFFSET(高速化データ!$A$6,0,0,高速化データ!$A$1,106), 87, TRUE)</f>
        <v>390</v>
      </c>
      <c r="O67" s="1058">
        <f t="shared" ca="1" si="0"/>
        <v>685.42499999999995</v>
      </c>
      <c r="P67" s="1059">
        <f t="shared" ca="1" si="3"/>
        <v>-1250.575</v>
      </c>
      <c r="Q67" s="1061">
        <f ca="1">VLOOKUP(Myリゾート!$C67,OFFSET(高速化データ!$A$6,0,0,高速化データ!$A$1,106), 88, TRUE)</f>
        <v>10</v>
      </c>
      <c r="R67" s="1060">
        <f ca="1">VLOOKUP(Myリゾート!$C67,OFFSET(高速化データ!$A$6,0,0,高速化データ!$A$1,106), 89, TRUE)</f>
        <v>19360</v>
      </c>
      <c r="S67" s="1060">
        <f ca="1">VLOOKUP(Myリゾート!$C67,OFFSET(高速化データ!$A$6,0,0,高速化データ!$A$1,106), 90, TRUE)</f>
        <v>174240</v>
      </c>
      <c r="T67" s="1060">
        <f ca="1">VLOOKUP(Myリゾート!$C67,OFFSET(高速化データ!$A$6,0,0,高速化データ!$A$1,106), 91, TRUE)</f>
        <v>484</v>
      </c>
      <c r="U67" s="1067">
        <f ca="1">VLOOKUP(Myリゾート!$C67,OFFSET(高速化データ!$A$6,0,0,高速化データ!$A$1,106), 92, TRUE)</f>
        <v>4356</v>
      </c>
      <c r="V67" s="1066">
        <f ca="1">VLOOKUP(Myリゾート!$C67,OFFSET(高速化データ!$A$6,0,0,高速化データ!$A$1,106), 30, TRUE)</f>
        <v>968</v>
      </c>
      <c r="W67" s="1058">
        <f ca="1">VLOOKUP(Myリゾート!$C67,OFFSET(高速化データ!$A$6,0,0,高速化データ!$A$1,106), 31, TRUE)</f>
        <v>195</v>
      </c>
      <c r="X67" s="1058">
        <f t="shared" ca="1" si="1"/>
        <v>342.71249999999998</v>
      </c>
      <c r="Y67" s="1068">
        <f t="shared" ca="1" si="4"/>
        <v>-625.28750000000002</v>
      </c>
      <c r="Z67" s="1061">
        <f ca="1">VLOOKUP(Myリゾート!$C67,OFFSET(高速化データ!$A$6,0,0,高速化データ!$A$1,106), 32, TRUE)</f>
        <v>9</v>
      </c>
      <c r="AA67" s="1060">
        <f ca="1">VLOOKUP(Myリゾート!$C67,OFFSET(高速化データ!$A$6,0,0,高速化データ!$A$1,106), 33, TRUE)</f>
        <v>8712</v>
      </c>
      <c r="AB67" s="1060">
        <f ca="1">VLOOKUP(Myリゾート!$C67,OFFSET(高速化データ!$A$6,0,0,高速化データ!$A$1,106), 34, TRUE)</f>
        <v>78408</v>
      </c>
      <c r="AC67" s="1060">
        <f ca="1">VLOOKUP(Myリゾート!$C67,OFFSET(高速化データ!$A$6,0,0,高速化データ!$A$1,106), 35, TRUE)</f>
        <v>217</v>
      </c>
      <c r="AD67" s="1069">
        <f ca="1">VLOOKUP(Myリゾート!$C67,OFFSET(高速化データ!$A$6,0,0,高速化データ!$A$1,106), 36, TRUE)</f>
        <v>1960</v>
      </c>
      <c r="AE67" s="1066">
        <f ca="1">VLOOKUP(Myリゾート!$C67,OFFSET(高速化データ!$A$6,0,0,高速化データ!$A$1,106), 16+($I67*14), TRUE)</f>
        <v>968</v>
      </c>
      <c r="AF67" s="1058">
        <f ca="1">VLOOKUP(Myリゾート!$C67,OFFSET(高速化データ!$A$6,0,0,高速化データ!$A$1,106), 17+($I67*14), TRUE)</f>
        <v>195</v>
      </c>
      <c r="AG67" s="1058">
        <f t="shared" ca="1" si="2"/>
        <v>342.71249999999998</v>
      </c>
      <c r="AH67" s="1068">
        <f t="shared" ca="1" si="5"/>
        <v>-625.28750000000002</v>
      </c>
      <c r="AI67" s="1061">
        <f ca="1">VLOOKUP(Myリゾート!$C67,OFFSET(高速化データ!$A$6,0,0,高速化データ!$A$1,106), 18+($I67*14), TRUE)</f>
        <v>9</v>
      </c>
      <c r="AJ67" s="1058">
        <f ca="1">VLOOKUP(Myリゾート!$C67,OFFSET(高速化データ!$A$6,0,0,高速化データ!$A$1,106), 19+($I67*14), TRUE)</f>
        <v>8712</v>
      </c>
      <c r="AK67" s="1058">
        <f ca="1">VLOOKUP(Myリゾート!$C67,OFFSET(高速化データ!$A$6,0,0,高速化データ!$A$1,106), 20+($I67*14), TRUE)</f>
        <v>78408</v>
      </c>
      <c r="AL67" s="1058">
        <f ca="1">VLOOKUP(Myリゾート!$C67,OFFSET(高速化データ!$A$6,0,0,高速化データ!$A$1,106), 21+($I67*14), TRUE)</f>
        <v>217</v>
      </c>
      <c r="AM67" s="1070">
        <f ca="1">VLOOKUP(Myリゾート!$C67,OFFSET(高速化データ!$A$6,0,0,高速化データ!$A$1,106), 22+($I67*14), TRUE)</f>
        <v>1960</v>
      </c>
      <c r="AN67" s="1072">
        <f ca="1">VLOOKUP(Myリゾート!$C67,OFFSET(高速化データ!$A$6,0,0,高速化データ!$A$1,106), 11, TRUE)</f>
        <v>2.5000000000000001E-2</v>
      </c>
      <c r="AO67" s="1110">
        <f ca="1">VLOOKUP(Myリゾート!$C67,OFFSET(高速化データ!$A$6,0,0,高速化データ!$A$1,106), 13, TRUE)</f>
        <v>30</v>
      </c>
      <c r="AP67" s="1073" t="str">
        <f ca="1">VLOOKUP(Myリゾート!$C67,OFFSET(高速化データ!$A$6,0,0,高速化データ!$A$1,106), 15, TRUE)</f>
        <v>A</v>
      </c>
      <c r="AQ67" s="1071" t="str">
        <f ca="1">VLOOKUP(Myリゾート!$C67,OFFSET(高速化データ!$A$6,0,0,高速化データ!$A$1,106), 9, TRUE)</f>
        <v>景品</v>
      </c>
      <c r="AR67" s="1112">
        <f ca="1">IF($I67=5, 0,VLOOKUP(Myリゾート!$C67,OFFSET(高速化データ!$A$6,0,0,高速化データ!$A$1,106), 23+(($I67+1)*14), TRUE))</f>
        <v>30</v>
      </c>
      <c r="AS67" s="1058">
        <f ca="1">IF($I67=5, 0,VLOOKUP(Myリゾート!$C67,OFFSET(高速化データ!$A$6,0,0,高速化データ!$A$1,106), 24+(($I67+1)*14), TRUE))</f>
        <v>4500000</v>
      </c>
      <c r="AT67" s="1074">
        <f ca="1">IF($I67=5, 0,VLOOKUP(Myリゾート!$C67,OFFSET(高速化データ!$A$6,0,0,高速化データ!$A$1,106), 25+(($I67+1)*14), TRUE))</f>
        <v>0</v>
      </c>
      <c r="AU67" s="1074">
        <f ca="1">IF($I67=5, 0,VLOOKUP(Myリゾート!$C67,OFFSET(高速化データ!$A$6,0,0,高速化データ!$A$1,106), 26+(($I67+1)*14), TRUE))</f>
        <v>0</v>
      </c>
      <c r="AV67" s="1074">
        <f ca="1">IF($I67=5, 0,VLOOKUP(Myリゾート!$C67,OFFSET(高速化データ!$A$6,0,0,高速化データ!$A$1,106), 27+(($I67+1)*14), TRUE))</f>
        <v>0</v>
      </c>
      <c r="AW67" s="1075">
        <f ca="1">IF($I67=5, 0,VLOOKUP(Myリゾート!$C67,OFFSET(高速化データ!$A$6,0,0,高速化データ!$A$1,106), 28+(($I67+1)*14), TRUE))</f>
        <v>15.181359044995409</v>
      </c>
      <c r="AX67" s="1070">
        <f ca="1">IF($I67=5, 0,VLOOKUP(Myリゾート!$C67,OFFSET(高速化データ!$A$6,0,0,高速化データ!$A$1,106), 29+(($I67+1)*14), TRUE))</f>
        <v>150000</v>
      </c>
      <c r="AY67" s="1066">
        <f ca="1">IF($I67=5, 0, VLOOKUP(Myリゾート!$C67,OFFSET(高速化データ!$A$6,0,0,高速化データ!$A$1,106), 19+(($I67+1)*14), TRUE)-AJ67)</f>
        <v>4356</v>
      </c>
      <c r="AZ67" s="1058">
        <f ca="1">IF($I67=5, 0, VLOOKUP(Myリゾート!$C67,OFFSET(高速化データ!$A$6,0,0,高速化データ!$A$1,106), 20+(($I67+1)*14), TRUE)-AK67)</f>
        <v>39204</v>
      </c>
      <c r="BA67" s="1076">
        <f ca="1">IF($I67=5, 0, VLOOKUP(Myリゾート!$C67,OFFSET(高速化データ!$A$6,0,0,高速化データ!$A$1,106), 17+(($I67+1)*14), TRUE)*$B$1/100-VLOOKUP(Myリゾート!$C67,OFFSET(高速化データ!$A$6,0,0,高速化データ!$A$1,106), 16+(($I67+1)*14),TRUE)-AH67)</f>
        <v>-313.52249999999992</v>
      </c>
      <c r="BB67" s="1056">
        <f t="shared" ca="1" si="6"/>
        <v>10648</v>
      </c>
      <c r="BC67" s="1057">
        <f t="shared" ca="1" si="6"/>
        <v>95832</v>
      </c>
      <c r="BD67" s="1068">
        <f t="shared" ca="1" si="7"/>
        <v>-625.28750000000002</v>
      </c>
      <c r="BE67" s="9">
        <f t="shared" ca="1" si="8"/>
        <v>968</v>
      </c>
      <c r="BF67" s="7">
        <f t="shared" ca="1" si="8"/>
        <v>195</v>
      </c>
      <c r="BG67" s="7">
        <f t="shared" ca="1" si="9"/>
        <v>8712</v>
      </c>
      <c r="BH67" s="7">
        <f t="shared" ca="1" si="9"/>
        <v>78408</v>
      </c>
      <c r="BI67" s="7">
        <f t="shared" ca="1" si="9"/>
        <v>217</v>
      </c>
      <c r="BJ67" s="7">
        <f t="shared" ca="1" si="9"/>
        <v>1960</v>
      </c>
      <c r="BK67" s="8">
        <f t="shared" ca="1" si="10"/>
        <v>968</v>
      </c>
    </row>
    <row r="68" spans="2:63">
      <c r="B68" s="1126" t="s">
        <v>126</v>
      </c>
      <c r="C68" s="1055">
        <f ca="1">VLOOKUP(Myリゾート!$B68,OFFSET(高速化データ!$DD$6,0,0,高速化データ!$A$1,2), 2, FALSE)</f>
        <v>59</v>
      </c>
      <c r="D68" s="59" t="str">
        <f ca="1">LEFT(VLOOKUP(Myリゾート!$C68,OFFSET(高速化データ!$A$6,0,0,高速化データ!$A$1,106), 3, TRUE),2)</f>
        <v>ホテ</v>
      </c>
      <c r="E68" s="1063" t="str">
        <f ca="1">VLOOKUP(Myリゾート!$C68,OFFSET(高速化データ!$A$6,0,0,高速化データ!$A$1,106), 4, TRUE)&amp;""</f>
        <v>○</v>
      </c>
      <c r="F68" s="1064" t="str">
        <f ca="1">VLOOKUP(Myリゾート!$C68,OFFSET(高速化データ!$A$6,0,0,高速化データ!$A$1,106), 5, TRUE)&amp;""</f>
        <v>○</v>
      </c>
      <c r="G68" s="1064" t="str">
        <f ca="1">VLOOKUP(Myリゾート!$C68,OFFSET(高速化データ!$A$6,0,0,高速化データ!$A$1,106), 6, TRUE)&amp;""</f>
        <v/>
      </c>
      <c r="H68" s="1065" t="str">
        <f ca="1">VLOOKUP(Myリゾート!$C68,OFFSET(高速化データ!$A$6,0,0,高速化データ!$A$1,106), 7, TRUE)&amp;""</f>
        <v/>
      </c>
      <c r="I68" s="1131">
        <v>1</v>
      </c>
      <c r="J68" s="1134"/>
      <c r="K68" s="1061">
        <f ca="1">VLOOKUP(Myリゾート!$C68,OFFSET(高速化データ!$A$6,0,0,高速化データ!$A$1,106), 10, TRUE)</f>
        <v>9</v>
      </c>
      <c r="L68" s="1062">
        <f ca="1">VLOOKUP(Myリゾート!$C68,OFFSET(高速化データ!$A$6,0,0,高速化データ!$A$1,106), 12, TRUE)</f>
        <v>4.9641025641025642</v>
      </c>
      <c r="M68" s="1066">
        <f ca="1">VLOOKUP(Myリゾート!$C68,OFFSET(高速化データ!$A$6,0,0,高速化データ!$A$1,106), 86, TRUE)</f>
        <v>1936</v>
      </c>
      <c r="N68" s="1058">
        <f ca="1">VLOOKUP(Myリゾート!$C68,OFFSET(高速化データ!$A$6,0,0,高速化データ!$A$1,106), 87, TRUE)</f>
        <v>390</v>
      </c>
      <c r="O68" s="1058">
        <f t="shared" ca="1" si="0"/>
        <v>685.42499999999995</v>
      </c>
      <c r="P68" s="1059">
        <f t="shared" ca="1" si="3"/>
        <v>-1250.575</v>
      </c>
      <c r="Q68" s="1061">
        <f ca="1">VLOOKUP(Myリゾート!$C68,OFFSET(高速化データ!$A$6,0,0,高速化データ!$A$1,106), 88, TRUE)</f>
        <v>10</v>
      </c>
      <c r="R68" s="1060">
        <f ca="1">VLOOKUP(Myリゾート!$C68,OFFSET(高速化データ!$A$6,0,0,高速化データ!$A$1,106), 89, TRUE)</f>
        <v>19360</v>
      </c>
      <c r="S68" s="1060">
        <f ca="1">VLOOKUP(Myリゾート!$C68,OFFSET(高速化データ!$A$6,0,0,高速化データ!$A$1,106), 90, TRUE)</f>
        <v>174240</v>
      </c>
      <c r="T68" s="1060">
        <f ca="1">VLOOKUP(Myリゾート!$C68,OFFSET(高速化データ!$A$6,0,0,高速化データ!$A$1,106), 91, TRUE)</f>
        <v>484</v>
      </c>
      <c r="U68" s="1067">
        <f ca="1">VLOOKUP(Myリゾート!$C68,OFFSET(高速化データ!$A$6,0,0,高速化データ!$A$1,106), 92, TRUE)</f>
        <v>4356</v>
      </c>
      <c r="V68" s="1066">
        <f ca="1">VLOOKUP(Myリゾート!$C68,OFFSET(高速化データ!$A$6,0,0,高速化データ!$A$1,106), 30, TRUE)</f>
        <v>968</v>
      </c>
      <c r="W68" s="1058">
        <f ca="1">VLOOKUP(Myリゾート!$C68,OFFSET(高速化データ!$A$6,0,0,高速化データ!$A$1,106), 31, TRUE)</f>
        <v>195</v>
      </c>
      <c r="X68" s="1058">
        <f t="shared" ca="1" si="1"/>
        <v>342.71249999999998</v>
      </c>
      <c r="Y68" s="1068">
        <f t="shared" ca="1" si="4"/>
        <v>-625.28750000000002</v>
      </c>
      <c r="Z68" s="1061">
        <f ca="1">VLOOKUP(Myリゾート!$C68,OFFSET(高速化データ!$A$6,0,0,高速化データ!$A$1,106), 32, TRUE)</f>
        <v>9</v>
      </c>
      <c r="AA68" s="1060">
        <f ca="1">VLOOKUP(Myリゾート!$C68,OFFSET(高速化データ!$A$6,0,0,高速化データ!$A$1,106), 33, TRUE)</f>
        <v>8712</v>
      </c>
      <c r="AB68" s="1060">
        <f ca="1">VLOOKUP(Myリゾート!$C68,OFFSET(高速化データ!$A$6,0,0,高速化データ!$A$1,106), 34, TRUE)</f>
        <v>78408</v>
      </c>
      <c r="AC68" s="1060">
        <f ca="1">VLOOKUP(Myリゾート!$C68,OFFSET(高速化データ!$A$6,0,0,高速化データ!$A$1,106), 35, TRUE)</f>
        <v>217</v>
      </c>
      <c r="AD68" s="1069">
        <f ca="1">VLOOKUP(Myリゾート!$C68,OFFSET(高速化データ!$A$6,0,0,高速化データ!$A$1,106), 36, TRUE)</f>
        <v>1960</v>
      </c>
      <c r="AE68" s="1066">
        <f ca="1">VLOOKUP(Myリゾート!$C68,OFFSET(高速化データ!$A$6,0,0,高速化データ!$A$1,106), 16+($I68*14), TRUE)</f>
        <v>968</v>
      </c>
      <c r="AF68" s="1058">
        <f ca="1">VLOOKUP(Myリゾート!$C68,OFFSET(高速化データ!$A$6,0,0,高速化データ!$A$1,106), 17+($I68*14), TRUE)</f>
        <v>195</v>
      </c>
      <c r="AG68" s="1058">
        <f t="shared" ca="1" si="2"/>
        <v>342.71249999999998</v>
      </c>
      <c r="AH68" s="1068">
        <f t="shared" ca="1" si="5"/>
        <v>-625.28750000000002</v>
      </c>
      <c r="AI68" s="1061">
        <f ca="1">VLOOKUP(Myリゾート!$C68,OFFSET(高速化データ!$A$6,0,0,高速化データ!$A$1,106), 18+($I68*14), TRUE)</f>
        <v>9</v>
      </c>
      <c r="AJ68" s="1058">
        <f ca="1">VLOOKUP(Myリゾート!$C68,OFFSET(高速化データ!$A$6,0,0,高速化データ!$A$1,106), 19+($I68*14), TRUE)</f>
        <v>8712</v>
      </c>
      <c r="AK68" s="1058">
        <f ca="1">VLOOKUP(Myリゾート!$C68,OFFSET(高速化データ!$A$6,0,0,高速化データ!$A$1,106), 20+($I68*14), TRUE)</f>
        <v>78408</v>
      </c>
      <c r="AL68" s="1058">
        <f ca="1">VLOOKUP(Myリゾート!$C68,OFFSET(高速化データ!$A$6,0,0,高速化データ!$A$1,106), 21+($I68*14), TRUE)</f>
        <v>217</v>
      </c>
      <c r="AM68" s="1070">
        <f ca="1">VLOOKUP(Myリゾート!$C68,OFFSET(高速化データ!$A$6,0,0,高速化データ!$A$1,106), 22+($I68*14), TRUE)</f>
        <v>1960</v>
      </c>
      <c r="AN68" s="1072">
        <f ca="1">VLOOKUP(Myリゾート!$C68,OFFSET(高速化データ!$A$6,0,0,高速化データ!$A$1,106), 11, TRUE)</f>
        <v>2.5000000000000001E-2</v>
      </c>
      <c r="AO68" s="1110">
        <f ca="1">VLOOKUP(Myリゾート!$C68,OFFSET(高速化データ!$A$6,0,0,高速化データ!$A$1,106), 13, TRUE)</f>
        <v>30</v>
      </c>
      <c r="AP68" s="1073" t="str">
        <f ca="1">VLOOKUP(Myリゾート!$C68,OFFSET(高速化データ!$A$6,0,0,高速化データ!$A$1,106), 15, TRUE)</f>
        <v>A</v>
      </c>
      <c r="AQ68" s="1071" t="str">
        <f ca="1">VLOOKUP(Myリゾート!$C68,OFFSET(高速化データ!$A$6,0,0,高速化データ!$A$1,106), 9, TRUE)</f>
        <v>景品</v>
      </c>
      <c r="AR68" s="1112">
        <f ca="1">IF($I68=5, 0,VLOOKUP(Myリゾート!$C68,OFFSET(高速化データ!$A$6,0,0,高速化データ!$A$1,106), 23+(($I68+1)*14), TRUE))</f>
        <v>30</v>
      </c>
      <c r="AS68" s="1058">
        <f ca="1">IF($I68=5, 0,VLOOKUP(Myリゾート!$C68,OFFSET(高速化データ!$A$6,0,0,高速化データ!$A$1,106), 24+(($I68+1)*14), TRUE))</f>
        <v>4500000</v>
      </c>
      <c r="AT68" s="1074">
        <f ca="1">IF($I68=5, 0,VLOOKUP(Myリゾート!$C68,OFFSET(高速化データ!$A$6,0,0,高速化データ!$A$1,106), 25+(($I68+1)*14), TRUE))</f>
        <v>0</v>
      </c>
      <c r="AU68" s="1074">
        <f ca="1">IF($I68=5, 0,VLOOKUP(Myリゾート!$C68,OFFSET(高速化データ!$A$6,0,0,高速化データ!$A$1,106), 26+(($I68+1)*14), TRUE))</f>
        <v>0</v>
      </c>
      <c r="AV68" s="1074">
        <f ca="1">IF($I68=5, 0,VLOOKUP(Myリゾート!$C68,OFFSET(高速化データ!$A$6,0,0,高速化データ!$A$1,106), 27+(($I68+1)*14), TRUE))</f>
        <v>0</v>
      </c>
      <c r="AW68" s="1075">
        <f ca="1">IF($I68=5, 0,VLOOKUP(Myリゾート!$C68,OFFSET(高速化データ!$A$6,0,0,高速化データ!$A$1,106), 28+(($I68+1)*14), TRUE))</f>
        <v>15.181359044995409</v>
      </c>
      <c r="AX68" s="1070">
        <f ca="1">IF($I68=5, 0,VLOOKUP(Myリゾート!$C68,OFFSET(高速化データ!$A$6,0,0,高速化データ!$A$1,106), 29+(($I68+1)*14), TRUE))</f>
        <v>150000</v>
      </c>
      <c r="AY68" s="1066">
        <f ca="1">IF($I68=5, 0, VLOOKUP(Myリゾート!$C68,OFFSET(高速化データ!$A$6,0,0,高速化データ!$A$1,106), 19+(($I68+1)*14), TRUE)-AJ68)</f>
        <v>4356</v>
      </c>
      <c r="AZ68" s="1058">
        <f ca="1">IF($I68=5, 0, VLOOKUP(Myリゾート!$C68,OFFSET(高速化データ!$A$6,0,0,高速化データ!$A$1,106), 20+(($I68+1)*14), TRUE)-AK68)</f>
        <v>39204</v>
      </c>
      <c r="BA68" s="1076">
        <f ca="1">IF($I68=5, 0, VLOOKUP(Myリゾート!$C68,OFFSET(高速化データ!$A$6,0,0,高速化データ!$A$1,106), 17+(($I68+1)*14), TRUE)*$B$1/100-VLOOKUP(Myリゾート!$C68,OFFSET(高速化データ!$A$6,0,0,高速化データ!$A$1,106), 16+(($I68+1)*14),TRUE)-AH68)</f>
        <v>-313.52249999999992</v>
      </c>
      <c r="BB68" s="1056">
        <f t="shared" ca="1" si="6"/>
        <v>10648</v>
      </c>
      <c r="BC68" s="1057">
        <f t="shared" ca="1" si="6"/>
        <v>95832</v>
      </c>
      <c r="BD68" s="1068">
        <f t="shared" ca="1" si="7"/>
        <v>-625.28750000000002</v>
      </c>
      <c r="BE68" s="9">
        <f t="shared" ca="1" si="8"/>
        <v>968</v>
      </c>
      <c r="BF68" s="7">
        <f t="shared" ca="1" si="8"/>
        <v>195</v>
      </c>
      <c r="BG68" s="7">
        <f t="shared" ca="1" si="9"/>
        <v>8712</v>
      </c>
      <c r="BH68" s="7">
        <f t="shared" ca="1" si="9"/>
        <v>78408</v>
      </c>
      <c r="BI68" s="7">
        <f t="shared" ca="1" si="9"/>
        <v>217</v>
      </c>
      <c r="BJ68" s="7">
        <f t="shared" ca="1" si="9"/>
        <v>1960</v>
      </c>
      <c r="BK68" s="8">
        <f t="shared" ca="1" si="10"/>
        <v>968</v>
      </c>
    </row>
    <row r="69" spans="2:63">
      <c r="B69" s="1126" t="s">
        <v>259</v>
      </c>
      <c r="C69" s="1055">
        <f ca="1">VLOOKUP(Myリゾート!$B69,OFFSET(高速化データ!$DD$6,0,0,高速化データ!$A$1,2), 2, FALSE)</f>
        <v>7015</v>
      </c>
      <c r="D69" s="59" t="str">
        <f ca="1">LEFT(VLOOKUP(Myリゾート!$C69,OFFSET(高速化データ!$A$6,0,0,高速化データ!$A$1,106), 3, TRUE),2)</f>
        <v>ホテ</v>
      </c>
      <c r="E69" s="1063" t="str">
        <f ca="1">VLOOKUP(Myリゾート!$C69,OFFSET(高速化データ!$A$6,0,0,高速化データ!$A$1,106), 4, TRUE)&amp;""</f>
        <v/>
      </c>
      <c r="F69" s="1064" t="str">
        <f ca="1">VLOOKUP(Myリゾート!$C69,OFFSET(高速化データ!$A$6,0,0,高速化データ!$A$1,106), 5, TRUE)&amp;""</f>
        <v>○</v>
      </c>
      <c r="G69" s="1064" t="str">
        <f ca="1">VLOOKUP(Myリゾート!$C69,OFFSET(高速化データ!$A$6,0,0,高速化データ!$A$1,106), 6, TRUE)&amp;""</f>
        <v/>
      </c>
      <c r="H69" s="1065" t="str">
        <f ca="1">VLOOKUP(Myリゾート!$C69,OFFSET(高速化データ!$A$6,0,0,高速化データ!$A$1,106), 7, TRUE)&amp;""</f>
        <v/>
      </c>
      <c r="I69" s="1131">
        <v>1</v>
      </c>
      <c r="J69" s="1134"/>
      <c r="K69" s="1061">
        <f ca="1">VLOOKUP(Myリゾート!$C69,OFFSET(高速化データ!$A$6,0,0,高速化データ!$A$1,106), 10, TRUE)</f>
        <v>6</v>
      </c>
      <c r="L69" s="1062">
        <f ca="1">VLOOKUP(Myリゾート!$C69,OFFSET(高速化データ!$A$6,0,0,高速化データ!$A$1,106), 12, TRUE)</f>
        <v>6.4822134387351777</v>
      </c>
      <c r="M69" s="1066">
        <f ca="1">VLOOKUP(Myリゾート!$C69,OFFSET(高速化データ!$A$6,0,0,高速化データ!$A$1,106), 86, TRUE)</f>
        <v>1640</v>
      </c>
      <c r="N69" s="1058">
        <f ca="1">VLOOKUP(Myリゾート!$C69,OFFSET(高速化データ!$A$6,0,0,高速化データ!$A$1,106), 87, TRUE)</f>
        <v>253</v>
      </c>
      <c r="O69" s="1058">
        <f t="shared" ca="1" si="0"/>
        <v>444.64749999999998</v>
      </c>
      <c r="P69" s="1059">
        <f t="shared" ca="1" si="3"/>
        <v>-1195.3525</v>
      </c>
      <c r="Q69" s="1061">
        <f ca="1">VLOOKUP(Myリゾート!$C69,OFFSET(高速化データ!$A$6,0,0,高速化データ!$A$1,106), 88, TRUE)</f>
        <v>5</v>
      </c>
      <c r="R69" s="1060">
        <f ca="1">VLOOKUP(Myリゾート!$C69,OFFSET(高速化データ!$A$6,0,0,高速化データ!$A$1,106), 89, TRUE)</f>
        <v>8200</v>
      </c>
      <c r="S69" s="1060">
        <f ca="1">VLOOKUP(Myリゾート!$C69,OFFSET(高速化データ!$A$6,0,0,高速化データ!$A$1,106), 90, TRUE)</f>
        <v>49200</v>
      </c>
      <c r="T69" s="1060">
        <f ca="1">VLOOKUP(Myリゾート!$C69,OFFSET(高速化データ!$A$6,0,0,高速化データ!$A$1,106), 91, TRUE)</f>
        <v>205</v>
      </c>
      <c r="U69" s="1067">
        <f ca="1">VLOOKUP(Myリゾート!$C69,OFFSET(高速化データ!$A$6,0,0,高速化データ!$A$1,106), 92, TRUE)</f>
        <v>1230</v>
      </c>
      <c r="V69" s="1066">
        <f ca="1">VLOOKUP(Myリゾート!$C69,OFFSET(高速化データ!$A$6,0,0,高速化データ!$A$1,106), 30, TRUE)</f>
        <v>547</v>
      </c>
      <c r="W69" s="1058">
        <f ca="1">VLOOKUP(Myリゾート!$C69,OFFSET(高速化データ!$A$6,0,0,高速化データ!$A$1,106), 31, TRUE)</f>
        <v>85</v>
      </c>
      <c r="X69" s="1058">
        <f t="shared" ca="1" si="1"/>
        <v>149.38749999999999</v>
      </c>
      <c r="Y69" s="1068">
        <f t="shared" ca="1" si="4"/>
        <v>-397.61250000000001</v>
      </c>
      <c r="Z69" s="1061">
        <f ca="1">VLOOKUP(Myリゾート!$C69,OFFSET(高速化データ!$A$6,0,0,高速化データ!$A$1,106), 32, TRUE)</f>
        <v>5</v>
      </c>
      <c r="AA69" s="1060">
        <f ca="1">VLOOKUP(Myリゾート!$C69,OFFSET(高速化データ!$A$6,0,0,高速化データ!$A$1,106), 33, TRUE)</f>
        <v>2735</v>
      </c>
      <c r="AB69" s="1060">
        <f ca="1">VLOOKUP(Myリゾート!$C69,OFFSET(高速化データ!$A$6,0,0,高速化データ!$A$1,106), 34, TRUE)</f>
        <v>16410</v>
      </c>
      <c r="AC69" s="1060">
        <f ca="1">VLOOKUP(Myリゾート!$C69,OFFSET(高速化データ!$A$6,0,0,高速化データ!$A$1,106), 35, TRUE)</f>
        <v>68</v>
      </c>
      <c r="AD69" s="1069">
        <f ca="1">VLOOKUP(Myリゾート!$C69,OFFSET(高速化データ!$A$6,0,0,高速化データ!$A$1,106), 36, TRUE)</f>
        <v>410</v>
      </c>
      <c r="AE69" s="1066">
        <f ca="1">VLOOKUP(Myリゾート!$C69,OFFSET(高速化データ!$A$6,0,0,高速化データ!$A$1,106), 16+($I69*14), TRUE)</f>
        <v>547</v>
      </c>
      <c r="AF69" s="1058">
        <f ca="1">VLOOKUP(Myリゾート!$C69,OFFSET(高速化データ!$A$6,0,0,高速化データ!$A$1,106), 17+($I69*14), TRUE)</f>
        <v>85</v>
      </c>
      <c r="AG69" s="1058">
        <f t="shared" ca="1" si="2"/>
        <v>149.38749999999999</v>
      </c>
      <c r="AH69" s="1068">
        <f t="shared" ca="1" si="5"/>
        <v>-397.61250000000001</v>
      </c>
      <c r="AI69" s="1061">
        <f ca="1">VLOOKUP(Myリゾート!$C69,OFFSET(高速化データ!$A$6,0,0,高速化データ!$A$1,106), 18+($I69*14), TRUE)</f>
        <v>5</v>
      </c>
      <c r="AJ69" s="1058">
        <f ca="1">VLOOKUP(Myリゾート!$C69,OFFSET(高速化データ!$A$6,0,0,高速化データ!$A$1,106), 19+($I69*14), TRUE)</f>
        <v>2735</v>
      </c>
      <c r="AK69" s="1058">
        <f ca="1">VLOOKUP(Myリゾート!$C69,OFFSET(高速化データ!$A$6,0,0,高速化データ!$A$1,106), 20+($I69*14), TRUE)</f>
        <v>16410</v>
      </c>
      <c r="AL69" s="1058">
        <f ca="1">VLOOKUP(Myリゾート!$C69,OFFSET(高速化データ!$A$6,0,0,高速化データ!$A$1,106), 21+($I69*14), TRUE)</f>
        <v>68</v>
      </c>
      <c r="AM69" s="1070">
        <f ca="1">VLOOKUP(Myリゾート!$C69,OFFSET(高速化データ!$A$6,0,0,高速化データ!$A$1,106), 22+($I69*14), TRUE)</f>
        <v>410</v>
      </c>
      <c r="AN69" s="1072">
        <f ca="1">VLOOKUP(Myリゾート!$C69,OFFSET(高速化データ!$A$6,0,0,高速化データ!$A$1,106), 11, TRUE)</f>
        <v>2.5000000000000001E-2</v>
      </c>
      <c r="AO69" s="1110">
        <f ca="1">VLOOKUP(Myリゾート!$C69,OFFSET(高速化データ!$A$6,0,0,高速化データ!$A$1,106), 13, TRUE)</f>
        <v>30</v>
      </c>
      <c r="AP69" s="1073" t="str">
        <f ca="1">VLOOKUP(Myリゾート!$C69,OFFSET(高速化データ!$A$6,0,0,高速化データ!$A$1,106), 15, TRUE)</f>
        <v>B</v>
      </c>
      <c r="AQ69" s="1071" t="str">
        <f ca="1">VLOOKUP(Myリゾート!$C69,OFFSET(高速化データ!$A$6,0,0,高速化データ!$A$1,106), 9, TRUE)</f>
        <v>VIP</v>
      </c>
      <c r="AR69" s="1112">
        <f ca="1">IF($I69=5, 0,VLOOKUP(Myリゾート!$C69,OFFSET(高速化データ!$A$6,0,0,高速化データ!$A$1,106), 23+(($I69+1)*14), TRUE))</f>
        <v>0</v>
      </c>
      <c r="AS69" s="1058">
        <f ca="1">IF($I69=5, 0,VLOOKUP(Myリゾート!$C69,OFFSET(高速化データ!$A$6,0,0,高速化データ!$A$1,106), 24+(($I69+1)*14), TRUE))</f>
        <v>0</v>
      </c>
      <c r="AT69" s="1074">
        <f ca="1">IF($I69=5, 0,VLOOKUP(Myリゾート!$C69,OFFSET(高速化データ!$A$6,0,0,高速化データ!$A$1,106), 25+(($I69+1)*14), TRUE))</f>
        <v>0</v>
      </c>
      <c r="AU69" s="1074">
        <f ca="1">IF($I69=5, 0,VLOOKUP(Myリゾート!$C69,OFFSET(高速化データ!$A$6,0,0,高速化データ!$A$1,106), 26+(($I69+1)*14), TRUE))</f>
        <v>0</v>
      </c>
      <c r="AV69" s="1074">
        <f ca="1">IF($I69=5, 0,VLOOKUP(Myリゾート!$C69,OFFSET(高速化データ!$A$6,0,0,高速化データ!$A$1,106), 27+(($I69+1)*14), TRUE))</f>
        <v>0</v>
      </c>
      <c r="AW69" s="1075">
        <f ca="1">IF($I69=5, 0,VLOOKUP(Myリゾート!$C69,OFFSET(高速化データ!$A$6,0,0,高速化データ!$A$1,106), 28+(($I69+1)*14), TRUE))</f>
        <v>0</v>
      </c>
      <c r="AX69" s="1070">
        <f ca="1">IF($I69=5, 0,VLOOKUP(Myリゾート!$C69,OFFSET(高速化データ!$A$6,0,0,高速化データ!$A$1,106), 29+(($I69+1)*14), TRUE))</f>
        <v>0</v>
      </c>
      <c r="AY69" s="1066">
        <f ca="1">IF($I69=5, 0, VLOOKUP(Myリゾート!$C69,OFFSET(高速化データ!$A$6,0,0,高速化データ!$A$1,106), 19+(($I69+1)*14), TRUE)-AJ69)</f>
        <v>685</v>
      </c>
      <c r="AZ69" s="1058">
        <f ca="1">IF($I69=5, 0, VLOOKUP(Myリゾート!$C69,OFFSET(高速化データ!$A$6,0,0,高速化データ!$A$1,106), 20+(($I69+1)*14), TRUE)-AK69)</f>
        <v>4110</v>
      </c>
      <c r="BA69" s="1076">
        <f ca="1">IF($I69=5, 0, VLOOKUP(Myリゾート!$C69,OFFSET(高速化データ!$A$6,0,0,高速化データ!$A$1,106), 17+(($I69+1)*14), TRUE)*$B$1/100-VLOOKUP(Myリゾート!$C69,OFFSET(高速化データ!$A$6,0,0,高速化データ!$A$1,106), 16+(($I69+1)*14),TRUE)-AH69)</f>
        <v>-100.09250000000003</v>
      </c>
      <c r="BB69" s="1056">
        <f t="shared" ca="1" si="6"/>
        <v>5465</v>
      </c>
      <c r="BC69" s="1057">
        <f t="shared" ca="1" si="6"/>
        <v>32790</v>
      </c>
      <c r="BD69" s="1068">
        <f t="shared" ca="1" si="7"/>
        <v>-797.74</v>
      </c>
      <c r="BE69" s="9">
        <f t="shared" ca="1" si="8"/>
        <v>547</v>
      </c>
      <c r="BF69" s="7">
        <f t="shared" ca="1" si="8"/>
        <v>85</v>
      </c>
      <c r="BG69" s="7">
        <f t="shared" ca="1" si="9"/>
        <v>2735</v>
      </c>
      <c r="BH69" s="7">
        <f t="shared" ca="1" si="9"/>
        <v>16410</v>
      </c>
      <c r="BI69" s="7">
        <f t="shared" ca="1" si="9"/>
        <v>68</v>
      </c>
      <c r="BJ69" s="7">
        <f t="shared" ca="1" si="9"/>
        <v>410</v>
      </c>
      <c r="BK69" s="8">
        <f t="shared" ca="1" si="10"/>
        <v>547</v>
      </c>
    </row>
    <row r="70" spans="2:63">
      <c r="B70" s="1126" t="s">
        <v>84</v>
      </c>
      <c r="C70" s="1055">
        <f ca="1">VLOOKUP(Myリゾート!$B70,OFFSET(高速化データ!$DD$6,0,0,高速化データ!$A$1,2), 2, FALSE)</f>
        <v>47</v>
      </c>
      <c r="D70" s="59" t="str">
        <f ca="1">LEFT(VLOOKUP(Myリゾート!$C70,OFFSET(高速化データ!$A$6,0,0,高速化データ!$A$1,106), 3, TRUE),2)</f>
        <v>ホテ</v>
      </c>
      <c r="E70" s="1063" t="str">
        <f ca="1">VLOOKUP(Myリゾート!$C70,OFFSET(高速化データ!$A$6,0,0,高速化データ!$A$1,106), 4, TRUE)&amp;""</f>
        <v/>
      </c>
      <c r="F70" s="1064" t="str">
        <f ca="1">VLOOKUP(Myリゾート!$C70,OFFSET(高速化データ!$A$6,0,0,高速化データ!$A$1,106), 5, TRUE)&amp;""</f>
        <v>○</v>
      </c>
      <c r="G70" s="1064" t="str">
        <f ca="1">VLOOKUP(Myリゾート!$C70,OFFSET(高速化データ!$A$6,0,0,高速化データ!$A$1,106), 6, TRUE)&amp;""</f>
        <v/>
      </c>
      <c r="H70" s="1065" t="str">
        <f ca="1">VLOOKUP(Myリゾート!$C70,OFFSET(高速化データ!$A$6,0,0,高速化データ!$A$1,106), 7, TRUE)&amp;""</f>
        <v/>
      </c>
      <c r="I70" s="1131">
        <v>2</v>
      </c>
      <c r="J70" s="1134"/>
      <c r="K70" s="1061">
        <f ca="1">VLOOKUP(Myリゾート!$C70,OFFSET(高速化データ!$A$6,0,0,高速化データ!$A$1,106), 10, TRUE)</f>
        <v>6</v>
      </c>
      <c r="L70" s="1062">
        <f ca="1">VLOOKUP(Myリゾート!$C70,OFFSET(高速化データ!$A$6,0,0,高速化データ!$A$1,106), 12, TRUE)</f>
        <v>3.75</v>
      </c>
      <c r="M70" s="1066">
        <f ca="1">VLOOKUP(Myリゾート!$C70,OFFSET(高速化データ!$A$6,0,0,高速化データ!$A$1,106), 86, TRUE)</f>
        <v>600</v>
      </c>
      <c r="N70" s="1058">
        <f ca="1">VLOOKUP(Myリゾート!$C70,OFFSET(高速化データ!$A$6,0,0,高速化データ!$A$1,106), 87, TRUE)</f>
        <v>160</v>
      </c>
      <c r="O70" s="1058">
        <f t="shared" ca="1" si="0"/>
        <v>281.2</v>
      </c>
      <c r="P70" s="1059">
        <f t="shared" ca="1" si="3"/>
        <v>-318.8</v>
      </c>
      <c r="Q70" s="1061">
        <f ca="1">VLOOKUP(Myリゾート!$C70,OFFSET(高速化データ!$A$6,0,0,高速化データ!$A$1,106), 88, TRUE)</f>
        <v>4</v>
      </c>
      <c r="R70" s="1060">
        <f ca="1">VLOOKUP(Myリゾート!$C70,OFFSET(高速化データ!$A$6,0,0,高速化データ!$A$1,106), 89, TRUE)</f>
        <v>2400</v>
      </c>
      <c r="S70" s="1060">
        <f ca="1">VLOOKUP(Myリゾート!$C70,OFFSET(高速化データ!$A$6,0,0,高速化データ!$A$1,106), 90, TRUE)</f>
        <v>14400</v>
      </c>
      <c r="T70" s="1060">
        <f ca="1">VLOOKUP(Myリゾート!$C70,OFFSET(高速化データ!$A$6,0,0,高速化データ!$A$1,106), 91, TRUE)</f>
        <v>60</v>
      </c>
      <c r="U70" s="1067">
        <f ca="1">VLOOKUP(Myリゾート!$C70,OFFSET(高速化データ!$A$6,0,0,高速化データ!$A$1,106), 92, TRUE)</f>
        <v>360</v>
      </c>
      <c r="V70" s="1066">
        <f ca="1">VLOOKUP(Myリゾート!$C70,OFFSET(高速化データ!$A$6,0,0,高速化データ!$A$1,106), 30, TRUE)</f>
        <v>300</v>
      </c>
      <c r="W70" s="1058">
        <f ca="1">VLOOKUP(Myリゾート!$C70,OFFSET(高速化データ!$A$6,0,0,高速化データ!$A$1,106), 31, TRUE)</f>
        <v>80</v>
      </c>
      <c r="X70" s="1058">
        <f t="shared" ca="1" si="1"/>
        <v>140.6</v>
      </c>
      <c r="Y70" s="1068">
        <f t="shared" ca="1" si="4"/>
        <v>-159.4</v>
      </c>
      <c r="Z70" s="1061">
        <f ca="1">VLOOKUP(Myリゾート!$C70,OFFSET(高速化データ!$A$6,0,0,高速化データ!$A$1,106), 32, TRUE)</f>
        <v>4</v>
      </c>
      <c r="AA70" s="1060">
        <f ca="1">VLOOKUP(Myリゾート!$C70,OFFSET(高速化データ!$A$6,0,0,高速化データ!$A$1,106), 33, TRUE)</f>
        <v>1200</v>
      </c>
      <c r="AB70" s="1060">
        <f ca="1">VLOOKUP(Myリゾート!$C70,OFFSET(高速化データ!$A$6,0,0,高速化データ!$A$1,106), 34, TRUE)</f>
        <v>7200</v>
      </c>
      <c r="AC70" s="1060">
        <f ca="1">VLOOKUP(Myリゾート!$C70,OFFSET(高速化データ!$A$6,0,0,高速化データ!$A$1,106), 35, TRUE)</f>
        <v>30</v>
      </c>
      <c r="AD70" s="1069">
        <f ca="1">VLOOKUP(Myリゾート!$C70,OFFSET(高速化データ!$A$6,0,0,高速化データ!$A$1,106), 36, TRUE)</f>
        <v>180</v>
      </c>
      <c r="AE70" s="1066">
        <f ca="1">VLOOKUP(Myリゾート!$C70,OFFSET(高速化データ!$A$6,0,0,高速化データ!$A$1,106), 16+($I70*14), TRUE)</f>
        <v>450</v>
      </c>
      <c r="AF70" s="1058">
        <f ca="1">VLOOKUP(Myリゾート!$C70,OFFSET(高速化データ!$A$6,0,0,高速化データ!$A$1,106), 17+($I70*14), TRUE)</f>
        <v>120</v>
      </c>
      <c r="AG70" s="1058">
        <f t="shared" ca="1" si="2"/>
        <v>210.9</v>
      </c>
      <c r="AH70" s="1068">
        <f t="shared" ca="1" si="5"/>
        <v>-239.1</v>
      </c>
      <c r="AI70" s="1061">
        <f ca="1">VLOOKUP(Myリゾート!$C70,OFFSET(高速化データ!$A$6,0,0,高速化データ!$A$1,106), 18+($I70*14), TRUE)</f>
        <v>4</v>
      </c>
      <c r="AJ70" s="1058">
        <f ca="1">VLOOKUP(Myリゾート!$C70,OFFSET(高速化データ!$A$6,0,0,高速化データ!$A$1,106), 19+($I70*14), TRUE)</f>
        <v>1800</v>
      </c>
      <c r="AK70" s="1058">
        <f ca="1">VLOOKUP(Myリゾート!$C70,OFFSET(高速化データ!$A$6,0,0,高速化データ!$A$1,106), 20+($I70*14), TRUE)</f>
        <v>10800</v>
      </c>
      <c r="AL70" s="1058">
        <f ca="1">VLOOKUP(Myリゾート!$C70,OFFSET(高速化データ!$A$6,0,0,高速化データ!$A$1,106), 21+($I70*14), TRUE)</f>
        <v>45</v>
      </c>
      <c r="AM70" s="1070">
        <f ca="1">VLOOKUP(Myリゾート!$C70,OFFSET(高速化データ!$A$6,0,0,高速化データ!$A$1,106), 22+($I70*14), TRUE)</f>
        <v>270</v>
      </c>
      <c r="AN70" s="1072">
        <f ca="1">VLOOKUP(Myリゾート!$C70,OFFSET(高速化データ!$A$6,0,0,高速化データ!$A$1,106), 11, TRUE)</f>
        <v>2.5000000000000001E-2</v>
      </c>
      <c r="AO70" s="1110">
        <f ca="1">VLOOKUP(Myリゾート!$C70,OFFSET(高速化データ!$A$6,0,0,高速化データ!$A$1,106), 13, TRUE)</f>
        <v>100</v>
      </c>
      <c r="AP70" s="1073" t="str">
        <f ca="1">VLOOKUP(Myリゾート!$C70,OFFSET(高速化データ!$A$6,0,0,高速化データ!$A$1,106), 15, TRUE)</f>
        <v>A</v>
      </c>
      <c r="AQ70" s="1071" t="str">
        <f ca="1">VLOOKUP(Myリゾート!$C70,OFFSET(高速化データ!$A$6,0,0,高速化データ!$A$1,106), 9, TRUE)</f>
        <v>限定</v>
      </c>
      <c r="AR70" s="1112">
        <f ca="1">IF($I70=5, 0,VLOOKUP(Myリゾート!$C70,OFFSET(高速化データ!$A$6,0,0,高速化データ!$A$1,106), 23+(($I70+1)*14), TRUE))</f>
        <v>6</v>
      </c>
      <c r="AS70" s="1058">
        <f ca="1">IF($I70=5, 0,VLOOKUP(Myリゾート!$C70,OFFSET(高速化データ!$A$6,0,0,高速化データ!$A$1,106), 24+(($I70+1)*14), TRUE))</f>
        <v>450000</v>
      </c>
      <c r="AT70" s="1074">
        <f ca="1">IF($I70=5, 0,VLOOKUP(Myリゾート!$C70,OFFSET(高速化データ!$A$6,0,0,高速化データ!$A$1,106), 25+(($I70+1)*14), TRUE))</f>
        <v>0</v>
      </c>
      <c r="AU70" s="1074">
        <f ca="1">IF($I70=5, 0,VLOOKUP(Myリゾート!$C70,OFFSET(高速化データ!$A$6,0,0,高速化データ!$A$1,106), 26+(($I70+1)*14), TRUE))</f>
        <v>1</v>
      </c>
      <c r="AV70" s="1074">
        <f ca="1">IF($I70=5, 0,VLOOKUP(Myリゾート!$C70,OFFSET(高速化データ!$A$6,0,0,高速化データ!$A$1,106), 27+(($I70+1)*14), TRUE))</f>
        <v>0</v>
      </c>
      <c r="AW70" s="1075">
        <f ca="1">IF($I70=5, 0,VLOOKUP(Myリゾート!$C70,OFFSET(高速化データ!$A$6,0,0,高速化データ!$A$1,106), 28+(($I70+1)*14), TRUE))</f>
        <v>9.1428571428571423</v>
      </c>
      <c r="AX70" s="1070">
        <f ca="1">IF($I70=5, 0,VLOOKUP(Myリゾート!$C70,OFFSET(高速化データ!$A$6,0,0,高速化データ!$A$1,106), 29+(($I70+1)*14), TRUE))</f>
        <v>75000</v>
      </c>
      <c r="AY70" s="1066">
        <f ca="1">IF($I70=5, 0, VLOOKUP(Myリゾート!$C70,OFFSET(高速化データ!$A$6,0,0,高速化データ!$A$1,106), 19+(($I70+1)*14), TRUE)-AJ70)</f>
        <v>300</v>
      </c>
      <c r="AZ70" s="1058">
        <f ca="1">IF($I70=5, 0, VLOOKUP(Myリゾート!$C70,OFFSET(高速化データ!$A$6,0,0,高速化データ!$A$1,106), 20+(($I70+1)*14), TRUE)-AK70)</f>
        <v>1800</v>
      </c>
      <c r="BA70" s="1076">
        <f ca="1">IF($I70=5, 0, VLOOKUP(Myリゾート!$C70,OFFSET(高速化データ!$A$6,0,0,高速化データ!$A$1,106), 17+(($I70+1)*14), TRUE)*$B$1/100-VLOOKUP(Myリゾート!$C70,OFFSET(高速化データ!$A$6,0,0,高速化データ!$A$1,106), 16+(($I70+1)*14),TRUE)-AH70)</f>
        <v>-39.849999999999994</v>
      </c>
      <c r="BB70" s="1056">
        <f t="shared" ca="1" si="6"/>
        <v>600</v>
      </c>
      <c r="BC70" s="1057">
        <f t="shared" ca="1" si="6"/>
        <v>3600</v>
      </c>
      <c r="BD70" s="1068">
        <f t="shared" ca="1" si="7"/>
        <v>-79.700000000000017</v>
      </c>
      <c r="BE70" s="9">
        <f t="shared" ca="1" si="8"/>
        <v>450</v>
      </c>
      <c r="BF70" s="7">
        <f t="shared" ca="1" si="8"/>
        <v>120</v>
      </c>
      <c r="BG70" s="7">
        <f t="shared" ca="1" si="9"/>
        <v>1800</v>
      </c>
      <c r="BH70" s="7">
        <f t="shared" ca="1" si="9"/>
        <v>10800</v>
      </c>
      <c r="BI70" s="7">
        <f t="shared" ca="1" si="9"/>
        <v>45</v>
      </c>
      <c r="BJ70" s="7">
        <f t="shared" ca="1" si="9"/>
        <v>270</v>
      </c>
      <c r="BK70" s="8">
        <f t="shared" ca="1" si="10"/>
        <v>450</v>
      </c>
    </row>
    <row r="71" spans="2:63">
      <c r="B71" s="1126" t="s">
        <v>112</v>
      </c>
      <c r="C71" s="1055">
        <f ca="1">VLOOKUP(Myリゾート!$B71,OFFSET(高速化データ!$DD$6,0,0,高速化データ!$A$1,2), 2, FALSE)</f>
        <v>77</v>
      </c>
      <c r="D71" s="59" t="str">
        <f ca="1">LEFT(VLOOKUP(Myリゾート!$C71,OFFSET(高速化データ!$A$6,0,0,高速化データ!$A$1,106), 3, TRUE),2)</f>
        <v>ホテ</v>
      </c>
      <c r="E71" s="1063" t="str">
        <f ca="1">VLOOKUP(Myリゾート!$C71,OFFSET(高速化データ!$A$6,0,0,高速化データ!$A$1,106), 4, TRUE)&amp;""</f>
        <v/>
      </c>
      <c r="F71" s="1064" t="str">
        <f ca="1">VLOOKUP(Myリゾート!$C71,OFFSET(高速化データ!$A$6,0,0,高速化データ!$A$1,106), 5, TRUE)&amp;""</f>
        <v/>
      </c>
      <c r="G71" s="1064" t="str">
        <f ca="1">VLOOKUP(Myリゾート!$C71,OFFSET(高速化データ!$A$6,0,0,高速化データ!$A$1,106), 6, TRUE)&amp;""</f>
        <v/>
      </c>
      <c r="H71" s="1065" t="str">
        <f ca="1">VLOOKUP(Myリゾート!$C71,OFFSET(高速化データ!$A$6,0,0,高速化データ!$A$1,106), 7, TRUE)&amp;""</f>
        <v>○</v>
      </c>
      <c r="I71" s="1131">
        <v>2</v>
      </c>
      <c r="J71" s="1134"/>
      <c r="K71" s="1061">
        <f ca="1">VLOOKUP(Myリゾート!$C71,OFFSET(高速化データ!$A$6,0,0,高速化データ!$A$1,106), 10, TRUE)</f>
        <v>8</v>
      </c>
      <c r="L71" s="1062">
        <f ca="1">VLOOKUP(Myリゾート!$C71,OFFSET(高速化データ!$A$6,0,0,高速化データ!$A$1,106), 12, TRUE)</f>
        <v>4.4117647058823533</v>
      </c>
      <c r="M71" s="1066">
        <f ca="1">VLOOKUP(Myリゾート!$C71,OFFSET(高速化データ!$A$6,0,0,高速化データ!$A$1,106), 86, TRUE)</f>
        <v>900</v>
      </c>
      <c r="N71" s="1058">
        <f ca="1">VLOOKUP(Myリゾート!$C71,OFFSET(高速化データ!$A$6,0,0,高速化データ!$A$1,106), 87, TRUE)</f>
        <v>205</v>
      </c>
      <c r="O71" s="1058">
        <f t="shared" ca="1" si="0"/>
        <v>360.28750000000002</v>
      </c>
      <c r="P71" s="1059">
        <f t="shared" ca="1" si="3"/>
        <v>-539.71249999999998</v>
      </c>
      <c r="Q71" s="1061">
        <f ca="1">VLOOKUP(Myリゾート!$C71,OFFSET(高速化データ!$A$6,0,0,高速化データ!$A$1,106), 88, TRUE)</f>
        <v>4</v>
      </c>
      <c r="R71" s="1060">
        <f ca="1">VLOOKUP(Myリゾート!$C71,OFFSET(高速化データ!$A$6,0,0,高速化データ!$A$1,106), 89, TRUE)</f>
        <v>3600</v>
      </c>
      <c r="S71" s="1060">
        <f ca="1">VLOOKUP(Myリゾート!$C71,OFFSET(高速化データ!$A$6,0,0,高速化データ!$A$1,106), 90, TRUE)</f>
        <v>28800</v>
      </c>
      <c r="T71" s="1060">
        <f ca="1">VLOOKUP(Myリゾート!$C71,OFFSET(高速化データ!$A$6,0,0,高速化データ!$A$1,106), 91, TRUE)</f>
        <v>90</v>
      </c>
      <c r="U71" s="1067">
        <f ca="1">VLOOKUP(Myリゾート!$C71,OFFSET(高速化データ!$A$6,0,0,高速化データ!$A$1,106), 92, TRUE)</f>
        <v>720</v>
      </c>
      <c r="V71" s="1066">
        <f ca="1">VLOOKUP(Myリゾート!$C71,OFFSET(高速化データ!$A$6,0,0,高速化データ!$A$1,106), 30, TRUE)</f>
        <v>450</v>
      </c>
      <c r="W71" s="1058">
        <f ca="1">VLOOKUP(Myリゾート!$C71,OFFSET(高速化データ!$A$6,0,0,高速化データ!$A$1,106), 31, TRUE)</f>
        <v>102</v>
      </c>
      <c r="X71" s="1058">
        <f t="shared" ca="1" si="1"/>
        <v>179.26499999999999</v>
      </c>
      <c r="Y71" s="1068">
        <f t="shared" ca="1" si="4"/>
        <v>-270.73500000000001</v>
      </c>
      <c r="Z71" s="1061">
        <f ca="1">VLOOKUP(Myリゾート!$C71,OFFSET(高速化データ!$A$6,0,0,高速化データ!$A$1,106), 32, TRUE)</f>
        <v>4</v>
      </c>
      <c r="AA71" s="1060">
        <f ca="1">VLOOKUP(Myリゾート!$C71,OFFSET(高速化データ!$A$6,0,0,高速化データ!$A$1,106), 33, TRUE)</f>
        <v>1800</v>
      </c>
      <c r="AB71" s="1060">
        <f ca="1">VLOOKUP(Myリゾート!$C71,OFFSET(高速化データ!$A$6,0,0,高速化データ!$A$1,106), 34, TRUE)</f>
        <v>14400</v>
      </c>
      <c r="AC71" s="1060">
        <f ca="1">VLOOKUP(Myリゾート!$C71,OFFSET(高速化データ!$A$6,0,0,高速化データ!$A$1,106), 35, TRUE)</f>
        <v>45</v>
      </c>
      <c r="AD71" s="1069">
        <f ca="1">VLOOKUP(Myリゾート!$C71,OFFSET(高速化データ!$A$6,0,0,高速化データ!$A$1,106), 36, TRUE)</f>
        <v>360</v>
      </c>
      <c r="AE71" s="1066">
        <f ca="1">VLOOKUP(Myリゾート!$C71,OFFSET(高速化データ!$A$6,0,0,高速化データ!$A$1,106), 16+($I71*14), TRUE)</f>
        <v>675</v>
      </c>
      <c r="AF71" s="1058">
        <f ca="1">VLOOKUP(Myリゾート!$C71,OFFSET(高速化データ!$A$6,0,0,高速化データ!$A$1,106), 17+($I71*14), TRUE)</f>
        <v>153</v>
      </c>
      <c r="AG71" s="1058">
        <f t="shared" ca="1" si="2"/>
        <v>268.89749999999998</v>
      </c>
      <c r="AH71" s="1068">
        <f t="shared" ca="1" si="5"/>
        <v>-406.10250000000002</v>
      </c>
      <c r="AI71" s="1061">
        <f ca="1">VLOOKUP(Myリゾート!$C71,OFFSET(高速化データ!$A$6,0,0,高速化データ!$A$1,106), 18+($I71*14), TRUE)</f>
        <v>4</v>
      </c>
      <c r="AJ71" s="1058">
        <f ca="1">VLOOKUP(Myリゾート!$C71,OFFSET(高速化データ!$A$6,0,0,高速化データ!$A$1,106), 19+($I71*14), TRUE)</f>
        <v>2700</v>
      </c>
      <c r="AK71" s="1058">
        <f ca="1">VLOOKUP(Myリゾート!$C71,OFFSET(高速化データ!$A$6,0,0,高速化データ!$A$1,106), 20+($I71*14), TRUE)</f>
        <v>21600</v>
      </c>
      <c r="AL71" s="1058">
        <f ca="1">VLOOKUP(Myリゾート!$C71,OFFSET(高速化データ!$A$6,0,0,高速化データ!$A$1,106), 21+($I71*14), TRUE)</f>
        <v>67</v>
      </c>
      <c r="AM71" s="1070">
        <f ca="1">VLOOKUP(Myリゾート!$C71,OFFSET(高速化データ!$A$6,0,0,高速化データ!$A$1,106), 22+($I71*14), TRUE)</f>
        <v>540</v>
      </c>
      <c r="AN71" s="1072">
        <f ca="1">VLOOKUP(Myリゾート!$C71,OFFSET(高速化データ!$A$6,0,0,高速化データ!$A$1,106), 11, TRUE)</f>
        <v>2.5000000000000001E-2</v>
      </c>
      <c r="AO71" s="1110">
        <f ca="1">VLOOKUP(Myリゾート!$C71,OFFSET(高速化データ!$A$6,0,0,高速化データ!$A$1,106), 13, TRUE)</f>
        <v>100</v>
      </c>
      <c r="AP71" s="1073" t="str">
        <f ca="1">VLOOKUP(Myリゾート!$C71,OFFSET(高速化データ!$A$6,0,0,高速化データ!$A$1,106), 15, TRUE)</f>
        <v>A</v>
      </c>
      <c r="AQ71" s="1071" t="str">
        <f ca="1">VLOOKUP(Myリゾート!$C71,OFFSET(高速化データ!$A$6,0,0,高速化データ!$A$1,106), 9, TRUE)</f>
        <v>限定</v>
      </c>
      <c r="AR71" s="1112">
        <f ca="1">IF($I71=5, 0,VLOOKUP(Myリゾート!$C71,OFFSET(高速化データ!$A$6,0,0,高速化データ!$A$1,106), 23+(($I71+1)*14), TRUE))</f>
        <v>6</v>
      </c>
      <c r="AS71" s="1058">
        <f ca="1">IF($I71=5, 0,VLOOKUP(Myリゾート!$C71,OFFSET(高速化データ!$A$6,0,0,高速化データ!$A$1,106), 24+(($I71+1)*14), TRUE))</f>
        <v>1050000</v>
      </c>
      <c r="AT71" s="1074">
        <f ca="1">IF($I71=5, 0,VLOOKUP(Myリゾート!$C71,OFFSET(高速化データ!$A$6,0,0,高速化データ!$A$1,106), 25+(($I71+1)*14), TRUE))</f>
        <v>0</v>
      </c>
      <c r="AU71" s="1074">
        <f ca="1">IF($I71=5, 0,VLOOKUP(Myリゾート!$C71,OFFSET(高速化データ!$A$6,0,0,高速化データ!$A$1,106), 26+(($I71+1)*14), TRUE))</f>
        <v>1</v>
      </c>
      <c r="AV71" s="1074">
        <f ca="1">IF($I71=5, 0,VLOOKUP(Myリゾート!$C71,OFFSET(高速化データ!$A$6,0,0,高速化データ!$A$1,106), 27+(($I71+1)*14), TRUE))</f>
        <v>0</v>
      </c>
      <c r="AW71" s="1075">
        <f ca="1">IF($I71=5, 0,VLOOKUP(Myリゾート!$C71,OFFSET(高速化データ!$A$6,0,0,高速化データ!$A$1,106), 28+(($I71+1)*14), TRUE))</f>
        <v>14.112134688691233</v>
      </c>
      <c r="AX71" s="1070">
        <f ca="1">IF($I71=5, 0,VLOOKUP(Myリゾート!$C71,OFFSET(高速化データ!$A$6,0,0,高速化データ!$A$1,106), 29+(($I71+1)*14), TRUE))</f>
        <v>175000</v>
      </c>
      <c r="AY71" s="1066">
        <f ca="1">IF($I71=5, 0, VLOOKUP(Myリゾート!$C71,OFFSET(高速化データ!$A$6,0,0,高速化データ!$A$1,106), 19+(($I71+1)*14), TRUE)-AJ71)</f>
        <v>448</v>
      </c>
      <c r="AZ71" s="1058">
        <f ca="1">IF($I71=5, 0, VLOOKUP(Myリゾート!$C71,OFFSET(高速化データ!$A$6,0,0,高速化データ!$A$1,106), 20+(($I71+1)*14), TRUE)-AK71)</f>
        <v>3584</v>
      </c>
      <c r="BA71" s="1076">
        <f ca="1">IF($I71=5, 0, VLOOKUP(Myリゾート!$C71,OFFSET(高速化データ!$A$6,0,0,高速化データ!$A$1,106), 17+(($I71+1)*14), TRUE)*$B$1/100-VLOOKUP(Myリゾート!$C71,OFFSET(高速化データ!$A$6,0,0,高速化データ!$A$1,106), 16+(($I71+1)*14),TRUE)-AH71)</f>
        <v>-68.0625</v>
      </c>
      <c r="BB71" s="1056">
        <f t="shared" ca="1" si="6"/>
        <v>900</v>
      </c>
      <c r="BC71" s="1057">
        <f t="shared" ca="1" si="6"/>
        <v>7200</v>
      </c>
      <c r="BD71" s="1068">
        <f t="shared" ca="1" si="7"/>
        <v>-133.60999999999996</v>
      </c>
      <c r="BE71" s="9">
        <f t="shared" ca="1" si="8"/>
        <v>675</v>
      </c>
      <c r="BF71" s="7">
        <f t="shared" ca="1" si="8"/>
        <v>153</v>
      </c>
      <c r="BG71" s="7">
        <f t="shared" ca="1" si="9"/>
        <v>2700</v>
      </c>
      <c r="BH71" s="7">
        <f t="shared" ca="1" si="9"/>
        <v>21600</v>
      </c>
      <c r="BI71" s="7">
        <f t="shared" ca="1" si="9"/>
        <v>67</v>
      </c>
      <c r="BJ71" s="7">
        <f t="shared" ca="1" si="9"/>
        <v>540</v>
      </c>
      <c r="BK71" s="8">
        <f t="shared" ca="1" si="10"/>
        <v>675</v>
      </c>
    </row>
    <row r="72" spans="2:63">
      <c r="B72" s="1126" t="s">
        <v>171</v>
      </c>
      <c r="C72" s="1055">
        <f ca="1">VLOOKUP(Myリゾート!$B72,OFFSET(高速化データ!$DD$6,0,0,高速化データ!$A$1,2), 2, FALSE)</f>
        <v>89</v>
      </c>
      <c r="D72" s="59" t="str">
        <f ca="1">LEFT(VLOOKUP(Myリゾート!$C72,OFFSET(高速化データ!$A$6,0,0,高速化データ!$A$1,106), 3, TRUE),2)</f>
        <v>ホテ</v>
      </c>
      <c r="E72" s="1063" t="str">
        <f ca="1">VLOOKUP(Myリゾート!$C72,OFFSET(高速化データ!$A$6,0,0,高速化データ!$A$1,106), 4, TRUE)&amp;""</f>
        <v>○</v>
      </c>
      <c r="F72" s="1064" t="str">
        <f ca="1">VLOOKUP(Myリゾート!$C72,OFFSET(高速化データ!$A$6,0,0,高速化データ!$A$1,106), 5, TRUE)&amp;""</f>
        <v>○</v>
      </c>
      <c r="G72" s="1064" t="str">
        <f ca="1">VLOOKUP(Myリゾート!$C72,OFFSET(高速化データ!$A$6,0,0,高速化データ!$A$1,106), 6, TRUE)&amp;""</f>
        <v/>
      </c>
      <c r="H72" s="1065" t="str">
        <f ca="1">VLOOKUP(Myリゾート!$C72,OFFSET(高速化データ!$A$6,0,0,高速化データ!$A$1,106), 7, TRUE)&amp;""</f>
        <v/>
      </c>
      <c r="I72" s="1131">
        <v>3</v>
      </c>
      <c r="J72" s="1134"/>
      <c r="K72" s="1061">
        <f ca="1">VLOOKUP(Myリゾート!$C72,OFFSET(高速化データ!$A$6,0,0,高速化データ!$A$1,106), 10, TRUE)</f>
        <v>8</v>
      </c>
      <c r="L72" s="1062">
        <f ca="1">VLOOKUP(Myリゾート!$C72,OFFSET(高速化データ!$A$6,0,0,高速化データ!$A$1,106), 12, TRUE)</f>
        <v>4.4444444444444446</v>
      </c>
      <c r="M72" s="1066">
        <f ca="1">VLOOKUP(Myリゾート!$C72,OFFSET(高速化データ!$A$6,0,0,高速化データ!$A$1,106), 86, TRUE)</f>
        <v>1600</v>
      </c>
      <c r="N72" s="1058">
        <f ca="1">VLOOKUP(Myリゾート!$C72,OFFSET(高速化データ!$A$6,0,0,高速化データ!$A$1,106), 87, TRUE)</f>
        <v>360</v>
      </c>
      <c r="O72" s="1058">
        <f t="shared" ca="1" si="0"/>
        <v>632.70000000000005</v>
      </c>
      <c r="P72" s="1059">
        <f t="shared" ca="1" si="3"/>
        <v>-967.3</v>
      </c>
      <c r="Q72" s="1061">
        <f ca="1">VLOOKUP(Myリゾート!$C72,OFFSET(高速化データ!$A$6,0,0,高速化データ!$A$1,106), 88, TRUE)</f>
        <v>10</v>
      </c>
      <c r="R72" s="1060">
        <f ca="1">VLOOKUP(Myリゾート!$C72,OFFSET(高速化データ!$A$6,0,0,高速化データ!$A$1,106), 89, TRUE)</f>
        <v>16000</v>
      </c>
      <c r="S72" s="1060">
        <f ca="1">VLOOKUP(Myリゾート!$C72,OFFSET(高速化データ!$A$6,0,0,高速化データ!$A$1,106), 90, TRUE)</f>
        <v>128000</v>
      </c>
      <c r="T72" s="1060">
        <f ca="1">VLOOKUP(Myリゾート!$C72,OFFSET(高速化データ!$A$6,0,0,高速化データ!$A$1,106), 91, TRUE)</f>
        <v>400</v>
      </c>
      <c r="U72" s="1067">
        <f ca="1">VLOOKUP(Myリゾート!$C72,OFFSET(高速化データ!$A$6,0,0,高速化データ!$A$1,106), 92, TRUE)</f>
        <v>3200</v>
      </c>
      <c r="V72" s="1066">
        <f ca="1">VLOOKUP(Myリゾート!$C72,OFFSET(高速化データ!$A$6,0,0,高速化データ!$A$1,106), 30, TRUE)</f>
        <v>800</v>
      </c>
      <c r="W72" s="1058">
        <f ca="1">VLOOKUP(Myリゾート!$C72,OFFSET(高速化データ!$A$6,0,0,高速化データ!$A$1,106), 31, TRUE)</f>
        <v>180</v>
      </c>
      <c r="X72" s="1058">
        <f t="shared" ca="1" si="1"/>
        <v>316.35000000000002</v>
      </c>
      <c r="Y72" s="1068">
        <f t="shared" ca="1" si="4"/>
        <v>-483.65</v>
      </c>
      <c r="Z72" s="1061">
        <f ca="1">VLOOKUP(Myリゾート!$C72,OFFSET(高速化データ!$A$6,0,0,高速化データ!$A$1,106), 32, TRUE)</f>
        <v>9</v>
      </c>
      <c r="AA72" s="1060">
        <f ca="1">VLOOKUP(Myリゾート!$C72,OFFSET(高速化データ!$A$6,0,0,高速化データ!$A$1,106), 33, TRUE)</f>
        <v>7200</v>
      </c>
      <c r="AB72" s="1060">
        <f ca="1">VLOOKUP(Myリゾート!$C72,OFFSET(高速化データ!$A$6,0,0,高速化データ!$A$1,106), 34, TRUE)</f>
        <v>57600</v>
      </c>
      <c r="AC72" s="1060">
        <f ca="1">VLOOKUP(Myリゾート!$C72,OFFSET(高速化データ!$A$6,0,0,高速化データ!$A$1,106), 35, TRUE)</f>
        <v>180</v>
      </c>
      <c r="AD72" s="1069">
        <f ca="1">VLOOKUP(Myリゾート!$C72,OFFSET(高速化データ!$A$6,0,0,高速化データ!$A$1,106), 36, TRUE)</f>
        <v>1440</v>
      </c>
      <c r="AE72" s="1066">
        <f ca="1">VLOOKUP(Myリゾート!$C72,OFFSET(高速化データ!$A$6,0,0,高速化データ!$A$1,106), 16+($I72*14), TRUE)</f>
        <v>1396</v>
      </c>
      <c r="AF72" s="1058">
        <f ca="1">VLOOKUP(Myリゾート!$C72,OFFSET(高速化データ!$A$6,0,0,高速化データ!$A$1,106), 17+($I72*14), TRUE)</f>
        <v>315</v>
      </c>
      <c r="AG72" s="1058">
        <f t="shared" ca="1" si="2"/>
        <v>553.61249999999995</v>
      </c>
      <c r="AH72" s="1068">
        <f t="shared" ca="1" si="5"/>
        <v>-842.38750000000005</v>
      </c>
      <c r="AI72" s="1061">
        <f ca="1">VLOOKUP(Myリゾート!$C72,OFFSET(高速化データ!$A$6,0,0,高速化データ!$A$1,106), 18+($I72*14), TRUE)</f>
        <v>9</v>
      </c>
      <c r="AJ72" s="1058">
        <f ca="1">VLOOKUP(Myリゾート!$C72,OFFSET(高速化データ!$A$6,0,0,高速化データ!$A$1,106), 19+($I72*14), TRUE)</f>
        <v>12564</v>
      </c>
      <c r="AK72" s="1058">
        <f ca="1">VLOOKUP(Myリゾート!$C72,OFFSET(高速化データ!$A$6,0,0,高速化データ!$A$1,106), 20+($I72*14), TRUE)</f>
        <v>100512</v>
      </c>
      <c r="AL72" s="1058">
        <f ca="1">VLOOKUP(Myリゾート!$C72,OFFSET(高速化データ!$A$6,0,0,高速化データ!$A$1,106), 21+($I72*14), TRUE)</f>
        <v>314</v>
      </c>
      <c r="AM72" s="1070">
        <f ca="1">VLOOKUP(Myリゾート!$C72,OFFSET(高速化データ!$A$6,0,0,高速化データ!$A$1,106), 22+($I72*14), TRUE)</f>
        <v>2512</v>
      </c>
      <c r="AN72" s="1072">
        <f ca="1">VLOOKUP(Myリゾート!$C72,OFFSET(高速化データ!$A$6,0,0,高速化データ!$A$1,106), 11, TRUE)</f>
        <v>2.5000000000000001E-2</v>
      </c>
      <c r="AO72" s="1110">
        <f ca="1">VLOOKUP(Myリゾート!$C72,OFFSET(高速化データ!$A$6,0,0,高速化データ!$A$1,106), 13, TRUE)</f>
        <v>100</v>
      </c>
      <c r="AP72" s="1073" t="str">
        <f ca="1">VLOOKUP(Myリゾート!$C72,OFFSET(高速化データ!$A$6,0,0,高速化データ!$A$1,106), 15, TRUE)</f>
        <v>A</v>
      </c>
      <c r="AQ72" s="1071" t="str">
        <f ca="1">VLOOKUP(Myリゾート!$C72,OFFSET(高速化データ!$A$6,0,0,高速化データ!$A$1,106), 9, TRUE)</f>
        <v>限定</v>
      </c>
      <c r="AR72" s="1112">
        <f ca="1">IF($I72=5, 0,VLOOKUP(Myリゾート!$C72,OFFSET(高速化データ!$A$6,0,0,高速化データ!$A$1,106), 23+(($I72+1)*14), TRUE))</f>
        <v>96</v>
      </c>
      <c r="AS72" s="1058">
        <f ca="1">IF($I72=5, 0,VLOOKUP(Myリゾート!$C72,OFFSET(高速化データ!$A$6,0,0,高速化データ!$A$1,106), 24+(($I72+1)*14), TRUE))</f>
        <v>4800000</v>
      </c>
      <c r="AT72" s="1074">
        <f ca="1">IF($I72=5, 0,VLOOKUP(Myリゾート!$C72,OFFSET(高速化データ!$A$6,0,0,高速化データ!$A$1,106), 25+(($I72+1)*14), TRUE))</f>
        <v>0</v>
      </c>
      <c r="AU72" s="1074">
        <f ca="1">IF($I72=5, 0,VLOOKUP(Myリゾート!$C72,OFFSET(高速化データ!$A$6,0,0,高速化データ!$A$1,106), 26+(($I72+1)*14), TRUE))</f>
        <v>0</v>
      </c>
      <c r="AV72" s="1074">
        <f ca="1">IF($I72=5, 0,VLOOKUP(Myリゾート!$C72,OFFSET(高速化データ!$A$6,0,0,高速化データ!$A$1,106), 27+(($I72+1)*14), TRUE))</f>
        <v>4</v>
      </c>
      <c r="AW72" s="1075">
        <f ca="1">IF($I72=5, 0,VLOOKUP(Myリゾート!$C72,OFFSET(高速化データ!$A$6,0,0,高速化データ!$A$1,106), 28+(($I72+1)*14), TRUE))</f>
        <v>18.29356725146199</v>
      </c>
      <c r="AX72" s="1070">
        <f ca="1">IF($I72=5, 0,VLOOKUP(Myリゾート!$C72,OFFSET(高速化データ!$A$6,0,0,高速化データ!$A$1,106), 29+(($I72+1)*14), TRUE))</f>
        <v>50000</v>
      </c>
      <c r="AY72" s="1066">
        <f ca="1">IF($I72=5, 0, VLOOKUP(Myリゾート!$C72,OFFSET(高速化データ!$A$6,0,0,高速化データ!$A$1,106), 19+(($I72+1)*14), TRUE)-AJ72)</f>
        <v>1116</v>
      </c>
      <c r="AZ72" s="1058">
        <f ca="1">IF($I72=5, 0, VLOOKUP(Myリゾート!$C72,OFFSET(高速化データ!$A$6,0,0,高速化データ!$A$1,106), 20+(($I72+1)*14), TRUE)-AK72)</f>
        <v>8928</v>
      </c>
      <c r="BA72" s="1076">
        <f ca="1">IF($I72=5, 0, VLOOKUP(Myリゾート!$C72,OFFSET(高速化データ!$A$6,0,0,高速化データ!$A$1,106), 17+(($I72+1)*14), TRUE)*$B$1/100-VLOOKUP(Myリゾート!$C72,OFFSET(高速化データ!$A$6,0,0,高速化データ!$A$1,106), 16+(($I72+1)*14),TRUE)-AH72)</f>
        <v>-76.5474999999999</v>
      </c>
      <c r="BB72" s="1056">
        <f t="shared" ca="1" si="6"/>
        <v>3436</v>
      </c>
      <c r="BC72" s="1057">
        <f t="shared" ca="1" si="6"/>
        <v>27488</v>
      </c>
      <c r="BD72" s="1068">
        <f t="shared" ca="1" si="7"/>
        <v>-124.91249999999991</v>
      </c>
      <c r="BE72" s="9">
        <f t="shared" ca="1" si="8"/>
        <v>1396</v>
      </c>
      <c r="BF72" s="7">
        <f t="shared" ca="1" si="8"/>
        <v>315</v>
      </c>
      <c r="BG72" s="7">
        <f t="shared" ca="1" si="9"/>
        <v>12564</v>
      </c>
      <c r="BH72" s="7">
        <f t="shared" ca="1" si="9"/>
        <v>100512</v>
      </c>
      <c r="BI72" s="7">
        <f t="shared" ca="1" si="9"/>
        <v>314</v>
      </c>
      <c r="BJ72" s="7">
        <f t="shared" ca="1" si="9"/>
        <v>2512</v>
      </c>
      <c r="BK72" s="8">
        <f t="shared" ca="1" si="10"/>
        <v>1396</v>
      </c>
    </row>
    <row r="73" spans="2:63">
      <c r="B73" s="1126" t="s">
        <v>171</v>
      </c>
      <c r="C73" s="1055">
        <f ca="1">VLOOKUP(Myリゾート!$B73,OFFSET(高速化データ!$DD$6,0,0,高速化データ!$A$1,2), 2, FALSE)</f>
        <v>89</v>
      </c>
      <c r="D73" s="59" t="str">
        <f ca="1">LEFT(VLOOKUP(Myリゾート!$C73,OFFSET(高速化データ!$A$6,0,0,高速化データ!$A$1,106), 3, TRUE),2)</f>
        <v>ホテ</v>
      </c>
      <c r="E73" s="1063" t="str">
        <f ca="1">VLOOKUP(Myリゾート!$C73,OFFSET(高速化データ!$A$6,0,0,高速化データ!$A$1,106), 4, TRUE)&amp;""</f>
        <v>○</v>
      </c>
      <c r="F73" s="1064" t="str">
        <f ca="1">VLOOKUP(Myリゾート!$C73,OFFSET(高速化データ!$A$6,0,0,高速化データ!$A$1,106), 5, TRUE)&amp;""</f>
        <v>○</v>
      </c>
      <c r="G73" s="1064" t="str">
        <f ca="1">VLOOKUP(Myリゾート!$C73,OFFSET(高速化データ!$A$6,0,0,高速化データ!$A$1,106), 6, TRUE)&amp;""</f>
        <v/>
      </c>
      <c r="H73" s="1065" t="str">
        <f ca="1">VLOOKUP(Myリゾート!$C73,OFFSET(高速化データ!$A$6,0,0,高速化データ!$A$1,106), 7, TRUE)&amp;""</f>
        <v/>
      </c>
      <c r="I73" s="1131">
        <v>3</v>
      </c>
      <c r="J73" s="1134"/>
      <c r="K73" s="1061">
        <f ca="1">VLOOKUP(Myリゾート!$C73,OFFSET(高速化データ!$A$6,0,0,高速化データ!$A$1,106), 10, TRUE)</f>
        <v>8</v>
      </c>
      <c r="L73" s="1062">
        <f ca="1">VLOOKUP(Myリゾート!$C73,OFFSET(高速化データ!$A$6,0,0,高速化データ!$A$1,106), 12, TRUE)</f>
        <v>4.4444444444444446</v>
      </c>
      <c r="M73" s="1066">
        <f ca="1">VLOOKUP(Myリゾート!$C73,OFFSET(高速化データ!$A$6,0,0,高速化データ!$A$1,106), 86, TRUE)</f>
        <v>1600</v>
      </c>
      <c r="N73" s="1058">
        <f ca="1">VLOOKUP(Myリゾート!$C73,OFFSET(高速化データ!$A$6,0,0,高速化データ!$A$1,106), 87, TRUE)</f>
        <v>360</v>
      </c>
      <c r="O73" s="1058">
        <f t="shared" ca="1" si="0"/>
        <v>632.70000000000005</v>
      </c>
      <c r="P73" s="1059">
        <f t="shared" ca="1" si="3"/>
        <v>-967.3</v>
      </c>
      <c r="Q73" s="1061">
        <f ca="1">VLOOKUP(Myリゾート!$C73,OFFSET(高速化データ!$A$6,0,0,高速化データ!$A$1,106), 88, TRUE)</f>
        <v>10</v>
      </c>
      <c r="R73" s="1060">
        <f ca="1">VLOOKUP(Myリゾート!$C73,OFFSET(高速化データ!$A$6,0,0,高速化データ!$A$1,106), 89, TRUE)</f>
        <v>16000</v>
      </c>
      <c r="S73" s="1060">
        <f ca="1">VLOOKUP(Myリゾート!$C73,OFFSET(高速化データ!$A$6,0,0,高速化データ!$A$1,106), 90, TRUE)</f>
        <v>128000</v>
      </c>
      <c r="T73" s="1060">
        <f ca="1">VLOOKUP(Myリゾート!$C73,OFFSET(高速化データ!$A$6,0,0,高速化データ!$A$1,106), 91, TRUE)</f>
        <v>400</v>
      </c>
      <c r="U73" s="1067">
        <f ca="1">VLOOKUP(Myリゾート!$C73,OFFSET(高速化データ!$A$6,0,0,高速化データ!$A$1,106), 92, TRUE)</f>
        <v>3200</v>
      </c>
      <c r="V73" s="1066">
        <f ca="1">VLOOKUP(Myリゾート!$C73,OFFSET(高速化データ!$A$6,0,0,高速化データ!$A$1,106), 30, TRUE)</f>
        <v>800</v>
      </c>
      <c r="W73" s="1058">
        <f ca="1">VLOOKUP(Myリゾート!$C73,OFFSET(高速化データ!$A$6,0,0,高速化データ!$A$1,106), 31, TRUE)</f>
        <v>180</v>
      </c>
      <c r="X73" s="1058">
        <f t="shared" ca="1" si="1"/>
        <v>316.35000000000002</v>
      </c>
      <c r="Y73" s="1068">
        <f t="shared" ca="1" si="4"/>
        <v>-483.65</v>
      </c>
      <c r="Z73" s="1061">
        <f ca="1">VLOOKUP(Myリゾート!$C73,OFFSET(高速化データ!$A$6,0,0,高速化データ!$A$1,106), 32, TRUE)</f>
        <v>9</v>
      </c>
      <c r="AA73" s="1060">
        <f ca="1">VLOOKUP(Myリゾート!$C73,OFFSET(高速化データ!$A$6,0,0,高速化データ!$A$1,106), 33, TRUE)</f>
        <v>7200</v>
      </c>
      <c r="AB73" s="1060">
        <f ca="1">VLOOKUP(Myリゾート!$C73,OFFSET(高速化データ!$A$6,0,0,高速化データ!$A$1,106), 34, TRUE)</f>
        <v>57600</v>
      </c>
      <c r="AC73" s="1060">
        <f ca="1">VLOOKUP(Myリゾート!$C73,OFFSET(高速化データ!$A$6,0,0,高速化データ!$A$1,106), 35, TRUE)</f>
        <v>180</v>
      </c>
      <c r="AD73" s="1069">
        <f ca="1">VLOOKUP(Myリゾート!$C73,OFFSET(高速化データ!$A$6,0,0,高速化データ!$A$1,106), 36, TRUE)</f>
        <v>1440</v>
      </c>
      <c r="AE73" s="1066">
        <f ca="1">VLOOKUP(Myリゾート!$C73,OFFSET(高速化データ!$A$6,0,0,高速化データ!$A$1,106), 16+($I73*14), TRUE)</f>
        <v>1396</v>
      </c>
      <c r="AF73" s="1058">
        <f ca="1">VLOOKUP(Myリゾート!$C73,OFFSET(高速化データ!$A$6,0,0,高速化データ!$A$1,106), 17+($I73*14), TRUE)</f>
        <v>315</v>
      </c>
      <c r="AG73" s="1058">
        <f t="shared" ca="1" si="2"/>
        <v>553.61249999999995</v>
      </c>
      <c r="AH73" s="1068">
        <f t="shared" ca="1" si="5"/>
        <v>-842.38750000000005</v>
      </c>
      <c r="AI73" s="1061">
        <f ca="1">VLOOKUP(Myリゾート!$C73,OFFSET(高速化データ!$A$6,0,0,高速化データ!$A$1,106), 18+($I73*14), TRUE)</f>
        <v>9</v>
      </c>
      <c r="AJ73" s="1058">
        <f ca="1">VLOOKUP(Myリゾート!$C73,OFFSET(高速化データ!$A$6,0,0,高速化データ!$A$1,106), 19+($I73*14), TRUE)</f>
        <v>12564</v>
      </c>
      <c r="AK73" s="1058">
        <f ca="1">VLOOKUP(Myリゾート!$C73,OFFSET(高速化データ!$A$6,0,0,高速化データ!$A$1,106), 20+($I73*14), TRUE)</f>
        <v>100512</v>
      </c>
      <c r="AL73" s="1058">
        <f ca="1">VLOOKUP(Myリゾート!$C73,OFFSET(高速化データ!$A$6,0,0,高速化データ!$A$1,106), 21+($I73*14), TRUE)</f>
        <v>314</v>
      </c>
      <c r="AM73" s="1070">
        <f ca="1">VLOOKUP(Myリゾート!$C73,OFFSET(高速化データ!$A$6,0,0,高速化データ!$A$1,106), 22+($I73*14), TRUE)</f>
        <v>2512</v>
      </c>
      <c r="AN73" s="1072">
        <f ca="1">VLOOKUP(Myリゾート!$C73,OFFSET(高速化データ!$A$6,0,0,高速化データ!$A$1,106), 11, TRUE)</f>
        <v>2.5000000000000001E-2</v>
      </c>
      <c r="AO73" s="1110">
        <f ca="1">VLOOKUP(Myリゾート!$C73,OFFSET(高速化データ!$A$6,0,0,高速化データ!$A$1,106), 13, TRUE)</f>
        <v>100</v>
      </c>
      <c r="AP73" s="1073" t="str">
        <f ca="1">VLOOKUP(Myリゾート!$C73,OFFSET(高速化データ!$A$6,0,0,高速化データ!$A$1,106), 15, TRUE)</f>
        <v>A</v>
      </c>
      <c r="AQ73" s="1071" t="str">
        <f ca="1">VLOOKUP(Myリゾート!$C73,OFFSET(高速化データ!$A$6,0,0,高速化データ!$A$1,106), 9, TRUE)</f>
        <v>限定</v>
      </c>
      <c r="AR73" s="1112">
        <f ca="1">IF($I73=5, 0,VLOOKUP(Myリゾート!$C73,OFFSET(高速化データ!$A$6,0,0,高速化データ!$A$1,106), 23+(($I73+1)*14), TRUE))</f>
        <v>96</v>
      </c>
      <c r="AS73" s="1058">
        <f ca="1">IF($I73=5, 0,VLOOKUP(Myリゾート!$C73,OFFSET(高速化データ!$A$6,0,0,高速化データ!$A$1,106), 24+(($I73+1)*14), TRUE))</f>
        <v>4800000</v>
      </c>
      <c r="AT73" s="1074">
        <f ca="1">IF($I73=5, 0,VLOOKUP(Myリゾート!$C73,OFFSET(高速化データ!$A$6,0,0,高速化データ!$A$1,106), 25+(($I73+1)*14), TRUE))</f>
        <v>0</v>
      </c>
      <c r="AU73" s="1074">
        <f ca="1">IF($I73=5, 0,VLOOKUP(Myリゾート!$C73,OFFSET(高速化データ!$A$6,0,0,高速化データ!$A$1,106), 26+(($I73+1)*14), TRUE))</f>
        <v>0</v>
      </c>
      <c r="AV73" s="1074">
        <f ca="1">IF($I73=5, 0,VLOOKUP(Myリゾート!$C73,OFFSET(高速化データ!$A$6,0,0,高速化データ!$A$1,106), 27+(($I73+1)*14), TRUE))</f>
        <v>4</v>
      </c>
      <c r="AW73" s="1075">
        <f ca="1">IF($I73=5, 0,VLOOKUP(Myリゾート!$C73,OFFSET(高速化データ!$A$6,0,0,高速化データ!$A$1,106), 28+(($I73+1)*14), TRUE))</f>
        <v>18.29356725146199</v>
      </c>
      <c r="AX73" s="1070">
        <f ca="1">IF($I73=5, 0,VLOOKUP(Myリゾート!$C73,OFFSET(高速化データ!$A$6,0,0,高速化データ!$A$1,106), 29+(($I73+1)*14), TRUE))</f>
        <v>50000</v>
      </c>
      <c r="AY73" s="1066">
        <f ca="1">IF($I73=5, 0, VLOOKUP(Myリゾート!$C73,OFFSET(高速化データ!$A$6,0,0,高速化データ!$A$1,106), 19+(($I73+1)*14), TRUE)-AJ73)</f>
        <v>1116</v>
      </c>
      <c r="AZ73" s="1058">
        <f ca="1">IF($I73=5, 0, VLOOKUP(Myリゾート!$C73,OFFSET(高速化データ!$A$6,0,0,高速化データ!$A$1,106), 20+(($I73+1)*14), TRUE)-AK73)</f>
        <v>8928</v>
      </c>
      <c r="BA73" s="1076">
        <f ca="1">IF($I73=5, 0, VLOOKUP(Myリゾート!$C73,OFFSET(高速化データ!$A$6,0,0,高速化データ!$A$1,106), 17+(($I73+1)*14), TRUE)*$B$1/100-VLOOKUP(Myリゾート!$C73,OFFSET(高速化データ!$A$6,0,0,高速化データ!$A$1,106), 16+(($I73+1)*14),TRUE)-AH73)</f>
        <v>-76.5474999999999</v>
      </c>
      <c r="BB73" s="1056">
        <f t="shared" ca="1" si="6"/>
        <v>3436</v>
      </c>
      <c r="BC73" s="1057">
        <f t="shared" ca="1" si="6"/>
        <v>27488</v>
      </c>
      <c r="BD73" s="1068">
        <f t="shared" ca="1" si="7"/>
        <v>-124.91249999999991</v>
      </c>
      <c r="BE73" s="9">
        <f t="shared" ca="1" si="8"/>
        <v>1396</v>
      </c>
      <c r="BF73" s="7">
        <f t="shared" ca="1" si="8"/>
        <v>315</v>
      </c>
      <c r="BG73" s="7">
        <f t="shared" ca="1" si="9"/>
        <v>12564</v>
      </c>
      <c r="BH73" s="7">
        <f t="shared" ca="1" si="9"/>
        <v>100512</v>
      </c>
      <c r="BI73" s="7">
        <f t="shared" ca="1" si="9"/>
        <v>314</v>
      </c>
      <c r="BJ73" s="7">
        <f t="shared" ca="1" si="9"/>
        <v>2512</v>
      </c>
      <c r="BK73" s="8">
        <f t="shared" ca="1" si="10"/>
        <v>1396</v>
      </c>
    </row>
    <row r="74" spans="2:63">
      <c r="B74" s="1126" t="s">
        <v>171</v>
      </c>
      <c r="C74" s="1055">
        <f ca="1">VLOOKUP(Myリゾート!$B74,OFFSET(高速化データ!$DD$6,0,0,高速化データ!$A$1,2), 2, FALSE)</f>
        <v>89</v>
      </c>
      <c r="D74" s="59" t="str">
        <f ca="1">LEFT(VLOOKUP(Myリゾート!$C74,OFFSET(高速化データ!$A$6,0,0,高速化データ!$A$1,106), 3, TRUE),2)</f>
        <v>ホテ</v>
      </c>
      <c r="E74" s="1063" t="str">
        <f ca="1">VLOOKUP(Myリゾート!$C74,OFFSET(高速化データ!$A$6,0,0,高速化データ!$A$1,106), 4, TRUE)&amp;""</f>
        <v>○</v>
      </c>
      <c r="F74" s="1064" t="str">
        <f ca="1">VLOOKUP(Myリゾート!$C74,OFFSET(高速化データ!$A$6,0,0,高速化データ!$A$1,106), 5, TRUE)&amp;""</f>
        <v>○</v>
      </c>
      <c r="G74" s="1064" t="str">
        <f ca="1">VLOOKUP(Myリゾート!$C74,OFFSET(高速化データ!$A$6,0,0,高速化データ!$A$1,106), 6, TRUE)&amp;""</f>
        <v/>
      </c>
      <c r="H74" s="1065" t="str">
        <f ca="1">VLOOKUP(Myリゾート!$C74,OFFSET(高速化データ!$A$6,0,0,高速化データ!$A$1,106), 7, TRUE)&amp;""</f>
        <v/>
      </c>
      <c r="I74" s="1131">
        <v>4</v>
      </c>
      <c r="J74" s="1134"/>
      <c r="K74" s="1061">
        <f ca="1">VLOOKUP(Myリゾート!$C74,OFFSET(高速化データ!$A$6,0,0,高速化データ!$A$1,106), 10, TRUE)</f>
        <v>8</v>
      </c>
      <c r="L74" s="1062">
        <f ca="1">VLOOKUP(Myリゾート!$C74,OFFSET(高速化データ!$A$6,0,0,高速化データ!$A$1,106), 12, TRUE)</f>
        <v>4.4444444444444446</v>
      </c>
      <c r="M74" s="1066">
        <f ca="1">VLOOKUP(Myリゾート!$C74,OFFSET(高速化データ!$A$6,0,0,高速化データ!$A$1,106), 86, TRUE)</f>
        <v>1600</v>
      </c>
      <c r="N74" s="1058">
        <f ca="1">VLOOKUP(Myリゾート!$C74,OFFSET(高速化データ!$A$6,0,0,高速化データ!$A$1,106), 87, TRUE)</f>
        <v>360</v>
      </c>
      <c r="O74" s="1058">
        <f t="shared" ca="1" si="0"/>
        <v>632.70000000000005</v>
      </c>
      <c r="P74" s="1059">
        <f t="shared" ca="1" si="3"/>
        <v>-967.3</v>
      </c>
      <c r="Q74" s="1061">
        <f ca="1">VLOOKUP(Myリゾート!$C74,OFFSET(高速化データ!$A$6,0,0,高速化データ!$A$1,106), 88, TRUE)</f>
        <v>10</v>
      </c>
      <c r="R74" s="1060">
        <f ca="1">VLOOKUP(Myリゾート!$C74,OFFSET(高速化データ!$A$6,0,0,高速化データ!$A$1,106), 89, TRUE)</f>
        <v>16000</v>
      </c>
      <c r="S74" s="1060">
        <f ca="1">VLOOKUP(Myリゾート!$C74,OFFSET(高速化データ!$A$6,0,0,高速化データ!$A$1,106), 90, TRUE)</f>
        <v>128000</v>
      </c>
      <c r="T74" s="1060">
        <f ca="1">VLOOKUP(Myリゾート!$C74,OFFSET(高速化データ!$A$6,0,0,高速化データ!$A$1,106), 91, TRUE)</f>
        <v>400</v>
      </c>
      <c r="U74" s="1067">
        <f ca="1">VLOOKUP(Myリゾート!$C74,OFFSET(高速化データ!$A$6,0,0,高速化データ!$A$1,106), 92, TRUE)</f>
        <v>3200</v>
      </c>
      <c r="V74" s="1066">
        <f ca="1">VLOOKUP(Myリゾート!$C74,OFFSET(高速化データ!$A$6,0,0,高速化データ!$A$1,106), 30, TRUE)</f>
        <v>800</v>
      </c>
      <c r="W74" s="1058">
        <f ca="1">VLOOKUP(Myリゾート!$C74,OFFSET(高速化データ!$A$6,0,0,高速化データ!$A$1,106), 31, TRUE)</f>
        <v>180</v>
      </c>
      <c r="X74" s="1058">
        <f t="shared" ca="1" si="1"/>
        <v>316.35000000000002</v>
      </c>
      <c r="Y74" s="1068">
        <f t="shared" ca="1" si="4"/>
        <v>-483.65</v>
      </c>
      <c r="Z74" s="1061">
        <f ca="1">VLOOKUP(Myリゾート!$C74,OFFSET(高速化データ!$A$6,0,0,高速化データ!$A$1,106), 32, TRUE)</f>
        <v>9</v>
      </c>
      <c r="AA74" s="1060">
        <f ca="1">VLOOKUP(Myリゾート!$C74,OFFSET(高速化データ!$A$6,0,0,高速化データ!$A$1,106), 33, TRUE)</f>
        <v>7200</v>
      </c>
      <c r="AB74" s="1060">
        <f ca="1">VLOOKUP(Myリゾート!$C74,OFFSET(高速化データ!$A$6,0,0,高速化データ!$A$1,106), 34, TRUE)</f>
        <v>57600</v>
      </c>
      <c r="AC74" s="1060">
        <f ca="1">VLOOKUP(Myリゾート!$C74,OFFSET(高速化データ!$A$6,0,0,高速化データ!$A$1,106), 35, TRUE)</f>
        <v>180</v>
      </c>
      <c r="AD74" s="1069">
        <f ca="1">VLOOKUP(Myリゾート!$C74,OFFSET(高速化データ!$A$6,0,0,高速化データ!$A$1,106), 36, TRUE)</f>
        <v>1440</v>
      </c>
      <c r="AE74" s="1066">
        <f ca="1">VLOOKUP(Myリゾート!$C74,OFFSET(高速化データ!$A$6,0,0,高速化データ!$A$1,106), 16+($I74*14), TRUE)</f>
        <v>1520</v>
      </c>
      <c r="AF74" s="1058">
        <f ca="1">VLOOKUP(Myリゾート!$C74,OFFSET(高速化データ!$A$6,0,0,高速化データ!$A$1,106), 17+($I74*14), TRUE)</f>
        <v>342</v>
      </c>
      <c r="AG74" s="1058">
        <f t="shared" ca="1" si="2"/>
        <v>601.06500000000005</v>
      </c>
      <c r="AH74" s="1068">
        <f t="shared" ca="1" si="5"/>
        <v>-918.93499999999995</v>
      </c>
      <c r="AI74" s="1061">
        <f ca="1">VLOOKUP(Myリゾート!$C74,OFFSET(高速化データ!$A$6,0,0,高速化データ!$A$1,106), 18+($I74*14), TRUE)</f>
        <v>9</v>
      </c>
      <c r="AJ74" s="1058">
        <f ca="1">VLOOKUP(Myリゾート!$C74,OFFSET(高速化データ!$A$6,0,0,高速化データ!$A$1,106), 19+($I74*14), TRUE)</f>
        <v>13680</v>
      </c>
      <c r="AK74" s="1058">
        <f ca="1">VLOOKUP(Myリゾート!$C74,OFFSET(高速化データ!$A$6,0,0,高速化データ!$A$1,106), 20+($I74*14), TRUE)</f>
        <v>109440</v>
      </c>
      <c r="AL74" s="1058">
        <f ca="1">VLOOKUP(Myリゾート!$C74,OFFSET(高速化データ!$A$6,0,0,高速化データ!$A$1,106), 21+($I74*14), TRUE)</f>
        <v>342</v>
      </c>
      <c r="AM74" s="1070">
        <f ca="1">VLOOKUP(Myリゾート!$C74,OFFSET(高速化データ!$A$6,0,0,高速化データ!$A$1,106), 22+($I74*14), TRUE)</f>
        <v>2736</v>
      </c>
      <c r="AN74" s="1072">
        <f ca="1">VLOOKUP(Myリゾート!$C74,OFFSET(高速化データ!$A$6,0,0,高速化データ!$A$1,106), 11, TRUE)</f>
        <v>2.5000000000000001E-2</v>
      </c>
      <c r="AO74" s="1110">
        <f ca="1">VLOOKUP(Myリゾート!$C74,OFFSET(高速化データ!$A$6,0,0,高速化データ!$A$1,106), 13, TRUE)</f>
        <v>100</v>
      </c>
      <c r="AP74" s="1073" t="str">
        <f ca="1">VLOOKUP(Myリゾート!$C74,OFFSET(高速化データ!$A$6,0,0,高速化データ!$A$1,106), 15, TRUE)</f>
        <v>A</v>
      </c>
      <c r="AQ74" s="1071" t="str">
        <f ca="1">VLOOKUP(Myリゾート!$C74,OFFSET(高速化データ!$A$6,0,0,高速化データ!$A$1,106), 9, TRUE)</f>
        <v>限定</v>
      </c>
      <c r="AR74" s="1112">
        <f ca="1">IF($I74=5, 0,VLOOKUP(Myリゾート!$C74,OFFSET(高速化データ!$A$6,0,0,高速化データ!$A$1,106), 23+(($I74+1)*14), TRUE))</f>
        <v>192</v>
      </c>
      <c r="AS74" s="1058">
        <f ca="1">IF($I74=5, 0,VLOOKUP(Myリゾート!$C74,OFFSET(高速化データ!$A$6,0,0,高速化データ!$A$1,106), 24+(($I74+1)*14), TRUE))</f>
        <v>6000000</v>
      </c>
      <c r="AT74" s="1074">
        <f ca="1">IF($I74=5, 0,VLOOKUP(Myリゾート!$C74,OFFSET(高速化データ!$A$6,0,0,高速化データ!$A$1,106), 25+(($I74+1)*14), TRUE))</f>
        <v>0</v>
      </c>
      <c r="AU74" s="1074">
        <f ca="1">IF($I74=5, 0,VLOOKUP(Myリゾート!$C74,OFFSET(高速化データ!$A$6,0,0,高速化データ!$A$1,106), 26+(($I74+1)*14), TRUE))</f>
        <v>0</v>
      </c>
      <c r="AV74" s="1074">
        <f ca="1">IF($I74=5, 0,VLOOKUP(Myリゾート!$C74,OFFSET(高速化データ!$A$6,0,0,高速化データ!$A$1,106), 27+(($I74+1)*14), TRUE))</f>
        <v>6</v>
      </c>
      <c r="AW74" s="1075">
        <f ca="1">IF($I74=5, 0,VLOOKUP(Myリゾート!$C74,OFFSET(高速化データ!$A$6,0,0,高速化データ!$A$1,106), 28+(($I74+1)*14), TRUE))</f>
        <v>22.465</v>
      </c>
      <c r="AX74" s="1070">
        <f ca="1">IF($I74=5, 0,VLOOKUP(Myリゾート!$C74,OFFSET(高速化データ!$A$6,0,0,高速化データ!$A$1,106), 29+(($I74+1)*14), TRUE))</f>
        <v>31250</v>
      </c>
      <c r="AY74" s="1066">
        <f ca="1">IF($I74=5, 0, VLOOKUP(Myリゾート!$C74,OFFSET(高速化データ!$A$6,0,0,高速化データ!$A$1,106), 19+(($I74+1)*14), TRUE)-AJ74)</f>
        <v>2320</v>
      </c>
      <c r="AZ74" s="1058">
        <f ca="1">IF($I74=5, 0, VLOOKUP(Myリゾート!$C74,OFFSET(高速化データ!$A$6,0,0,高速化データ!$A$1,106), 20+(($I74+1)*14), TRUE)-AK74)</f>
        <v>18560</v>
      </c>
      <c r="BA74" s="1076">
        <f ca="1">IF($I74=5, 0, VLOOKUP(Myリゾート!$C74,OFFSET(高速化データ!$A$6,0,0,高速化データ!$A$1,106), 17+(($I74+1)*14), TRUE)*$B$1/100-VLOOKUP(Myリゾート!$C74,OFFSET(高速化データ!$A$6,0,0,高速化データ!$A$1,106), 16+(($I74+1)*14),TRUE)-AH74)</f>
        <v>-48.365000000000009</v>
      </c>
      <c r="BB74" s="1056">
        <f t="shared" ca="1" si="6"/>
        <v>2320</v>
      </c>
      <c r="BC74" s="1057">
        <f t="shared" ca="1" si="6"/>
        <v>18560</v>
      </c>
      <c r="BD74" s="1068">
        <f t="shared" ca="1" si="7"/>
        <v>-48.365000000000009</v>
      </c>
      <c r="BE74" s="9">
        <f t="shared" ca="1" si="8"/>
        <v>1520</v>
      </c>
      <c r="BF74" s="7">
        <f t="shared" ca="1" si="8"/>
        <v>342</v>
      </c>
      <c r="BG74" s="7">
        <f t="shared" ca="1" si="9"/>
        <v>13680</v>
      </c>
      <c r="BH74" s="7">
        <f t="shared" ca="1" si="9"/>
        <v>109440</v>
      </c>
      <c r="BI74" s="7">
        <f t="shared" ca="1" si="9"/>
        <v>342</v>
      </c>
      <c r="BJ74" s="7">
        <f t="shared" ca="1" si="9"/>
        <v>2736</v>
      </c>
      <c r="BK74" s="8">
        <f t="shared" ca="1" si="10"/>
        <v>1520</v>
      </c>
    </row>
    <row r="75" spans="2:63">
      <c r="B75" s="1126" t="s">
        <v>257</v>
      </c>
      <c r="C75" s="1055">
        <f ca="1">VLOOKUP(Myリゾート!$B75,OFFSET(高速化データ!$DD$6,0,0,高速化データ!$A$1,2), 2, FALSE)</f>
        <v>100</v>
      </c>
      <c r="D75" s="59" t="str">
        <f ca="1">LEFT(VLOOKUP(Myリゾート!$C75,OFFSET(高速化データ!$A$6,0,0,高速化データ!$A$1,106), 3, TRUE),2)</f>
        <v>ホテ</v>
      </c>
      <c r="E75" s="1063" t="str">
        <f ca="1">VLOOKUP(Myリゾート!$C75,OFFSET(高速化データ!$A$6,0,0,高速化データ!$A$1,106), 4, TRUE)&amp;""</f>
        <v/>
      </c>
      <c r="F75" s="1064" t="str">
        <f ca="1">VLOOKUP(Myリゾート!$C75,OFFSET(高速化データ!$A$6,0,0,高速化データ!$A$1,106), 5, TRUE)&amp;""</f>
        <v>○</v>
      </c>
      <c r="G75" s="1064" t="str">
        <f ca="1">VLOOKUP(Myリゾート!$C75,OFFSET(高速化データ!$A$6,0,0,高速化データ!$A$1,106), 6, TRUE)&amp;""</f>
        <v/>
      </c>
      <c r="H75" s="1065" t="str">
        <f ca="1">VLOOKUP(Myリゾート!$C75,OFFSET(高速化データ!$A$6,0,0,高速化データ!$A$1,106), 7, TRUE)&amp;""</f>
        <v/>
      </c>
      <c r="I75" s="1131">
        <v>4</v>
      </c>
      <c r="J75" s="1134" t="s">
        <v>43</v>
      </c>
      <c r="K75" s="1061">
        <f ca="1">VLOOKUP(Myリゾート!$C75,OFFSET(高速化データ!$A$6,0,0,高速化データ!$A$1,106), 10, TRUE)</f>
        <v>9</v>
      </c>
      <c r="L75" s="1062">
        <f ca="1">VLOOKUP(Myリゾート!$C75,OFFSET(高速化データ!$A$6,0,0,高速化データ!$A$1,106), 12, TRUE)</f>
        <v>4</v>
      </c>
      <c r="M75" s="1066">
        <f ca="1">VLOOKUP(Myリゾート!$C75,OFFSET(高速化データ!$A$6,0,0,高速化データ!$A$1,106), 86, TRUE)</f>
        <v>1000</v>
      </c>
      <c r="N75" s="1058">
        <f ca="1">VLOOKUP(Myリゾート!$C75,OFFSET(高速化データ!$A$6,0,0,高速化データ!$A$1,106), 87, TRUE)</f>
        <v>250</v>
      </c>
      <c r="O75" s="1058">
        <f t="shared" ca="1" si="0"/>
        <v>439.375</v>
      </c>
      <c r="P75" s="1059">
        <f t="shared" ca="1" si="3"/>
        <v>-560.625</v>
      </c>
      <c r="Q75" s="1061">
        <f ca="1">VLOOKUP(Myリゾート!$C75,OFFSET(高速化データ!$A$6,0,0,高速化データ!$A$1,106), 88, TRUE)</f>
        <v>5</v>
      </c>
      <c r="R75" s="1060">
        <f ca="1">VLOOKUP(Myリゾート!$C75,OFFSET(高速化データ!$A$6,0,0,高速化データ!$A$1,106), 89, TRUE)</f>
        <v>5000</v>
      </c>
      <c r="S75" s="1060">
        <f ca="1">VLOOKUP(Myリゾート!$C75,OFFSET(高速化データ!$A$6,0,0,高速化データ!$A$1,106), 90, TRUE)</f>
        <v>45000</v>
      </c>
      <c r="T75" s="1060">
        <f ca="1">VLOOKUP(Myリゾート!$C75,OFFSET(高速化データ!$A$6,0,0,高速化データ!$A$1,106), 91, TRUE)</f>
        <v>125</v>
      </c>
      <c r="U75" s="1067">
        <f ca="1">VLOOKUP(Myリゾート!$C75,OFFSET(高速化データ!$A$6,0,0,高速化データ!$A$1,106), 92, TRUE)</f>
        <v>1125</v>
      </c>
      <c r="V75" s="1066">
        <f ca="1">VLOOKUP(Myリゾート!$C75,OFFSET(高速化データ!$A$6,0,0,高速化データ!$A$1,106), 30, TRUE)</f>
        <v>334</v>
      </c>
      <c r="W75" s="1058">
        <f ca="1">VLOOKUP(Myリゾート!$C75,OFFSET(高速化データ!$A$6,0,0,高速化データ!$A$1,106), 31, TRUE)</f>
        <v>84</v>
      </c>
      <c r="X75" s="1058">
        <f t="shared" ca="1" si="1"/>
        <v>147.63</v>
      </c>
      <c r="Y75" s="1068">
        <f t="shared" ca="1" si="4"/>
        <v>-186.37</v>
      </c>
      <c r="Z75" s="1061">
        <f ca="1">VLOOKUP(Myリゾート!$C75,OFFSET(高速化データ!$A$6,0,0,高速化データ!$A$1,106), 32, TRUE)</f>
        <v>5</v>
      </c>
      <c r="AA75" s="1060">
        <f ca="1">VLOOKUP(Myリゾート!$C75,OFFSET(高速化データ!$A$6,0,0,高速化データ!$A$1,106), 33, TRUE)</f>
        <v>1670</v>
      </c>
      <c r="AB75" s="1060">
        <f ca="1">VLOOKUP(Myリゾート!$C75,OFFSET(高速化データ!$A$6,0,0,高速化データ!$A$1,106), 34, TRUE)</f>
        <v>15030</v>
      </c>
      <c r="AC75" s="1060">
        <f ca="1">VLOOKUP(Myリゾート!$C75,OFFSET(高速化データ!$A$6,0,0,高速化データ!$A$1,106), 35, TRUE)</f>
        <v>41</v>
      </c>
      <c r="AD75" s="1069">
        <f ca="1">VLOOKUP(Myリゾート!$C75,OFFSET(高速化データ!$A$6,0,0,高速化データ!$A$1,106), 36, TRUE)</f>
        <v>375</v>
      </c>
      <c r="AE75" s="1066">
        <f ca="1">VLOOKUP(Myリゾート!$C75,OFFSET(高速化データ!$A$6,0,0,高速化データ!$A$1,106), 16+($I75*14), TRUE)</f>
        <v>667</v>
      </c>
      <c r="AF75" s="1058">
        <f ca="1">VLOOKUP(Myリゾート!$C75,OFFSET(高速化データ!$A$6,0,0,高速化データ!$A$1,106), 17+($I75*14), TRUE)</f>
        <v>167</v>
      </c>
      <c r="AG75" s="1058">
        <f t="shared" ca="1" si="2"/>
        <v>293.5025</v>
      </c>
      <c r="AH75" s="1068">
        <f t="shared" ca="1" si="5"/>
        <v>-373.4975</v>
      </c>
      <c r="AI75" s="1061">
        <f ca="1">VLOOKUP(Myリゾート!$C75,OFFSET(高速化データ!$A$6,0,0,高速化データ!$A$1,106), 18+($I75*14), TRUE)</f>
        <v>5</v>
      </c>
      <c r="AJ75" s="1058">
        <f ca="1">VLOOKUP(Myリゾート!$C75,OFFSET(高速化データ!$A$6,0,0,高速化データ!$A$1,106), 19+($I75*14), TRUE)</f>
        <v>3335</v>
      </c>
      <c r="AK75" s="1058">
        <f ca="1">VLOOKUP(Myリゾート!$C75,OFFSET(高速化データ!$A$6,0,0,高速化データ!$A$1,106), 20+($I75*14), TRUE)</f>
        <v>30015</v>
      </c>
      <c r="AL75" s="1058">
        <f ca="1">VLOOKUP(Myリゾート!$C75,OFFSET(高速化データ!$A$6,0,0,高速化データ!$A$1,106), 21+($I75*14), TRUE)</f>
        <v>83</v>
      </c>
      <c r="AM75" s="1070">
        <f ca="1">VLOOKUP(Myリゾート!$C75,OFFSET(高速化データ!$A$6,0,0,高速化データ!$A$1,106), 22+($I75*14), TRUE)</f>
        <v>750</v>
      </c>
      <c r="AN75" s="1072">
        <f ca="1">VLOOKUP(Myリゾート!$C75,OFFSET(高速化データ!$A$6,0,0,高速化データ!$A$1,106), 11, TRUE)</f>
        <v>2.5000000000000001E-2</v>
      </c>
      <c r="AO75" s="1110">
        <f ca="1">VLOOKUP(Myリゾート!$C75,OFFSET(高速化データ!$A$6,0,0,高速化データ!$A$1,106), 13, TRUE)</f>
        <v>100</v>
      </c>
      <c r="AP75" s="1073" t="str">
        <f ca="1">VLOOKUP(Myリゾート!$C75,OFFSET(高速化データ!$A$6,0,0,高速化データ!$A$1,106), 15, TRUE)</f>
        <v>B</v>
      </c>
      <c r="AQ75" s="1071" t="str">
        <f ca="1">VLOOKUP(Myリゾート!$C75,OFFSET(高速化データ!$A$6,0,0,高速化データ!$A$1,106), 9, TRUE)</f>
        <v>限定</v>
      </c>
      <c r="AR75" s="1112">
        <f ca="1">IF($I75=5, 0,VLOOKUP(Myリゾート!$C75,OFFSET(高速化データ!$A$6,0,0,高速化データ!$A$1,106), 23+(($I75+1)*14), TRUE))</f>
        <v>120</v>
      </c>
      <c r="AS75" s="1058">
        <f ca="1">IF($I75=5, 0,VLOOKUP(Myリゾート!$C75,OFFSET(高速化データ!$A$6,0,0,高速化データ!$A$1,106), 24+(($I75+1)*14), TRUE))</f>
        <v>3000000</v>
      </c>
      <c r="AT75" s="1074">
        <f ca="1">IF($I75=5, 0,VLOOKUP(Myリゾート!$C75,OFFSET(高速化データ!$A$6,0,0,高速化データ!$A$1,106), 25+(($I75+1)*14), TRUE))</f>
        <v>0</v>
      </c>
      <c r="AU75" s="1074">
        <f ca="1">IF($I75=5, 0,VLOOKUP(Myリゾート!$C75,OFFSET(高速化データ!$A$6,0,0,高速化データ!$A$1,106), 26+(($I75+1)*14), TRUE))</f>
        <v>0</v>
      </c>
      <c r="AV75" s="1074">
        <f ca="1">IF($I75=5, 0,VLOOKUP(Myリゾート!$C75,OFFSET(高速化データ!$A$6,0,0,高速化データ!$A$1,106), 27+(($I75+1)*14), TRUE))</f>
        <v>5</v>
      </c>
      <c r="AW75" s="1075">
        <f ca="1">IF($I75=5, 0,VLOOKUP(Myリゾート!$C75,OFFSET(高速化データ!$A$6,0,0,高速化データ!$A$1,106), 28+(($I75+1)*14), TRUE))</f>
        <v>28.334999999999997</v>
      </c>
      <c r="AX75" s="1070">
        <f ca="1">IF($I75=5, 0,VLOOKUP(Myリゾート!$C75,OFFSET(高速化データ!$A$6,0,0,高速化データ!$A$1,106), 29+(($I75+1)*14), TRUE))</f>
        <v>25000</v>
      </c>
      <c r="AY75" s="1066">
        <f ca="1">IF($I75=5, 0, VLOOKUP(Myリゾート!$C75,OFFSET(高速化データ!$A$6,0,0,高速化データ!$A$1,106), 19+(($I75+1)*14), TRUE)-AJ75)</f>
        <v>1665</v>
      </c>
      <c r="AZ75" s="1058">
        <f ca="1">IF($I75=5, 0, VLOOKUP(Myリゾート!$C75,OFFSET(高速化データ!$A$6,0,0,高速化データ!$A$1,106), 20+(($I75+1)*14), TRUE)-AK75)</f>
        <v>14985</v>
      </c>
      <c r="BA75" s="1076">
        <f ca="1">IF($I75=5, 0, VLOOKUP(Myリゾート!$C75,OFFSET(高速化データ!$A$6,0,0,高速化データ!$A$1,106), 17+(($I75+1)*14), TRUE)*$B$1/100-VLOOKUP(Myリゾート!$C75,OFFSET(高速化データ!$A$6,0,0,高速化データ!$A$1,106), 16+(($I75+1)*14),TRUE)-AH75)</f>
        <v>-187.1275</v>
      </c>
      <c r="BB75" s="1056">
        <f t="shared" ca="1" si="6"/>
        <v>1665</v>
      </c>
      <c r="BC75" s="1057">
        <f t="shared" ca="1" si="6"/>
        <v>14985</v>
      </c>
      <c r="BD75" s="1068">
        <f t="shared" ca="1" si="7"/>
        <v>-187.1275</v>
      </c>
      <c r="BE75" s="9">
        <f t="shared" si="8"/>
        <v>0</v>
      </c>
      <c r="BF75" s="7">
        <f t="shared" si="8"/>
        <v>0</v>
      </c>
      <c r="BG75" s="7">
        <f t="shared" si="9"/>
        <v>0</v>
      </c>
      <c r="BH75" s="7">
        <f t="shared" si="9"/>
        <v>0</v>
      </c>
      <c r="BI75" s="7">
        <f t="shared" si="9"/>
        <v>0</v>
      </c>
      <c r="BJ75" s="7">
        <f t="shared" si="9"/>
        <v>0</v>
      </c>
      <c r="BK75" s="8">
        <f t="shared" ca="1" si="10"/>
        <v>667</v>
      </c>
    </row>
    <row r="76" spans="2:63">
      <c r="B76" s="1126" t="s">
        <v>131</v>
      </c>
      <c r="C76" s="1055">
        <f ca="1">VLOOKUP(Myリゾート!$B76,OFFSET(高速化データ!$DD$6,0,0,高速化データ!$A$1,2), 2, FALSE)</f>
        <v>6001</v>
      </c>
      <c r="D76" s="59" t="str">
        <f ca="1">LEFT(VLOOKUP(Myリゾート!$C76,OFFSET(高速化データ!$A$6,0,0,高速化データ!$A$1,106), 3, TRUE),2)</f>
        <v>ホテ</v>
      </c>
      <c r="E76" s="1063" t="str">
        <f ca="1">VLOOKUP(Myリゾート!$C76,OFFSET(高速化データ!$A$6,0,0,高速化データ!$A$1,106), 4, TRUE)&amp;""</f>
        <v/>
      </c>
      <c r="F76" s="1064" t="str">
        <f ca="1">VLOOKUP(Myリゾート!$C76,OFFSET(高速化データ!$A$6,0,0,高速化データ!$A$1,106), 5, TRUE)&amp;""</f>
        <v>○</v>
      </c>
      <c r="G76" s="1064" t="str">
        <f ca="1">VLOOKUP(Myリゾート!$C76,OFFSET(高速化データ!$A$6,0,0,高速化データ!$A$1,106), 6, TRUE)&amp;""</f>
        <v/>
      </c>
      <c r="H76" s="1065" t="str">
        <f ca="1">VLOOKUP(Myリゾート!$C76,OFFSET(高速化データ!$A$6,0,0,高速化データ!$A$1,106), 7, TRUE)&amp;""</f>
        <v/>
      </c>
      <c r="I76" s="1131">
        <v>5</v>
      </c>
      <c r="J76" s="1134"/>
      <c r="K76" s="1061">
        <f ca="1">VLOOKUP(Myリゾート!$C76,OFFSET(高速化データ!$A$6,0,0,高速化データ!$A$1,106), 10, TRUE)</f>
        <v>4.5</v>
      </c>
      <c r="L76" s="1062">
        <f ca="1">VLOOKUP(Myリゾート!$C76,OFFSET(高速化データ!$A$6,0,0,高速化データ!$A$1,106), 12, TRUE)</f>
        <v>4.5132743362831862</v>
      </c>
      <c r="M76" s="1066">
        <f ca="1">VLOOKUP(Myリゾート!$C76,OFFSET(高速化データ!$A$6,0,0,高速化データ!$A$1,106), 86, TRUE)</f>
        <v>1020</v>
      </c>
      <c r="N76" s="1058">
        <f ca="1">VLOOKUP(Myリゾート!$C76,OFFSET(高速化データ!$A$6,0,0,高速化データ!$A$1,106), 87, TRUE)</f>
        <v>226</v>
      </c>
      <c r="O76" s="1058">
        <f t="shared" ca="1" si="0"/>
        <v>397.19499999999999</v>
      </c>
      <c r="P76" s="1059">
        <f t="shared" ca="1" si="3"/>
        <v>-622.80500000000006</v>
      </c>
      <c r="Q76" s="1061">
        <f ca="1">VLOOKUP(Myリゾート!$C76,OFFSET(高速化データ!$A$6,0,0,高速化データ!$A$1,106), 88, TRUE)</f>
        <v>5</v>
      </c>
      <c r="R76" s="1060">
        <f ca="1">VLOOKUP(Myリゾート!$C76,OFFSET(高速化データ!$A$6,0,0,高速化データ!$A$1,106), 89, TRUE)</f>
        <v>5100</v>
      </c>
      <c r="S76" s="1060">
        <f ca="1">VLOOKUP(Myリゾート!$C76,OFFSET(高速化データ!$A$6,0,0,高速化データ!$A$1,106), 90, TRUE)</f>
        <v>22950</v>
      </c>
      <c r="T76" s="1060">
        <f ca="1">VLOOKUP(Myリゾート!$C76,OFFSET(高速化データ!$A$6,0,0,高速化データ!$A$1,106), 91, TRUE)</f>
        <v>127</v>
      </c>
      <c r="U76" s="1067">
        <f ca="1">VLOOKUP(Myリゾート!$C76,OFFSET(高速化データ!$A$6,0,0,高速化データ!$A$1,106), 92, TRUE)</f>
        <v>573</v>
      </c>
      <c r="V76" s="1066">
        <f ca="1">VLOOKUP(Myリゾート!$C76,OFFSET(高速化データ!$A$6,0,0,高速化データ!$A$1,106), 30, TRUE)</f>
        <v>510</v>
      </c>
      <c r="W76" s="1058">
        <f ca="1">VLOOKUP(Myリゾート!$C76,OFFSET(高速化データ!$A$6,0,0,高速化データ!$A$1,106), 31, TRUE)</f>
        <v>113</v>
      </c>
      <c r="X76" s="1058">
        <f t="shared" ca="1" si="1"/>
        <v>198.5975</v>
      </c>
      <c r="Y76" s="1068">
        <f t="shared" ca="1" si="4"/>
        <v>-311.40250000000003</v>
      </c>
      <c r="Z76" s="1061">
        <f ca="1">VLOOKUP(Myリゾート!$C76,OFFSET(高速化データ!$A$6,0,0,高速化データ!$A$1,106), 32, TRUE)</f>
        <v>5</v>
      </c>
      <c r="AA76" s="1060">
        <f ca="1">VLOOKUP(Myリゾート!$C76,OFFSET(高速化データ!$A$6,0,0,高速化データ!$A$1,106), 33, TRUE)</f>
        <v>2550</v>
      </c>
      <c r="AB76" s="1060">
        <f ca="1">VLOOKUP(Myリゾート!$C76,OFFSET(高速化データ!$A$6,0,0,高速化データ!$A$1,106), 34, TRUE)</f>
        <v>11475</v>
      </c>
      <c r="AC76" s="1060">
        <f ca="1">VLOOKUP(Myリゾート!$C76,OFFSET(高速化データ!$A$6,0,0,高速化データ!$A$1,106), 35, TRUE)</f>
        <v>63</v>
      </c>
      <c r="AD76" s="1069">
        <f ca="1">VLOOKUP(Myリゾート!$C76,OFFSET(高速化データ!$A$6,0,0,高速化データ!$A$1,106), 36, TRUE)</f>
        <v>286</v>
      </c>
      <c r="AE76" s="1066">
        <f ca="1">VLOOKUP(Myリゾート!$C76,OFFSET(高速化データ!$A$6,0,0,高速化データ!$A$1,106), 16+($I76*14), TRUE)</f>
        <v>1020</v>
      </c>
      <c r="AF76" s="1058">
        <f ca="1">VLOOKUP(Myリゾート!$C76,OFFSET(高速化データ!$A$6,0,0,高速化データ!$A$1,106), 17+($I76*14), TRUE)</f>
        <v>226</v>
      </c>
      <c r="AG76" s="1058">
        <f t="shared" ca="1" si="2"/>
        <v>397.19499999999999</v>
      </c>
      <c r="AH76" s="1068">
        <f t="shared" ca="1" si="5"/>
        <v>-622.80500000000006</v>
      </c>
      <c r="AI76" s="1061">
        <f ca="1">VLOOKUP(Myリゾート!$C76,OFFSET(高速化データ!$A$6,0,0,高速化データ!$A$1,106), 18+($I76*14), TRUE)</f>
        <v>5</v>
      </c>
      <c r="AJ76" s="1058">
        <f ca="1">VLOOKUP(Myリゾート!$C76,OFFSET(高速化データ!$A$6,0,0,高速化データ!$A$1,106), 19+($I76*14), TRUE)</f>
        <v>5100</v>
      </c>
      <c r="AK76" s="1058">
        <f ca="1">VLOOKUP(Myリゾート!$C76,OFFSET(高速化データ!$A$6,0,0,高速化データ!$A$1,106), 20+($I76*14), TRUE)</f>
        <v>22950</v>
      </c>
      <c r="AL76" s="1058">
        <f ca="1">VLOOKUP(Myリゾート!$C76,OFFSET(高速化データ!$A$6,0,0,高速化データ!$A$1,106), 21+($I76*14), TRUE)</f>
        <v>127</v>
      </c>
      <c r="AM76" s="1070">
        <f ca="1">VLOOKUP(Myリゾート!$C76,OFFSET(高速化データ!$A$6,0,0,高速化データ!$A$1,106), 22+($I76*14), TRUE)</f>
        <v>573</v>
      </c>
      <c r="AN76" s="1072">
        <f ca="1">VLOOKUP(Myリゾート!$C76,OFFSET(高速化データ!$A$6,0,0,高速化データ!$A$1,106), 11, TRUE)</f>
        <v>2.5000000000000001E-2</v>
      </c>
      <c r="AO76" s="1110">
        <f ca="1">VLOOKUP(Myリゾート!$C76,OFFSET(高速化データ!$A$6,0,0,高速化データ!$A$1,106), 13, TRUE)</f>
        <v>30</v>
      </c>
      <c r="AP76" s="1073" t="str">
        <f ca="1">VLOOKUP(Myリゾート!$C76,OFFSET(高速化データ!$A$6,0,0,高速化データ!$A$1,106), 15, TRUE)</f>
        <v>A</v>
      </c>
      <c r="AQ76" s="1071" t="str">
        <f ca="1">VLOOKUP(Myリゾート!$C76,OFFSET(高速化データ!$A$6,0,0,高速化データ!$A$1,106), 9, TRUE)</f>
        <v>24限定</v>
      </c>
      <c r="AR76" s="1112">
        <f ca="1">IF($I76=5, 0,VLOOKUP(Myリゾート!$C76,OFFSET(高速化データ!$A$6,0,0,高速化データ!$A$1,106), 23+(($I76+1)*14), TRUE))</f>
        <v>0</v>
      </c>
      <c r="AS76" s="1058">
        <f ca="1">IF($I76=5, 0,VLOOKUP(Myリゾート!$C76,OFFSET(高速化データ!$A$6,0,0,高速化データ!$A$1,106), 24+(($I76+1)*14), TRUE))</f>
        <v>0</v>
      </c>
      <c r="AT76" s="1074">
        <f ca="1">IF($I76=5, 0,VLOOKUP(Myリゾート!$C76,OFFSET(高速化データ!$A$6,0,0,高速化データ!$A$1,106), 25+(($I76+1)*14), TRUE))</f>
        <v>0</v>
      </c>
      <c r="AU76" s="1074">
        <f ca="1">IF($I76=5, 0,VLOOKUP(Myリゾート!$C76,OFFSET(高速化データ!$A$6,0,0,高速化データ!$A$1,106), 26+(($I76+1)*14), TRUE))</f>
        <v>0</v>
      </c>
      <c r="AV76" s="1074">
        <f ca="1">IF($I76=5, 0,VLOOKUP(Myリゾート!$C76,OFFSET(高速化データ!$A$6,0,0,高速化データ!$A$1,106), 27+(($I76+1)*14), TRUE))</f>
        <v>0</v>
      </c>
      <c r="AW76" s="1075">
        <f ca="1">IF($I76=5, 0,VLOOKUP(Myリゾート!$C76,OFFSET(高速化データ!$A$6,0,0,高速化データ!$A$1,106), 28+(($I76+1)*14), TRUE))</f>
        <v>0</v>
      </c>
      <c r="AX76" s="1070">
        <f ca="1">IF($I76=5, 0,VLOOKUP(Myリゾート!$C76,OFFSET(高速化データ!$A$6,0,0,高速化データ!$A$1,106), 29+(($I76+1)*14), TRUE))</f>
        <v>0</v>
      </c>
      <c r="AY76" s="1066">
        <f ca="1">IF($I76=5, 0, VLOOKUP(Myリゾート!$C76,OFFSET(高速化データ!$A$6,0,0,高速化データ!$A$1,106), 19+(($I76+1)*14), TRUE)-AJ76)</f>
        <v>0</v>
      </c>
      <c r="AZ76" s="1058">
        <f ca="1">IF($I76=5, 0, VLOOKUP(Myリゾート!$C76,OFFSET(高速化データ!$A$6,0,0,高速化データ!$A$1,106), 20+(($I76+1)*14), TRUE)-AK76)</f>
        <v>0</v>
      </c>
      <c r="BA76" s="1076">
        <f ca="1">IF($I76=5, 0, VLOOKUP(Myリゾート!$C76,OFFSET(高速化データ!$A$6,0,0,高速化データ!$A$1,106), 17+(($I76+1)*14), TRUE)*$B$1/100-VLOOKUP(Myリゾート!$C76,OFFSET(高速化データ!$A$6,0,0,高速化データ!$A$1,106), 16+(($I76+1)*14),TRUE)-AH76)</f>
        <v>0</v>
      </c>
      <c r="BB76" s="1056">
        <f t="shared" ca="1" si="6"/>
        <v>0</v>
      </c>
      <c r="BC76" s="1057">
        <f t="shared" ca="1" si="6"/>
        <v>0</v>
      </c>
      <c r="BD76" s="1068">
        <f t="shared" ca="1" si="7"/>
        <v>0</v>
      </c>
      <c r="BE76" s="9">
        <f t="shared" ca="1" si="8"/>
        <v>1020</v>
      </c>
      <c r="BF76" s="7">
        <f t="shared" ca="1" si="8"/>
        <v>226</v>
      </c>
      <c r="BG76" s="7">
        <f t="shared" ca="1" si="9"/>
        <v>5100</v>
      </c>
      <c r="BH76" s="7">
        <f t="shared" ca="1" si="9"/>
        <v>22950</v>
      </c>
      <c r="BI76" s="7">
        <f t="shared" ca="1" si="9"/>
        <v>127</v>
      </c>
      <c r="BJ76" s="7">
        <f t="shared" ca="1" si="9"/>
        <v>573</v>
      </c>
      <c r="BK76" s="8">
        <f t="shared" ca="1" si="10"/>
        <v>1020</v>
      </c>
    </row>
    <row r="77" spans="2:63">
      <c r="B77" s="1126" t="s">
        <v>156</v>
      </c>
      <c r="C77" s="1055">
        <f ca="1">VLOOKUP(Myリゾート!$B77,OFFSET(高速化データ!$DD$6,0,0,高速化データ!$A$1,2), 2, FALSE)</f>
        <v>6006</v>
      </c>
      <c r="D77" s="59" t="str">
        <f ca="1">LEFT(VLOOKUP(Myリゾート!$C77,OFFSET(高速化データ!$A$6,0,0,高速化データ!$A$1,106), 3, TRUE),2)</f>
        <v>ホテ</v>
      </c>
      <c r="E77" s="1063" t="str">
        <f ca="1">VLOOKUP(Myリゾート!$C77,OFFSET(高速化データ!$A$6,0,0,高速化データ!$A$1,106), 4, TRUE)&amp;""</f>
        <v/>
      </c>
      <c r="F77" s="1064" t="str">
        <f ca="1">VLOOKUP(Myリゾート!$C77,OFFSET(高速化データ!$A$6,0,0,高速化データ!$A$1,106), 5, TRUE)&amp;""</f>
        <v/>
      </c>
      <c r="G77" s="1064" t="str">
        <f ca="1">VLOOKUP(Myリゾート!$C77,OFFSET(高速化データ!$A$6,0,0,高速化データ!$A$1,106), 6, TRUE)&amp;""</f>
        <v/>
      </c>
      <c r="H77" s="1065" t="str">
        <f ca="1">VLOOKUP(Myリゾート!$C77,OFFSET(高速化データ!$A$6,0,0,高速化データ!$A$1,106), 7, TRUE)&amp;""</f>
        <v>○</v>
      </c>
      <c r="I77" s="1131">
        <v>5</v>
      </c>
      <c r="J77" s="1134"/>
      <c r="K77" s="1061">
        <f ca="1">VLOOKUP(Myリゾート!$C77,OFFSET(高速化データ!$A$6,0,0,高速化データ!$A$1,106), 10, TRUE)</f>
        <v>9</v>
      </c>
      <c r="L77" s="1062">
        <f ca="1">VLOOKUP(Myリゾート!$C77,OFFSET(高速化データ!$A$6,0,0,高速化データ!$A$1,106), 12, TRUE)</f>
        <v>4.5217391304347823</v>
      </c>
      <c r="M77" s="1066">
        <f ca="1">VLOOKUP(Myリゾート!$C77,OFFSET(高速化データ!$A$6,0,0,高速化データ!$A$1,106), 86, TRUE)</f>
        <v>1040</v>
      </c>
      <c r="N77" s="1058">
        <f ca="1">VLOOKUP(Myリゾート!$C77,OFFSET(高速化データ!$A$6,0,0,高速化データ!$A$1,106), 87, TRUE)</f>
        <v>230</v>
      </c>
      <c r="O77" s="1058">
        <f t="shared" ca="1" si="0"/>
        <v>404.22500000000002</v>
      </c>
      <c r="P77" s="1059">
        <f t="shared" ca="1" si="3"/>
        <v>-635.77499999999998</v>
      </c>
      <c r="Q77" s="1061">
        <f ca="1">VLOOKUP(Myリゾート!$C77,OFFSET(高速化データ!$A$6,0,0,高速化データ!$A$1,106), 88, TRUE)</f>
        <v>5</v>
      </c>
      <c r="R77" s="1060">
        <f ca="1">VLOOKUP(Myリゾート!$C77,OFFSET(高速化データ!$A$6,0,0,高速化データ!$A$1,106), 89, TRUE)</f>
        <v>5200</v>
      </c>
      <c r="S77" s="1060">
        <f ca="1">VLOOKUP(Myリゾート!$C77,OFFSET(高速化データ!$A$6,0,0,高速化データ!$A$1,106), 90, TRUE)</f>
        <v>46800</v>
      </c>
      <c r="T77" s="1060">
        <f ca="1">VLOOKUP(Myリゾート!$C77,OFFSET(高速化データ!$A$6,0,0,高速化データ!$A$1,106), 91, TRUE)</f>
        <v>130</v>
      </c>
      <c r="U77" s="1067">
        <f ca="1">VLOOKUP(Myリゾート!$C77,OFFSET(高速化データ!$A$6,0,0,高速化データ!$A$1,106), 92, TRUE)</f>
        <v>1170</v>
      </c>
      <c r="V77" s="1066">
        <f ca="1">VLOOKUP(Myリゾート!$C77,OFFSET(高速化データ!$A$6,0,0,高速化データ!$A$1,106), 30, TRUE)</f>
        <v>520</v>
      </c>
      <c r="W77" s="1058">
        <f ca="1">VLOOKUP(Myリゾート!$C77,OFFSET(高速化データ!$A$6,0,0,高速化データ!$A$1,106), 31, TRUE)</f>
        <v>115</v>
      </c>
      <c r="X77" s="1058">
        <f t="shared" ca="1" si="1"/>
        <v>202.11250000000001</v>
      </c>
      <c r="Y77" s="1068">
        <f t="shared" ca="1" si="4"/>
        <v>-317.88749999999999</v>
      </c>
      <c r="Z77" s="1061">
        <f ca="1">VLOOKUP(Myリゾート!$C77,OFFSET(高速化データ!$A$6,0,0,高速化データ!$A$1,106), 32, TRUE)</f>
        <v>5</v>
      </c>
      <c r="AA77" s="1060">
        <f ca="1">VLOOKUP(Myリゾート!$C77,OFFSET(高速化データ!$A$6,0,0,高速化データ!$A$1,106), 33, TRUE)</f>
        <v>2600</v>
      </c>
      <c r="AB77" s="1060">
        <f ca="1">VLOOKUP(Myリゾート!$C77,OFFSET(高速化データ!$A$6,0,0,高速化データ!$A$1,106), 34, TRUE)</f>
        <v>23400</v>
      </c>
      <c r="AC77" s="1060">
        <f ca="1">VLOOKUP(Myリゾート!$C77,OFFSET(高速化データ!$A$6,0,0,高速化データ!$A$1,106), 35, TRUE)</f>
        <v>65</v>
      </c>
      <c r="AD77" s="1069">
        <f ca="1">VLOOKUP(Myリゾート!$C77,OFFSET(高速化データ!$A$6,0,0,高速化データ!$A$1,106), 36, TRUE)</f>
        <v>585</v>
      </c>
      <c r="AE77" s="1066">
        <f ca="1">VLOOKUP(Myリゾート!$C77,OFFSET(高速化データ!$A$6,0,0,高速化データ!$A$1,106), 16+($I77*14), TRUE)</f>
        <v>1040</v>
      </c>
      <c r="AF77" s="1058">
        <f ca="1">VLOOKUP(Myリゾート!$C77,OFFSET(高速化データ!$A$6,0,0,高速化データ!$A$1,106), 17+($I77*14), TRUE)</f>
        <v>230</v>
      </c>
      <c r="AG77" s="1058">
        <f t="shared" ca="1" si="2"/>
        <v>404.22500000000002</v>
      </c>
      <c r="AH77" s="1068">
        <f t="shared" ca="1" si="5"/>
        <v>-635.77499999999998</v>
      </c>
      <c r="AI77" s="1061">
        <f ca="1">VLOOKUP(Myリゾート!$C77,OFFSET(高速化データ!$A$6,0,0,高速化データ!$A$1,106), 18+($I77*14), TRUE)</f>
        <v>5</v>
      </c>
      <c r="AJ77" s="1058">
        <f ca="1">VLOOKUP(Myリゾート!$C77,OFFSET(高速化データ!$A$6,0,0,高速化データ!$A$1,106), 19+($I77*14), TRUE)</f>
        <v>5200</v>
      </c>
      <c r="AK77" s="1058">
        <f ca="1">VLOOKUP(Myリゾート!$C77,OFFSET(高速化データ!$A$6,0,0,高速化データ!$A$1,106), 20+($I77*14), TRUE)</f>
        <v>46800</v>
      </c>
      <c r="AL77" s="1058">
        <f ca="1">VLOOKUP(Myリゾート!$C77,OFFSET(高速化データ!$A$6,0,0,高速化データ!$A$1,106), 21+($I77*14), TRUE)</f>
        <v>130</v>
      </c>
      <c r="AM77" s="1070">
        <f ca="1">VLOOKUP(Myリゾート!$C77,OFFSET(高速化データ!$A$6,0,0,高速化データ!$A$1,106), 22+($I77*14), TRUE)</f>
        <v>1170</v>
      </c>
      <c r="AN77" s="1072">
        <f ca="1">VLOOKUP(Myリゾート!$C77,OFFSET(高速化データ!$A$6,0,0,高速化データ!$A$1,106), 11, TRUE)</f>
        <v>2.5000000000000001E-2</v>
      </c>
      <c r="AO77" s="1110">
        <f ca="1">VLOOKUP(Myリゾート!$C77,OFFSET(高速化データ!$A$6,0,0,高速化データ!$A$1,106), 13, TRUE)</f>
        <v>30</v>
      </c>
      <c r="AP77" s="1073" t="str">
        <f ca="1">VLOOKUP(Myリゾート!$C77,OFFSET(高速化データ!$A$6,0,0,高速化データ!$A$1,106), 15, TRUE)</f>
        <v>A</v>
      </c>
      <c r="AQ77" s="1071" t="str">
        <f ca="1">VLOOKUP(Myリゾート!$C77,OFFSET(高速化データ!$A$6,0,0,高速化データ!$A$1,106), 9, TRUE)</f>
        <v>24限定</v>
      </c>
      <c r="AR77" s="1112">
        <f ca="1">IF($I77=5, 0,VLOOKUP(Myリゾート!$C77,OFFSET(高速化データ!$A$6,0,0,高速化データ!$A$1,106), 23+(($I77+1)*14), TRUE))</f>
        <v>0</v>
      </c>
      <c r="AS77" s="1058">
        <f ca="1">IF($I77=5, 0,VLOOKUP(Myリゾート!$C77,OFFSET(高速化データ!$A$6,0,0,高速化データ!$A$1,106), 24+(($I77+1)*14), TRUE))</f>
        <v>0</v>
      </c>
      <c r="AT77" s="1074">
        <f ca="1">IF($I77=5, 0,VLOOKUP(Myリゾート!$C77,OFFSET(高速化データ!$A$6,0,0,高速化データ!$A$1,106), 25+(($I77+1)*14), TRUE))</f>
        <v>0</v>
      </c>
      <c r="AU77" s="1074">
        <f ca="1">IF($I77=5, 0,VLOOKUP(Myリゾート!$C77,OFFSET(高速化データ!$A$6,0,0,高速化データ!$A$1,106), 26+(($I77+1)*14), TRUE))</f>
        <v>0</v>
      </c>
      <c r="AV77" s="1074">
        <f ca="1">IF($I77=5, 0,VLOOKUP(Myリゾート!$C77,OFFSET(高速化データ!$A$6,0,0,高速化データ!$A$1,106), 27+(($I77+1)*14), TRUE))</f>
        <v>0</v>
      </c>
      <c r="AW77" s="1075">
        <f ca="1">IF($I77=5, 0,VLOOKUP(Myリゾート!$C77,OFFSET(高速化データ!$A$6,0,0,高速化データ!$A$1,106), 28+(($I77+1)*14), TRUE))</f>
        <v>0</v>
      </c>
      <c r="AX77" s="1070">
        <f ca="1">IF($I77=5, 0,VLOOKUP(Myリゾート!$C77,OFFSET(高速化データ!$A$6,0,0,高速化データ!$A$1,106), 29+(($I77+1)*14), TRUE))</f>
        <v>0</v>
      </c>
      <c r="AY77" s="1066">
        <f ca="1">IF($I77=5, 0, VLOOKUP(Myリゾート!$C77,OFFSET(高速化データ!$A$6,0,0,高速化データ!$A$1,106), 19+(($I77+1)*14), TRUE)-AJ77)</f>
        <v>0</v>
      </c>
      <c r="AZ77" s="1058">
        <f ca="1">IF($I77=5, 0, VLOOKUP(Myリゾート!$C77,OFFSET(高速化データ!$A$6,0,0,高速化データ!$A$1,106), 20+(($I77+1)*14), TRUE)-AK77)</f>
        <v>0</v>
      </c>
      <c r="BA77" s="1076">
        <f ca="1">IF($I77=5, 0, VLOOKUP(Myリゾート!$C77,OFFSET(高速化データ!$A$6,0,0,高速化データ!$A$1,106), 17+(($I77+1)*14), TRUE)*$B$1/100-VLOOKUP(Myリゾート!$C77,OFFSET(高速化データ!$A$6,0,0,高速化データ!$A$1,106), 16+(($I77+1)*14),TRUE)-AH77)</f>
        <v>0</v>
      </c>
      <c r="BB77" s="1056">
        <f t="shared" ca="1" si="6"/>
        <v>0</v>
      </c>
      <c r="BC77" s="1057">
        <f t="shared" ca="1" si="6"/>
        <v>0</v>
      </c>
      <c r="BD77" s="1068">
        <f t="shared" ca="1" si="7"/>
        <v>0</v>
      </c>
      <c r="BE77" s="9">
        <f t="shared" ca="1" si="8"/>
        <v>1040</v>
      </c>
      <c r="BF77" s="7">
        <f t="shared" ca="1" si="8"/>
        <v>230</v>
      </c>
      <c r="BG77" s="7">
        <f t="shared" ca="1" si="9"/>
        <v>5200</v>
      </c>
      <c r="BH77" s="7">
        <f t="shared" ca="1" si="9"/>
        <v>46800</v>
      </c>
      <c r="BI77" s="7">
        <f t="shared" ca="1" si="9"/>
        <v>130</v>
      </c>
      <c r="BJ77" s="7">
        <f t="shared" ca="1" si="9"/>
        <v>1170</v>
      </c>
      <c r="BK77" s="8">
        <f t="shared" ca="1" si="10"/>
        <v>1040</v>
      </c>
    </row>
    <row r="78" spans="2:63">
      <c r="B78" s="1125" t="s">
        <v>11</v>
      </c>
      <c r="C78" s="1055">
        <f ca="1">VLOOKUP(Myリゾート!$B78,OFFSET(高速化データ!$DD$6,0,0,高速化データ!$A$1,2), 2, FALSE)</f>
        <v>20</v>
      </c>
      <c r="D78" s="59" t="str">
        <f ca="1">LEFT(VLOOKUP(Myリゾート!$C78,OFFSET(高速化データ!$A$6,0,0,高速化データ!$A$1,106), 3, TRUE),2)</f>
        <v>ショ</v>
      </c>
      <c r="E78" s="1063" t="str">
        <f ca="1">VLOOKUP(Myリゾート!$C78,OFFSET(高速化データ!$A$6,0,0,高速化データ!$A$1,106), 4, TRUE)&amp;""</f>
        <v/>
      </c>
      <c r="F78" s="1064" t="str">
        <f ca="1">VLOOKUP(Myリゾート!$C78,OFFSET(高速化データ!$A$6,0,0,高速化データ!$A$1,106), 5, TRUE)&amp;""</f>
        <v/>
      </c>
      <c r="G78" s="1064" t="str">
        <f ca="1">VLOOKUP(Myリゾート!$C78,OFFSET(高速化データ!$A$6,0,0,高速化データ!$A$1,106), 6, TRUE)&amp;""</f>
        <v>○</v>
      </c>
      <c r="H78" s="1065" t="str">
        <f ca="1">VLOOKUP(Myリゾート!$C78,OFFSET(高速化データ!$A$6,0,0,高速化データ!$A$1,106), 7, TRUE)&amp;""</f>
        <v/>
      </c>
      <c r="I78" s="1131">
        <v>4</v>
      </c>
      <c r="J78" s="1134"/>
      <c r="K78" s="1061">
        <f ca="1">VLOOKUP(Myリゾート!$C78,OFFSET(高速化データ!$A$6,0,0,高速化データ!$A$1,106), 10, TRUE)</f>
        <v>2</v>
      </c>
      <c r="L78" s="1062">
        <f ca="1">VLOOKUP(Myリゾート!$C78,OFFSET(高速化データ!$A$6,0,0,高速化データ!$A$1,106), 12, TRUE)</f>
        <v>0.86956521739130432</v>
      </c>
      <c r="M78" s="1066">
        <f ca="1">VLOOKUP(Myリゾート!$C78,OFFSET(高速化データ!$A$6,0,0,高速化データ!$A$1,106), 86, TRUE)</f>
        <v>200</v>
      </c>
      <c r="N78" s="1058">
        <f ca="1">VLOOKUP(Myリゾート!$C78,OFFSET(高速化データ!$A$6,0,0,高速化データ!$A$1,106), 87, TRUE)</f>
        <v>230</v>
      </c>
      <c r="O78" s="1058">
        <f t="shared" ca="1" si="0"/>
        <v>404.22500000000002</v>
      </c>
      <c r="P78" s="1059">
        <f t="shared" ca="1" si="3"/>
        <v>204.22500000000002</v>
      </c>
      <c r="Q78" s="1061">
        <f ca="1">VLOOKUP(Myリゾート!$C78,OFFSET(高速化データ!$A$6,0,0,高速化データ!$A$1,106), 88, TRUE)</f>
        <v>3</v>
      </c>
      <c r="R78" s="1060">
        <f ca="1">VLOOKUP(Myリゾート!$C78,OFFSET(高速化データ!$A$6,0,0,高速化データ!$A$1,106), 89, TRUE)</f>
        <v>600</v>
      </c>
      <c r="S78" s="1060">
        <f ca="1">VLOOKUP(Myリゾート!$C78,OFFSET(高速化データ!$A$6,0,0,高速化データ!$A$1,106), 90, TRUE)</f>
        <v>1200</v>
      </c>
      <c r="T78" s="1060">
        <f ca="1">VLOOKUP(Myリゾート!$C78,OFFSET(高速化データ!$A$6,0,0,高速化データ!$A$1,106), 91, TRUE)</f>
        <v>60</v>
      </c>
      <c r="U78" s="1067">
        <f ca="1">VLOOKUP(Myリゾート!$C78,OFFSET(高速化データ!$A$6,0,0,高速化データ!$A$1,106), 92, TRUE)</f>
        <v>120</v>
      </c>
      <c r="V78" s="1066">
        <f ca="1">VLOOKUP(Myリゾート!$C78,OFFSET(高速化データ!$A$6,0,0,高速化データ!$A$1,106), 30, TRUE)</f>
        <v>100</v>
      </c>
      <c r="W78" s="1058">
        <f ca="1">VLOOKUP(Myリゾート!$C78,OFFSET(高速化データ!$A$6,0,0,高速化データ!$A$1,106), 31, TRUE)</f>
        <v>115</v>
      </c>
      <c r="X78" s="1058">
        <f t="shared" ca="1" si="1"/>
        <v>202.11250000000001</v>
      </c>
      <c r="Y78" s="1068">
        <f t="shared" ca="1" si="4"/>
        <v>102.11250000000001</v>
      </c>
      <c r="Z78" s="1061">
        <f ca="1">VLOOKUP(Myリゾート!$C78,OFFSET(高速化データ!$A$6,0,0,高速化データ!$A$1,106), 32, TRUE)</f>
        <v>3</v>
      </c>
      <c r="AA78" s="1060">
        <f ca="1">VLOOKUP(Myリゾート!$C78,OFFSET(高速化データ!$A$6,0,0,高速化データ!$A$1,106), 33, TRUE)</f>
        <v>300</v>
      </c>
      <c r="AB78" s="1060">
        <f ca="1">VLOOKUP(Myリゾート!$C78,OFFSET(高速化データ!$A$6,0,0,高速化データ!$A$1,106), 34, TRUE)</f>
        <v>600</v>
      </c>
      <c r="AC78" s="1060">
        <f ca="1">VLOOKUP(Myリゾート!$C78,OFFSET(高速化データ!$A$6,0,0,高速化データ!$A$1,106), 35, TRUE)</f>
        <v>30</v>
      </c>
      <c r="AD78" s="1069">
        <f ca="1">VLOOKUP(Myリゾート!$C78,OFFSET(高速化データ!$A$6,0,0,高速化データ!$A$1,106), 36, TRUE)</f>
        <v>60</v>
      </c>
      <c r="AE78" s="1066">
        <f ca="1">VLOOKUP(Myリゾート!$C78,OFFSET(高速化データ!$A$6,0,0,高速化データ!$A$1,106), 16+($I78*14), TRUE)</f>
        <v>190</v>
      </c>
      <c r="AF78" s="1058">
        <f ca="1">VLOOKUP(Myリゾート!$C78,OFFSET(高速化データ!$A$6,0,0,高速化データ!$A$1,106), 17+($I78*14), TRUE)</f>
        <v>218</v>
      </c>
      <c r="AG78" s="1058">
        <f t="shared" ca="1" si="2"/>
        <v>383.13499999999999</v>
      </c>
      <c r="AH78" s="1068">
        <f t="shared" ca="1" si="5"/>
        <v>193.13499999999999</v>
      </c>
      <c r="AI78" s="1061">
        <f ca="1">VLOOKUP(Myリゾート!$C78,OFFSET(高速化データ!$A$6,0,0,高速化データ!$A$1,106), 18+($I78*14), TRUE)</f>
        <v>3</v>
      </c>
      <c r="AJ78" s="1058">
        <f ca="1">VLOOKUP(Myリゾート!$C78,OFFSET(高速化データ!$A$6,0,0,高速化データ!$A$1,106), 19+($I78*14), TRUE)</f>
        <v>570</v>
      </c>
      <c r="AK78" s="1058">
        <f ca="1">VLOOKUP(Myリゾート!$C78,OFFSET(高速化データ!$A$6,0,0,高速化データ!$A$1,106), 20+($I78*14), TRUE)</f>
        <v>1140</v>
      </c>
      <c r="AL78" s="1058">
        <f ca="1">VLOOKUP(Myリゾート!$C78,OFFSET(高速化データ!$A$6,0,0,高速化データ!$A$1,106), 21+($I78*14), TRUE)</f>
        <v>57</v>
      </c>
      <c r="AM78" s="1070">
        <f ca="1">VLOOKUP(Myリゾート!$C78,OFFSET(高速化データ!$A$6,0,0,高速化データ!$A$1,106), 22+($I78*14), TRUE)</f>
        <v>114</v>
      </c>
      <c r="AN78" s="1072">
        <f ca="1">VLOOKUP(Myリゾート!$C78,OFFSET(高速化データ!$A$6,0,0,高速化データ!$A$1,106), 11, TRUE)</f>
        <v>0.1</v>
      </c>
      <c r="AO78" s="1110">
        <f ca="1">VLOOKUP(Myリゾート!$C78,OFFSET(高速化データ!$A$6,0,0,高速化データ!$A$1,106), 13, TRUE)</f>
        <v>30</v>
      </c>
      <c r="AP78" s="1073" t="str">
        <f ca="1">VLOOKUP(Myリゾート!$C78,OFFSET(高速化データ!$A$6,0,0,高速化データ!$A$1,106), 15, TRUE)</f>
        <v>A</v>
      </c>
      <c r="AQ78" s="1071" t="str">
        <f ca="1">VLOOKUP(Myリゾート!$C78,OFFSET(高速化データ!$A$6,0,0,高速化データ!$A$1,106), 9, TRUE)</f>
        <v>レベル</v>
      </c>
      <c r="AR78" s="1112">
        <f ca="1">IF($I78=5, 0,VLOOKUP(Myリゾート!$C78,OFFSET(高速化データ!$A$6,0,0,高速化データ!$A$1,106), 23+(($I78+1)*14), TRUE))</f>
        <v>2</v>
      </c>
      <c r="AS78" s="1058">
        <f ca="1">IF($I78=5, 0,VLOOKUP(Myリゾート!$C78,OFFSET(高速化データ!$A$6,0,0,高速化データ!$A$1,106), 24+(($I78+1)*14), TRUE))</f>
        <v>12000</v>
      </c>
      <c r="AT78" s="1074">
        <f ca="1">IF($I78=5, 0,VLOOKUP(Myリゾート!$C78,OFFSET(高速化データ!$A$6,0,0,高速化データ!$A$1,106), 25+(($I78+1)*14), TRUE))</f>
        <v>0</v>
      </c>
      <c r="AU78" s="1074">
        <f ca="1">IF($I78=5, 0,VLOOKUP(Myリゾート!$C78,OFFSET(高速化データ!$A$6,0,0,高速化データ!$A$1,106), 26+(($I78+1)*14), TRUE))</f>
        <v>1</v>
      </c>
      <c r="AV78" s="1074">
        <f ca="1">IF($I78=5, 0,VLOOKUP(Myリゾート!$C78,OFFSET(高速化データ!$A$6,0,0,高速化データ!$A$1,106), 27+(($I78+1)*14), TRUE))</f>
        <v>0</v>
      </c>
      <c r="AW78" s="1075">
        <f ca="1">IF($I78=5, 0,VLOOKUP(Myリゾート!$C78,OFFSET(高速化データ!$A$6,0,0,高速化データ!$A$1,106), 28+(($I78+1)*14), TRUE))</f>
        <v>0.91249999999999998</v>
      </c>
      <c r="AX78" s="1070">
        <f ca="1">IF($I78=5, 0,VLOOKUP(Myリゾート!$C78,OFFSET(高速化データ!$A$6,0,0,高速化データ!$A$1,106), 29+(($I78+1)*14), TRUE))</f>
        <v>6000</v>
      </c>
      <c r="AY78" s="1066">
        <f ca="1">IF($I78=5, 0, VLOOKUP(Myリゾート!$C78,OFFSET(高速化データ!$A$6,0,0,高速化データ!$A$1,106), 19+(($I78+1)*14), TRUE)-AJ78)</f>
        <v>30</v>
      </c>
      <c r="AZ78" s="1058">
        <f ca="1">IF($I78=5, 0, VLOOKUP(Myリゾート!$C78,OFFSET(高速化データ!$A$6,0,0,高速化データ!$A$1,106), 20+(($I78+1)*14), TRUE)-AK78)</f>
        <v>60</v>
      </c>
      <c r="BA78" s="1076">
        <f ca="1">IF($I78=5, 0, VLOOKUP(Myリゾート!$C78,OFFSET(高速化データ!$A$6,0,0,高速化データ!$A$1,106), 17+(($I78+1)*14), TRUE)*$B$1/100-VLOOKUP(Myリゾート!$C78,OFFSET(高速化データ!$A$6,0,0,高速化データ!$A$1,106), 16+(($I78+1)*14),TRUE)-AH78)</f>
        <v>11.090000000000032</v>
      </c>
      <c r="BB78" s="1056">
        <f t="shared" ca="1" si="6"/>
        <v>30</v>
      </c>
      <c r="BC78" s="1057">
        <f t="shared" ca="1" si="6"/>
        <v>60</v>
      </c>
      <c r="BD78" s="1068">
        <f t="shared" ca="1" si="7"/>
        <v>11.090000000000032</v>
      </c>
      <c r="BE78" s="9">
        <f t="shared" ca="1" si="8"/>
        <v>190</v>
      </c>
      <c r="BF78" s="7">
        <f t="shared" ca="1" si="8"/>
        <v>218</v>
      </c>
      <c r="BG78" s="7">
        <f t="shared" ca="1" si="9"/>
        <v>570</v>
      </c>
      <c r="BH78" s="7">
        <f t="shared" ca="1" si="9"/>
        <v>1140</v>
      </c>
      <c r="BI78" s="7">
        <f t="shared" ca="1" si="9"/>
        <v>57</v>
      </c>
      <c r="BJ78" s="7">
        <f t="shared" ca="1" si="9"/>
        <v>114</v>
      </c>
      <c r="BK78" s="8">
        <f t="shared" ca="1" si="10"/>
        <v>190</v>
      </c>
    </row>
    <row r="79" spans="2:63">
      <c r="B79" s="1125" t="s">
        <v>62</v>
      </c>
      <c r="C79" s="1055">
        <f ca="1">VLOOKUP(Myリゾート!$B79,OFFSET(高速化データ!$DD$6,0,0,高速化データ!$A$1,2), 2, FALSE)</f>
        <v>8</v>
      </c>
      <c r="D79" s="59" t="str">
        <f ca="1">LEFT(VLOOKUP(Myリゾート!$C79,OFFSET(高速化データ!$A$6,0,0,高速化データ!$A$1,106), 3, TRUE),2)</f>
        <v>ショ</v>
      </c>
      <c r="E79" s="1063" t="str">
        <f ca="1">VLOOKUP(Myリゾート!$C79,OFFSET(高速化データ!$A$6,0,0,高速化データ!$A$1,106), 4, TRUE)&amp;""</f>
        <v/>
      </c>
      <c r="F79" s="1064" t="str">
        <f ca="1">VLOOKUP(Myリゾート!$C79,OFFSET(高速化データ!$A$6,0,0,高速化データ!$A$1,106), 5, TRUE)&amp;""</f>
        <v>○</v>
      </c>
      <c r="G79" s="1064" t="str">
        <f ca="1">VLOOKUP(Myリゾート!$C79,OFFSET(高速化データ!$A$6,0,0,高速化データ!$A$1,106), 6, TRUE)&amp;""</f>
        <v/>
      </c>
      <c r="H79" s="1065" t="str">
        <f ca="1">VLOOKUP(Myリゾート!$C79,OFFSET(高速化データ!$A$6,0,0,高速化データ!$A$1,106), 7, TRUE)&amp;""</f>
        <v/>
      </c>
      <c r="I79" s="1131">
        <v>4</v>
      </c>
      <c r="J79" s="1134"/>
      <c r="K79" s="1061">
        <f ca="1">VLOOKUP(Myリゾート!$C79,OFFSET(高速化データ!$A$6,0,0,高速化データ!$A$1,106), 10, TRUE)</f>
        <v>1</v>
      </c>
      <c r="L79" s="1062">
        <f ca="1">VLOOKUP(Myリゾート!$C79,OFFSET(高速化データ!$A$6,0,0,高速化データ!$A$1,106), 12, TRUE)</f>
        <v>0.55555555555555558</v>
      </c>
      <c r="M79" s="1066">
        <f ca="1">VLOOKUP(Myリゾート!$C79,OFFSET(高速化データ!$A$6,0,0,高速化データ!$A$1,106), 86, TRUE)</f>
        <v>140</v>
      </c>
      <c r="N79" s="1058">
        <f ca="1">VLOOKUP(Myリゾート!$C79,OFFSET(高速化データ!$A$6,0,0,高速化データ!$A$1,106), 87, TRUE)</f>
        <v>252</v>
      </c>
      <c r="O79" s="1058">
        <f t="shared" ca="1" si="0"/>
        <v>442.89</v>
      </c>
      <c r="P79" s="1059">
        <f t="shared" ca="1" si="3"/>
        <v>302.89</v>
      </c>
      <c r="Q79" s="1061">
        <f ca="1">VLOOKUP(Myリゾート!$C79,OFFSET(高速化データ!$A$6,0,0,高速化データ!$A$1,106), 88, TRUE)</f>
        <v>7</v>
      </c>
      <c r="R79" s="1060">
        <f ca="1">VLOOKUP(Myリゾート!$C79,OFFSET(高速化データ!$A$6,0,0,高速化データ!$A$1,106), 89, TRUE)</f>
        <v>980</v>
      </c>
      <c r="S79" s="1060">
        <f ca="1">VLOOKUP(Myリゾート!$C79,OFFSET(高速化データ!$A$6,0,0,高速化データ!$A$1,106), 90, TRUE)</f>
        <v>980</v>
      </c>
      <c r="T79" s="1060">
        <f ca="1">VLOOKUP(Myリゾート!$C79,OFFSET(高速化データ!$A$6,0,0,高速化データ!$A$1,106), 91, TRUE)</f>
        <v>129</v>
      </c>
      <c r="U79" s="1067">
        <f ca="1">VLOOKUP(Myリゾート!$C79,OFFSET(高速化データ!$A$6,0,0,高速化データ!$A$1,106), 92, TRUE)</f>
        <v>129</v>
      </c>
      <c r="V79" s="1066">
        <f ca="1">VLOOKUP(Myリゾート!$C79,OFFSET(高速化データ!$A$6,0,0,高速化データ!$A$1,106), 30, TRUE)</f>
        <v>70</v>
      </c>
      <c r="W79" s="1058">
        <f ca="1">VLOOKUP(Myリゾート!$C79,OFFSET(高速化データ!$A$6,0,0,高速化データ!$A$1,106), 31, TRUE)</f>
        <v>126</v>
      </c>
      <c r="X79" s="1058">
        <f t="shared" ca="1" si="1"/>
        <v>221.44499999999999</v>
      </c>
      <c r="Y79" s="1068">
        <f t="shared" ca="1" si="4"/>
        <v>151.44499999999999</v>
      </c>
      <c r="Z79" s="1061">
        <f ca="1">VLOOKUP(Myリゾート!$C79,OFFSET(高速化データ!$A$6,0,0,高速化データ!$A$1,106), 32, TRUE)</f>
        <v>6</v>
      </c>
      <c r="AA79" s="1060">
        <f ca="1">VLOOKUP(Myリゾート!$C79,OFFSET(高速化データ!$A$6,0,0,高速化データ!$A$1,106), 33, TRUE)</f>
        <v>420</v>
      </c>
      <c r="AB79" s="1060">
        <f ca="1">VLOOKUP(Myリゾート!$C79,OFFSET(高速化データ!$A$6,0,0,高速化データ!$A$1,106), 34, TRUE)</f>
        <v>420</v>
      </c>
      <c r="AC79" s="1060">
        <f ca="1">VLOOKUP(Myリゾート!$C79,OFFSET(高速化データ!$A$6,0,0,高速化データ!$A$1,106), 35, TRUE)</f>
        <v>55</v>
      </c>
      <c r="AD79" s="1069">
        <f ca="1">VLOOKUP(Myリゾート!$C79,OFFSET(高速化データ!$A$6,0,0,高速化データ!$A$1,106), 36, TRUE)</f>
        <v>55</v>
      </c>
      <c r="AE79" s="1066">
        <f ca="1">VLOOKUP(Myリゾート!$C79,OFFSET(高速化データ!$A$6,0,0,高速化データ!$A$1,106), 16+($I79*14), TRUE)</f>
        <v>133</v>
      </c>
      <c r="AF79" s="1058">
        <f ca="1">VLOOKUP(Myリゾート!$C79,OFFSET(高速化データ!$A$6,0,0,高速化データ!$A$1,106), 17+($I79*14), TRUE)</f>
        <v>239</v>
      </c>
      <c r="AG79" s="1058">
        <f t="shared" ca="1" si="2"/>
        <v>420.04250000000002</v>
      </c>
      <c r="AH79" s="1068">
        <f t="shared" ca="1" si="5"/>
        <v>287.04250000000002</v>
      </c>
      <c r="AI79" s="1061">
        <f ca="1">VLOOKUP(Myリゾート!$C79,OFFSET(高速化データ!$A$6,0,0,高速化データ!$A$1,106), 18+($I79*14), TRUE)</f>
        <v>7</v>
      </c>
      <c r="AJ79" s="1058">
        <f ca="1">VLOOKUP(Myリゾート!$C79,OFFSET(高速化データ!$A$6,0,0,高速化データ!$A$1,106), 19+($I79*14), TRUE)</f>
        <v>931</v>
      </c>
      <c r="AK79" s="1058">
        <f ca="1">VLOOKUP(Myリゾート!$C79,OFFSET(高速化データ!$A$6,0,0,高速化データ!$A$1,106), 20+($I79*14), TRUE)</f>
        <v>931</v>
      </c>
      <c r="AL79" s="1058">
        <f ca="1">VLOOKUP(Myリゾート!$C79,OFFSET(高速化データ!$A$6,0,0,高速化データ!$A$1,106), 21+($I79*14), TRUE)</f>
        <v>123</v>
      </c>
      <c r="AM79" s="1070">
        <f ca="1">VLOOKUP(Myリゾート!$C79,OFFSET(高速化データ!$A$6,0,0,高速化データ!$A$1,106), 22+($I79*14), TRUE)</f>
        <v>123</v>
      </c>
      <c r="AN79" s="1072">
        <f ca="1">VLOOKUP(Myリゾート!$C79,OFFSET(高速化データ!$A$6,0,0,高速化データ!$A$1,106), 11, TRUE)</f>
        <v>0.13250000000000001</v>
      </c>
      <c r="AO79" s="1110">
        <f ca="1">VLOOKUP(Myリゾート!$C79,OFFSET(高速化データ!$A$6,0,0,高速化データ!$A$1,106), 13, TRUE)</f>
        <v>30</v>
      </c>
      <c r="AP79" s="1073" t="str">
        <f ca="1">VLOOKUP(Myリゾート!$C79,OFFSET(高速化データ!$A$6,0,0,高速化データ!$A$1,106), 15, TRUE)</f>
        <v>A</v>
      </c>
      <c r="AQ79" s="1071" t="str">
        <f ca="1">VLOOKUP(Myリゾート!$C79,OFFSET(高速化データ!$A$6,0,0,高速化データ!$A$1,106), 9, TRUE)</f>
        <v>レベル</v>
      </c>
      <c r="AR79" s="1112">
        <f ca="1">IF($I79=5, 0,VLOOKUP(Myリゾート!$C79,OFFSET(高速化データ!$A$6,0,0,高速化データ!$A$1,106), 23+(($I79+1)*14), TRUE))</f>
        <v>2</v>
      </c>
      <c r="AS79" s="1058">
        <f ca="1">IF($I79=5, 0,VLOOKUP(Myリゾート!$C79,OFFSET(高速化データ!$A$6,0,0,高速化データ!$A$1,106), 24+(($I79+1)*14), TRUE))</f>
        <v>15000</v>
      </c>
      <c r="AT79" s="1074">
        <f ca="1">IF($I79=5, 0,VLOOKUP(Myリゾート!$C79,OFFSET(高速化データ!$A$6,0,0,高速化データ!$A$1,106), 25+(($I79+1)*14), TRUE))</f>
        <v>0</v>
      </c>
      <c r="AU79" s="1074">
        <f ca="1">IF($I79=5, 0,VLOOKUP(Myリゾート!$C79,OFFSET(高速化データ!$A$6,0,0,高速化データ!$A$1,106), 26+(($I79+1)*14), TRUE))</f>
        <v>1</v>
      </c>
      <c r="AV79" s="1074">
        <f ca="1">IF($I79=5, 0,VLOOKUP(Myリゾート!$C79,OFFSET(高速化データ!$A$6,0,0,高速化データ!$A$1,106), 27+(($I79+1)*14), TRUE))</f>
        <v>0</v>
      </c>
      <c r="AW79" s="1075">
        <f ca="1">IF($I79=5, 0,VLOOKUP(Myリゾート!$C79,OFFSET(高速化データ!$A$6,0,0,高速化データ!$A$1,106), 28+(($I79+1)*14), TRUE))</f>
        <v>0.71692176870748303</v>
      </c>
      <c r="AX79" s="1070">
        <f ca="1">IF($I79=5, 0,VLOOKUP(Myリゾート!$C79,OFFSET(高速化データ!$A$6,0,0,高速化データ!$A$1,106), 29+(($I79+1)*14), TRUE))</f>
        <v>7500</v>
      </c>
      <c r="AY79" s="1066">
        <f ca="1">IF($I79=5, 0, VLOOKUP(Myリゾート!$C79,OFFSET(高速化データ!$A$6,0,0,高速化データ!$A$1,106), 19+(($I79+1)*14), TRUE)-AJ79)</f>
        <v>49</v>
      </c>
      <c r="AZ79" s="1058">
        <f ca="1">IF($I79=5, 0, VLOOKUP(Myリゾート!$C79,OFFSET(高速化データ!$A$6,0,0,高速化データ!$A$1,106), 20+(($I79+1)*14), TRUE)-AK79)</f>
        <v>49</v>
      </c>
      <c r="BA79" s="1076">
        <f ca="1">IF($I79=5, 0, VLOOKUP(Myリゾート!$C79,OFFSET(高速化データ!$A$6,0,0,高速化データ!$A$1,106), 17+(($I79+1)*14), TRUE)*$B$1/100-VLOOKUP(Myリゾート!$C79,OFFSET(高速化データ!$A$6,0,0,高速化データ!$A$1,106), 16+(($I79+1)*14),TRUE)-AH79)</f>
        <v>15.847499999999968</v>
      </c>
      <c r="BB79" s="1056">
        <f t="shared" ca="1" si="6"/>
        <v>49</v>
      </c>
      <c r="BC79" s="1057">
        <f t="shared" ca="1" si="6"/>
        <v>49</v>
      </c>
      <c r="BD79" s="1068">
        <f t="shared" ca="1" si="7"/>
        <v>15.847499999999968</v>
      </c>
      <c r="BE79" s="9">
        <f t="shared" ca="1" si="8"/>
        <v>133</v>
      </c>
      <c r="BF79" s="7">
        <f t="shared" ca="1" si="8"/>
        <v>239</v>
      </c>
      <c r="BG79" s="7">
        <f t="shared" ca="1" si="9"/>
        <v>931</v>
      </c>
      <c r="BH79" s="7">
        <f t="shared" ca="1" si="9"/>
        <v>931</v>
      </c>
      <c r="BI79" s="7">
        <f t="shared" ca="1" si="9"/>
        <v>123</v>
      </c>
      <c r="BJ79" s="7">
        <f t="shared" ca="1" si="9"/>
        <v>123</v>
      </c>
      <c r="BK79" s="8">
        <f t="shared" ca="1" si="10"/>
        <v>133</v>
      </c>
    </row>
    <row r="80" spans="2:63">
      <c r="B80" s="1125" t="s">
        <v>59</v>
      </c>
      <c r="C80" s="1055">
        <f ca="1">VLOOKUP(Myリゾート!$B80,OFFSET(高速化データ!$DD$6,0,0,高速化データ!$A$1,2), 2, FALSE)</f>
        <v>10</v>
      </c>
      <c r="D80" s="59" t="str">
        <f ca="1">LEFT(VLOOKUP(Myリゾート!$C80,OFFSET(高速化データ!$A$6,0,0,高速化データ!$A$1,106), 3, TRUE),2)</f>
        <v>ショ</v>
      </c>
      <c r="E80" s="1063" t="str">
        <f ca="1">VLOOKUP(Myリゾート!$C80,OFFSET(高速化データ!$A$6,0,0,高速化データ!$A$1,106), 4, TRUE)&amp;""</f>
        <v/>
      </c>
      <c r="F80" s="1064" t="str">
        <f ca="1">VLOOKUP(Myリゾート!$C80,OFFSET(高速化データ!$A$6,0,0,高速化データ!$A$1,106), 5, TRUE)&amp;""</f>
        <v>○</v>
      </c>
      <c r="G80" s="1064" t="str">
        <f ca="1">VLOOKUP(Myリゾート!$C80,OFFSET(高速化データ!$A$6,0,0,高速化データ!$A$1,106), 6, TRUE)&amp;""</f>
        <v/>
      </c>
      <c r="H80" s="1065" t="str">
        <f ca="1">VLOOKUP(Myリゾート!$C80,OFFSET(高速化データ!$A$6,0,0,高速化データ!$A$1,106), 7, TRUE)&amp;""</f>
        <v/>
      </c>
      <c r="I80" s="1131">
        <v>3</v>
      </c>
      <c r="J80" s="1134"/>
      <c r="K80" s="1061">
        <f ca="1">VLOOKUP(Myリゾート!$C80,OFFSET(高速化データ!$A$6,0,0,高速化データ!$A$1,106), 10, TRUE)</f>
        <v>1</v>
      </c>
      <c r="L80" s="1062">
        <f ca="1">VLOOKUP(Myリゾート!$C80,OFFSET(高速化データ!$A$6,0,0,高速化データ!$A$1,106), 12, TRUE)</f>
        <v>0.56375838926174493</v>
      </c>
      <c r="M80" s="1066">
        <f ca="1">VLOOKUP(Myリゾート!$C80,OFFSET(高速化データ!$A$6,0,0,高速化データ!$A$1,106), 86, TRUE)</f>
        <v>168</v>
      </c>
      <c r="N80" s="1058">
        <f ca="1">VLOOKUP(Myリゾート!$C80,OFFSET(高速化データ!$A$6,0,0,高速化データ!$A$1,106), 87, TRUE)</f>
        <v>298</v>
      </c>
      <c r="O80" s="1058">
        <f t="shared" ca="1" si="0"/>
        <v>523.73500000000001</v>
      </c>
      <c r="P80" s="1059">
        <f t="shared" ca="1" si="3"/>
        <v>355.73500000000001</v>
      </c>
      <c r="Q80" s="1061">
        <f ca="1">VLOOKUP(Myリゾート!$C80,OFFSET(高速化データ!$A$6,0,0,高速化データ!$A$1,106), 88, TRUE)</f>
        <v>7</v>
      </c>
      <c r="R80" s="1060">
        <f ca="1">VLOOKUP(Myリゾート!$C80,OFFSET(高速化データ!$A$6,0,0,高速化データ!$A$1,106), 89, TRUE)</f>
        <v>1176</v>
      </c>
      <c r="S80" s="1060">
        <f ca="1">VLOOKUP(Myリゾート!$C80,OFFSET(高速化データ!$A$6,0,0,高速化データ!$A$1,106), 90, TRUE)</f>
        <v>1176</v>
      </c>
      <c r="T80" s="1060">
        <f ca="1">VLOOKUP(Myリゾート!$C80,OFFSET(高速化データ!$A$6,0,0,高速化データ!$A$1,106), 91, TRUE)</f>
        <v>155</v>
      </c>
      <c r="U80" s="1067">
        <f ca="1">VLOOKUP(Myリゾート!$C80,OFFSET(高速化データ!$A$6,0,0,高速化データ!$A$1,106), 92, TRUE)</f>
        <v>155</v>
      </c>
      <c r="V80" s="1066">
        <f ca="1">VLOOKUP(Myリゾート!$C80,OFFSET(高速化データ!$A$6,0,0,高速化データ!$A$1,106), 30, TRUE)</f>
        <v>84</v>
      </c>
      <c r="W80" s="1058">
        <f ca="1">VLOOKUP(Myリゾート!$C80,OFFSET(高速化データ!$A$6,0,0,高速化データ!$A$1,106), 31, TRUE)</f>
        <v>149</v>
      </c>
      <c r="X80" s="1058">
        <f t="shared" ca="1" si="1"/>
        <v>261.86750000000001</v>
      </c>
      <c r="Y80" s="1068">
        <f t="shared" ca="1" si="4"/>
        <v>177.86750000000001</v>
      </c>
      <c r="Z80" s="1061">
        <f ca="1">VLOOKUP(Myリゾート!$C80,OFFSET(高速化データ!$A$6,0,0,高速化データ!$A$1,106), 32, TRUE)</f>
        <v>6</v>
      </c>
      <c r="AA80" s="1060">
        <f ca="1">VLOOKUP(Myリゾート!$C80,OFFSET(高速化データ!$A$6,0,0,高速化データ!$A$1,106), 33, TRUE)</f>
        <v>504</v>
      </c>
      <c r="AB80" s="1060">
        <f ca="1">VLOOKUP(Myリゾート!$C80,OFFSET(高速化データ!$A$6,0,0,高速化データ!$A$1,106), 34, TRUE)</f>
        <v>504</v>
      </c>
      <c r="AC80" s="1060">
        <f ca="1">VLOOKUP(Myリゾート!$C80,OFFSET(高速化データ!$A$6,0,0,高速化データ!$A$1,106), 35, TRUE)</f>
        <v>66</v>
      </c>
      <c r="AD80" s="1069">
        <f ca="1">VLOOKUP(Myリゾート!$C80,OFFSET(高速化データ!$A$6,0,0,高速化データ!$A$1,106), 36, TRUE)</f>
        <v>66</v>
      </c>
      <c r="AE80" s="1066">
        <f ca="1">VLOOKUP(Myリゾート!$C80,OFFSET(高速化データ!$A$6,0,0,高速化データ!$A$1,106), 16+($I80*14), TRUE)</f>
        <v>147</v>
      </c>
      <c r="AF80" s="1058">
        <f ca="1">VLOOKUP(Myリゾート!$C80,OFFSET(高速化データ!$A$6,0,0,高速化データ!$A$1,106), 17+($I80*14), TRUE)</f>
        <v>260</v>
      </c>
      <c r="AG80" s="1058">
        <f t="shared" ca="1" si="2"/>
        <v>456.95</v>
      </c>
      <c r="AH80" s="1068">
        <f t="shared" ca="1" si="5"/>
        <v>309.95</v>
      </c>
      <c r="AI80" s="1061">
        <f ca="1">VLOOKUP(Myリゾート!$C80,OFFSET(高速化データ!$A$6,0,0,高速化データ!$A$1,106), 18+($I80*14), TRUE)</f>
        <v>6</v>
      </c>
      <c r="AJ80" s="1058">
        <f ca="1">VLOOKUP(Myリゾート!$C80,OFFSET(高速化データ!$A$6,0,0,高速化データ!$A$1,106), 19+($I80*14), TRUE)</f>
        <v>882</v>
      </c>
      <c r="AK80" s="1058">
        <f ca="1">VLOOKUP(Myリゾート!$C80,OFFSET(高速化データ!$A$6,0,0,高速化データ!$A$1,106), 20+($I80*14), TRUE)</f>
        <v>882</v>
      </c>
      <c r="AL80" s="1058">
        <f ca="1">VLOOKUP(Myリゾート!$C80,OFFSET(高速化データ!$A$6,0,0,高速化データ!$A$1,106), 21+($I80*14), TRUE)</f>
        <v>116</v>
      </c>
      <c r="AM80" s="1070">
        <f ca="1">VLOOKUP(Myリゾート!$C80,OFFSET(高速化データ!$A$6,0,0,高速化データ!$A$1,106), 22+($I80*14), TRUE)</f>
        <v>116</v>
      </c>
      <c r="AN80" s="1072">
        <f ca="1">VLOOKUP(Myリゾート!$C80,OFFSET(高速化データ!$A$6,0,0,高速化データ!$A$1,106), 11, TRUE)</f>
        <v>0.13250000000000001</v>
      </c>
      <c r="AO80" s="1110">
        <f ca="1">VLOOKUP(Myリゾート!$C80,OFFSET(高速化データ!$A$6,0,0,高速化データ!$A$1,106), 13, TRUE)</f>
        <v>30</v>
      </c>
      <c r="AP80" s="1073" t="str">
        <f ca="1">VLOOKUP(Myリゾート!$C80,OFFSET(高速化データ!$A$6,0,0,高速化データ!$A$1,106), 15, TRUE)</f>
        <v>A</v>
      </c>
      <c r="AQ80" s="1071" t="str">
        <f ca="1">VLOOKUP(Myリゾート!$C80,OFFSET(高速化データ!$A$6,0,0,高速化データ!$A$1,106), 9, TRUE)</f>
        <v>レベル</v>
      </c>
      <c r="AR80" s="1112">
        <f ca="1">IF($I80=5, 0,VLOOKUP(Myリゾート!$C80,OFFSET(高速化データ!$A$6,0,0,高速化データ!$A$1,106), 23+(($I80+1)*14), TRUE))</f>
        <v>1</v>
      </c>
      <c r="AS80" s="1058">
        <f ca="1">IF($I80=5, 0,VLOOKUP(Myリゾート!$C80,OFFSET(高速化データ!$A$6,0,0,高速化データ!$A$1,106), 24+(($I80+1)*14), TRUE))</f>
        <v>9000</v>
      </c>
      <c r="AT80" s="1074">
        <f ca="1">IF($I80=5, 0,VLOOKUP(Myリゾート!$C80,OFFSET(高速化データ!$A$6,0,0,高速化データ!$A$1,106), 25+(($I80+1)*14), TRUE))</f>
        <v>0</v>
      </c>
      <c r="AU80" s="1074">
        <f ca="1">IF($I80=5, 0,VLOOKUP(Myリゾート!$C80,OFFSET(高速化データ!$A$6,0,0,高速化データ!$A$1,106), 26+(($I80+1)*14), TRUE))</f>
        <v>0</v>
      </c>
      <c r="AV80" s="1074">
        <f ca="1">IF($I80=5, 0,VLOOKUP(Myリゾート!$C80,OFFSET(高速化データ!$A$6,0,0,高速化データ!$A$1,106), 27+(($I80+1)*14), TRUE))</f>
        <v>0</v>
      </c>
      <c r="AW80" s="1075">
        <f ca="1">IF($I80=5, 0,VLOOKUP(Myリゾート!$C80,OFFSET(高速化データ!$A$6,0,0,高速化データ!$A$1,106), 28+(($I80+1)*14), TRUE))</f>
        <v>0.36994609164420483</v>
      </c>
      <c r="AX80" s="1070">
        <f ca="1">IF($I80=5, 0,VLOOKUP(Myリゾート!$C80,OFFSET(高速化データ!$A$6,0,0,高速化データ!$A$1,106), 29+(($I80+1)*14), TRUE))</f>
        <v>9000</v>
      </c>
      <c r="AY80" s="1066">
        <f ca="1">IF($I80=5, 0, VLOOKUP(Myリゾート!$C80,OFFSET(高速化データ!$A$6,0,0,高速化データ!$A$1,106), 19+(($I80+1)*14), TRUE)-AJ80)</f>
        <v>231</v>
      </c>
      <c r="AZ80" s="1058">
        <f ca="1">IF($I80=5, 0, VLOOKUP(Myリゾート!$C80,OFFSET(高速化データ!$A$6,0,0,高速化データ!$A$1,106), 20+(($I80+1)*14), TRUE)-AK80)</f>
        <v>231</v>
      </c>
      <c r="BA80" s="1076">
        <f ca="1">IF($I80=5, 0, VLOOKUP(Myリゾート!$C80,OFFSET(高速化データ!$A$6,0,0,高速化データ!$A$1,106), 17+(($I80+1)*14), TRUE)*$B$1/100-VLOOKUP(Myリゾート!$C80,OFFSET(高速化データ!$A$6,0,0,高速化データ!$A$1,106), 16+(($I80+1)*14),TRUE)-AH80)</f>
        <v>28.422500000000014</v>
      </c>
      <c r="BB80" s="1056">
        <f t="shared" ca="1" si="6"/>
        <v>294</v>
      </c>
      <c r="BC80" s="1057">
        <f t="shared" ca="1" si="6"/>
        <v>294</v>
      </c>
      <c r="BD80" s="1068">
        <f t="shared" ca="1" si="7"/>
        <v>45.785000000000025</v>
      </c>
      <c r="BE80" s="9">
        <f t="shared" ca="1" si="8"/>
        <v>147</v>
      </c>
      <c r="BF80" s="7">
        <f t="shared" ca="1" si="8"/>
        <v>260</v>
      </c>
      <c r="BG80" s="7">
        <f t="shared" ca="1" si="9"/>
        <v>882</v>
      </c>
      <c r="BH80" s="7">
        <f t="shared" ca="1" si="9"/>
        <v>882</v>
      </c>
      <c r="BI80" s="7">
        <f t="shared" ca="1" si="9"/>
        <v>116</v>
      </c>
      <c r="BJ80" s="7">
        <f t="shared" ca="1" si="9"/>
        <v>116</v>
      </c>
      <c r="BK80" s="8">
        <f t="shared" ca="1" si="10"/>
        <v>147</v>
      </c>
    </row>
    <row r="81" spans="2:63">
      <c r="B81" s="1125" t="s">
        <v>29</v>
      </c>
      <c r="C81" s="1055">
        <f ca="1">VLOOKUP(Myリゾート!$B81,OFFSET(高速化データ!$DD$6,0,0,高速化データ!$A$1,2), 2, FALSE)</f>
        <v>27</v>
      </c>
      <c r="D81" s="59" t="str">
        <f ca="1">LEFT(VLOOKUP(Myリゾート!$C81,OFFSET(高速化データ!$A$6,0,0,高速化データ!$A$1,106), 3, TRUE),2)</f>
        <v>ショ</v>
      </c>
      <c r="E81" s="1063" t="str">
        <f ca="1">VLOOKUP(Myリゾート!$C81,OFFSET(高速化データ!$A$6,0,0,高速化データ!$A$1,106), 4, TRUE)&amp;""</f>
        <v/>
      </c>
      <c r="F81" s="1064" t="str">
        <f ca="1">VLOOKUP(Myリゾート!$C81,OFFSET(高速化データ!$A$6,0,0,高速化データ!$A$1,106), 5, TRUE)&amp;""</f>
        <v>○</v>
      </c>
      <c r="G81" s="1064" t="str">
        <f ca="1">VLOOKUP(Myリゾート!$C81,OFFSET(高速化データ!$A$6,0,0,高速化データ!$A$1,106), 6, TRUE)&amp;""</f>
        <v>○</v>
      </c>
      <c r="H81" s="1065" t="str">
        <f ca="1">VLOOKUP(Myリゾート!$C81,OFFSET(高速化データ!$A$6,0,0,高速化データ!$A$1,106), 7, TRUE)&amp;""</f>
        <v/>
      </c>
      <c r="I81" s="1131">
        <v>3</v>
      </c>
      <c r="J81" s="1134"/>
      <c r="K81" s="1061">
        <f ca="1">VLOOKUP(Myリゾート!$C81,OFFSET(高速化データ!$A$6,0,0,高速化データ!$A$1,106), 10, TRUE)</f>
        <v>0.875</v>
      </c>
      <c r="L81" s="1062">
        <f ca="1">VLOOKUP(Myリゾート!$C81,OFFSET(高速化データ!$A$6,0,0,高速化データ!$A$1,106), 12, TRUE)</f>
        <v>0.5957446808510638</v>
      </c>
      <c r="M81" s="1066">
        <f ca="1">VLOOKUP(Myリゾート!$C81,OFFSET(高速化データ!$A$6,0,0,高速化データ!$A$1,106), 86, TRUE)</f>
        <v>224</v>
      </c>
      <c r="N81" s="1058">
        <f ca="1">VLOOKUP(Myリゾート!$C81,OFFSET(高速化データ!$A$6,0,0,高速化データ!$A$1,106), 87, TRUE)</f>
        <v>376</v>
      </c>
      <c r="O81" s="1058">
        <f t="shared" ca="1" si="0"/>
        <v>660.82</v>
      </c>
      <c r="P81" s="1059">
        <f t="shared" ca="1" si="3"/>
        <v>436.82000000000005</v>
      </c>
      <c r="Q81" s="1061">
        <f ca="1">VLOOKUP(Myリゾート!$C81,OFFSET(高速化データ!$A$6,0,0,高速化データ!$A$1,106), 88, TRUE)</f>
        <v>9</v>
      </c>
      <c r="R81" s="1060">
        <f ca="1">VLOOKUP(Myリゾート!$C81,OFFSET(高速化データ!$A$6,0,0,高速化データ!$A$1,106), 89, TRUE)</f>
        <v>2016</v>
      </c>
      <c r="S81" s="1060">
        <f ca="1">VLOOKUP(Myリゾート!$C81,OFFSET(高速化データ!$A$6,0,0,高速化データ!$A$1,106), 90, TRUE)</f>
        <v>1764</v>
      </c>
      <c r="T81" s="1060">
        <f ca="1">VLOOKUP(Myリゾート!$C81,OFFSET(高速化データ!$A$6,0,0,高速化データ!$A$1,106), 91, TRUE)</f>
        <v>267</v>
      </c>
      <c r="U81" s="1067">
        <f ca="1">VLOOKUP(Myリゾート!$C81,OFFSET(高速化データ!$A$6,0,0,高速化データ!$A$1,106), 92, TRUE)</f>
        <v>233</v>
      </c>
      <c r="V81" s="1066">
        <f ca="1">VLOOKUP(Myリゾート!$C81,OFFSET(高速化データ!$A$6,0,0,高速化データ!$A$1,106), 30, TRUE)</f>
        <v>112</v>
      </c>
      <c r="W81" s="1058">
        <f ca="1">VLOOKUP(Myリゾート!$C81,OFFSET(高速化データ!$A$6,0,0,高速化データ!$A$1,106), 31, TRUE)</f>
        <v>188</v>
      </c>
      <c r="X81" s="1058">
        <f t="shared" ca="1" si="1"/>
        <v>330.41</v>
      </c>
      <c r="Y81" s="1068">
        <f t="shared" ca="1" si="4"/>
        <v>218.41000000000003</v>
      </c>
      <c r="Z81" s="1061">
        <f ca="1">VLOOKUP(Myリゾート!$C81,OFFSET(高速化データ!$A$6,0,0,高速化データ!$A$1,106), 32, TRUE)</f>
        <v>8</v>
      </c>
      <c r="AA81" s="1060">
        <f ca="1">VLOOKUP(Myリゾート!$C81,OFFSET(高速化データ!$A$6,0,0,高速化データ!$A$1,106), 33, TRUE)</f>
        <v>896</v>
      </c>
      <c r="AB81" s="1060">
        <f ca="1">VLOOKUP(Myリゾート!$C81,OFFSET(高速化データ!$A$6,0,0,高速化データ!$A$1,106), 34, TRUE)</f>
        <v>784</v>
      </c>
      <c r="AC81" s="1060">
        <f ca="1">VLOOKUP(Myリゾート!$C81,OFFSET(高速化データ!$A$6,0,0,高速化データ!$A$1,106), 35, TRUE)</f>
        <v>118</v>
      </c>
      <c r="AD81" s="1069">
        <f ca="1">VLOOKUP(Myリゾート!$C81,OFFSET(高速化データ!$A$6,0,0,高速化データ!$A$1,106), 36, TRUE)</f>
        <v>103</v>
      </c>
      <c r="AE81" s="1066">
        <f ca="1">VLOOKUP(Myリゾート!$C81,OFFSET(高速化データ!$A$6,0,0,高速化データ!$A$1,106), 16+($I81*14), TRUE)</f>
        <v>196</v>
      </c>
      <c r="AF81" s="1058">
        <f ca="1">VLOOKUP(Myリゾート!$C81,OFFSET(高速化データ!$A$6,0,0,高速化データ!$A$1,106), 17+($I81*14), TRUE)</f>
        <v>329</v>
      </c>
      <c r="AG81" s="1058">
        <f t="shared" ca="1" si="2"/>
        <v>578.21749999999997</v>
      </c>
      <c r="AH81" s="1068">
        <f t="shared" ca="1" si="5"/>
        <v>382.21749999999997</v>
      </c>
      <c r="AI81" s="1061">
        <f ca="1">VLOOKUP(Myリゾート!$C81,OFFSET(高速化データ!$A$6,0,0,高速化データ!$A$1,106), 18+($I81*14), TRUE)</f>
        <v>9</v>
      </c>
      <c r="AJ81" s="1058">
        <f ca="1">VLOOKUP(Myリゾート!$C81,OFFSET(高速化データ!$A$6,0,0,高速化データ!$A$1,106), 19+($I81*14), TRUE)</f>
        <v>1764</v>
      </c>
      <c r="AK81" s="1058">
        <f ca="1">VLOOKUP(Myリゾート!$C81,OFFSET(高速化データ!$A$6,0,0,高速化データ!$A$1,106), 20+($I81*14), TRUE)</f>
        <v>1543</v>
      </c>
      <c r="AL81" s="1058">
        <f ca="1">VLOOKUP(Myリゾート!$C81,OFFSET(高速化データ!$A$6,0,0,高速化データ!$A$1,106), 21+($I81*14), TRUE)</f>
        <v>233</v>
      </c>
      <c r="AM81" s="1070">
        <f ca="1">VLOOKUP(Myリゾート!$C81,OFFSET(高速化データ!$A$6,0,0,高速化データ!$A$1,106), 22+($I81*14), TRUE)</f>
        <v>204</v>
      </c>
      <c r="AN81" s="1072">
        <f ca="1">VLOOKUP(Myリゾート!$C81,OFFSET(高速化データ!$A$6,0,0,高速化データ!$A$1,106), 11, TRUE)</f>
        <v>0.13250000000000001</v>
      </c>
      <c r="AO81" s="1110">
        <f ca="1">VLOOKUP(Myリゾート!$C81,OFFSET(高速化データ!$A$6,0,0,高速化データ!$A$1,106), 13, TRUE)</f>
        <v>30</v>
      </c>
      <c r="AP81" s="1073" t="str">
        <f ca="1">VLOOKUP(Myリゾート!$C81,OFFSET(高速化データ!$A$6,0,0,高速化データ!$A$1,106), 15, TRUE)</f>
        <v>A</v>
      </c>
      <c r="AQ81" s="1071" t="str">
        <f ca="1">VLOOKUP(Myリゾート!$C81,OFFSET(高速化データ!$A$6,0,0,高速化データ!$A$1,106), 9, TRUE)</f>
        <v>レベル</v>
      </c>
      <c r="AR81" s="1112">
        <f ca="1">IF($I81=5, 0,VLOOKUP(Myリゾート!$C81,OFFSET(高速化データ!$A$6,0,0,高速化データ!$A$1,106), 23+(($I81+1)*14), TRUE))</f>
        <v>9</v>
      </c>
      <c r="AS81" s="1058">
        <f ca="1">IF($I81=5, 0,VLOOKUP(Myリゾート!$C81,OFFSET(高速化データ!$A$6,0,0,高速化データ!$A$1,106), 24+(($I81+1)*14), TRUE))</f>
        <v>120000</v>
      </c>
      <c r="AT81" s="1074">
        <f ca="1">IF($I81=5, 0,VLOOKUP(Myリゾート!$C81,OFFSET(高速化データ!$A$6,0,0,高速化データ!$A$1,106), 25+(($I81+1)*14), TRUE))</f>
        <v>0</v>
      </c>
      <c r="AU81" s="1074">
        <f ca="1">IF($I81=5, 0,VLOOKUP(Myリゾート!$C81,OFFSET(高速化データ!$A$6,0,0,高速化データ!$A$1,106), 26+(($I81+1)*14), TRUE))</f>
        <v>0</v>
      </c>
      <c r="AV81" s="1074">
        <f ca="1">IF($I81=5, 0,VLOOKUP(Myリゾート!$C81,OFFSET(高速化データ!$A$6,0,0,高速化データ!$A$1,106), 27+(($I81+1)*14), TRUE))</f>
        <v>0</v>
      </c>
      <c r="AW81" s="1075">
        <f ca="1">IF($I81=5, 0,VLOOKUP(Myリゾート!$C81,OFFSET(高速化データ!$A$6,0,0,高速化データ!$A$1,106), 28+(($I81+1)*14), TRUE))</f>
        <v>2.9672431865828095</v>
      </c>
      <c r="AX81" s="1070">
        <f ca="1">IF($I81=5, 0,VLOOKUP(Myリゾート!$C81,OFFSET(高速化データ!$A$6,0,0,高速化データ!$A$1,106), 29+(($I81+1)*14), TRUE))</f>
        <v>13333</v>
      </c>
      <c r="AY81" s="1066">
        <f ca="1">IF($I81=5, 0, VLOOKUP(Myリゾート!$C81,OFFSET(高速化データ!$A$6,0,0,高速化データ!$A$1,106), 19+(($I81+1)*14), TRUE)-AJ81)</f>
        <v>144</v>
      </c>
      <c r="AZ81" s="1058">
        <f ca="1">IF($I81=5, 0, VLOOKUP(Myリゾート!$C81,OFFSET(高速化データ!$A$6,0,0,高速化データ!$A$1,106), 20+(($I81+1)*14), TRUE)-AK81)</f>
        <v>126</v>
      </c>
      <c r="BA81" s="1076">
        <f ca="1">IF($I81=5, 0, VLOOKUP(Myリゾート!$C81,OFFSET(高速化データ!$A$6,0,0,高速化データ!$A$1,106), 17+(($I81+1)*14), TRUE)*$B$1/100-VLOOKUP(Myリゾート!$C81,OFFSET(高速化データ!$A$6,0,0,高速化データ!$A$1,106), 16+(($I81+1)*14),TRUE)-AH81)</f>
        <v>33.210000000000036</v>
      </c>
      <c r="BB81" s="1056">
        <f t="shared" ca="1" si="6"/>
        <v>252</v>
      </c>
      <c r="BC81" s="1057">
        <f t="shared" ca="1" si="6"/>
        <v>221</v>
      </c>
      <c r="BD81" s="1068">
        <f t="shared" ca="1" si="7"/>
        <v>54.602500000000077</v>
      </c>
      <c r="BE81" s="9">
        <f t="shared" ca="1" si="8"/>
        <v>196</v>
      </c>
      <c r="BF81" s="7">
        <f t="shared" ca="1" si="8"/>
        <v>329</v>
      </c>
      <c r="BG81" s="7">
        <f t="shared" ca="1" si="9"/>
        <v>1764</v>
      </c>
      <c r="BH81" s="7">
        <f t="shared" ca="1" si="9"/>
        <v>1543</v>
      </c>
      <c r="BI81" s="7">
        <f t="shared" ca="1" si="9"/>
        <v>233</v>
      </c>
      <c r="BJ81" s="7">
        <f t="shared" ca="1" si="9"/>
        <v>204</v>
      </c>
      <c r="BK81" s="8">
        <f t="shared" ca="1" si="10"/>
        <v>196</v>
      </c>
    </row>
    <row r="82" spans="2:63">
      <c r="B82" s="1125" t="s">
        <v>74</v>
      </c>
      <c r="C82" s="1055">
        <f ca="1">VLOOKUP(Myリゾート!$B82,OFFSET(高速化データ!$DD$6,0,0,高速化データ!$A$1,2), 2, FALSE)</f>
        <v>69</v>
      </c>
      <c r="D82" s="59" t="str">
        <f ca="1">LEFT(VLOOKUP(Myリゾート!$C82,OFFSET(高速化データ!$A$6,0,0,高速化データ!$A$1,106), 3, TRUE),2)</f>
        <v>ショ</v>
      </c>
      <c r="E82" s="1063" t="str">
        <f ca="1">VLOOKUP(Myリゾート!$C82,OFFSET(高速化データ!$A$6,0,0,高速化データ!$A$1,106), 4, TRUE)&amp;""</f>
        <v/>
      </c>
      <c r="F82" s="1064" t="str">
        <f ca="1">VLOOKUP(Myリゾート!$C82,OFFSET(高速化データ!$A$6,0,0,高速化データ!$A$1,106), 5, TRUE)&amp;""</f>
        <v>○</v>
      </c>
      <c r="G82" s="1064" t="str">
        <f ca="1">VLOOKUP(Myリゾート!$C82,OFFSET(高速化データ!$A$6,0,0,高速化データ!$A$1,106), 6, TRUE)&amp;""</f>
        <v/>
      </c>
      <c r="H82" s="1065" t="str">
        <f ca="1">VLOOKUP(Myリゾート!$C82,OFFSET(高速化データ!$A$6,0,0,高速化データ!$A$1,106), 7, TRUE)&amp;""</f>
        <v/>
      </c>
      <c r="I82" s="1131">
        <v>2</v>
      </c>
      <c r="J82" s="1134"/>
      <c r="K82" s="1061">
        <f ca="1">VLOOKUP(Myリゾート!$C82,OFFSET(高速化データ!$A$6,0,0,高速化データ!$A$1,106), 10, TRUE)</f>
        <v>1.125</v>
      </c>
      <c r="L82" s="1062">
        <f ca="1">VLOOKUP(Myリゾート!$C82,OFFSET(高速化データ!$A$6,0,0,高速化データ!$A$1,106), 12, TRUE)</f>
        <v>0.7857142857142857</v>
      </c>
      <c r="M82" s="1066">
        <f ca="1">VLOOKUP(Myリゾート!$C82,OFFSET(高速化データ!$A$6,0,0,高速化データ!$A$1,106), 86, TRUE)</f>
        <v>308</v>
      </c>
      <c r="N82" s="1058">
        <f ca="1">VLOOKUP(Myリゾート!$C82,OFFSET(高速化データ!$A$6,0,0,高速化データ!$A$1,106), 87, TRUE)</f>
        <v>392</v>
      </c>
      <c r="O82" s="1058">
        <f t="shared" ca="1" si="0"/>
        <v>688.94</v>
      </c>
      <c r="P82" s="1059">
        <f t="shared" ca="1" si="3"/>
        <v>380.94000000000005</v>
      </c>
      <c r="Q82" s="1061">
        <f ca="1">VLOOKUP(Myリゾート!$C82,OFFSET(高速化データ!$A$6,0,0,高速化データ!$A$1,106), 88, TRUE)</f>
        <v>10</v>
      </c>
      <c r="R82" s="1060">
        <f ca="1">VLOOKUP(Myリゾート!$C82,OFFSET(高速化データ!$A$6,0,0,高速化データ!$A$1,106), 89, TRUE)</f>
        <v>3080</v>
      </c>
      <c r="S82" s="1060">
        <f ca="1">VLOOKUP(Myリゾート!$C82,OFFSET(高速化データ!$A$6,0,0,高速化データ!$A$1,106), 90, TRUE)</f>
        <v>3465</v>
      </c>
      <c r="T82" s="1060">
        <f ca="1">VLOOKUP(Myリゾート!$C82,OFFSET(高速化データ!$A$6,0,0,高速化データ!$A$1,106), 91, TRUE)</f>
        <v>408</v>
      </c>
      <c r="U82" s="1067">
        <f ca="1">VLOOKUP(Myリゾート!$C82,OFFSET(高速化データ!$A$6,0,0,高速化データ!$A$1,106), 92, TRUE)</f>
        <v>459</v>
      </c>
      <c r="V82" s="1066">
        <f ca="1">VLOOKUP(Myリゾート!$C82,OFFSET(高速化データ!$A$6,0,0,高速化データ!$A$1,106), 30, TRUE)</f>
        <v>154</v>
      </c>
      <c r="W82" s="1058">
        <f ca="1">VLOOKUP(Myリゾート!$C82,OFFSET(高速化データ!$A$6,0,0,高速化データ!$A$1,106), 31, TRUE)</f>
        <v>196</v>
      </c>
      <c r="X82" s="1058">
        <f t="shared" ca="1" si="1"/>
        <v>344.47</v>
      </c>
      <c r="Y82" s="1068">
        <f t="shared" ca="1" si="4"/>
        <v>190.47000000000003</v>
      </c>
      <c r="Z82" s="1061">
        <f ca="1">VLOOKUP(Myリゾート!$C82,OFFSET(高速化データ!$A$6,0,0,高速化データ!$A$1,106), 32, TRUE)</f>
        <v>9</v>
      </c>
      <c r="AA82" s="1060">
        <f ca="1">VLOOKUP(Myリゾート!$C82,OFFSET(高速化データ!$A$6,0,0,高速化データ!$A$1,106), 33, TRUE)</f>
        <v>1386</v>
      </c>
      <c r="AB82" s="1060">
        <f ca="1">VLOOKUP(Myリゾート!$C82,OFFSET(高速化データ!$A$6,0,0,高速化データ!$A$1,106), 34, TRUE)</f>
        <v>1559</v>
      </c>
      <c r="AC82" s="1060">
        <f ca="1">VLOOKUP(Myリゾート!$C82,OFFSET(高速化データ!$A$6,0,0,高速化データ!$A$1,106), 35, TRUE)</f>
        <v>183</v>
      </c>
      <c r="AD82" s="1069">
        <f ca="1">VLOOKUP(Myリゾート!$C82,OFFSET(高速化データ!$A$6,0,0,高速化データ!$A$1,106), 36, TRUE)</f>
        <v>206</v>
      </c>
      <c r="AE82" s="1066">
        <f ca="1">VLOOKUP(Myリゾート!$C82,OFFSET(高速化データ!$A$6,0,0,高速化データ!$A$1,106), 16+($I82*14), TRUE)</f>
        <v>231</v>
      </c>
      <c r="AF82" s="1058">
        <f ca="1">VLOOKUP(Myリゾート!$C82,OFFSET(高速化データ!$A$6,0,0,高速化データ!$A$1,106), 17+($I82*14), TRUE)</f>
        <v>294</v>
      </c>
      <c r="AG82" s="1058">
        <f t="shared" ca="1" si="2"/>
        <v>516.70500000000004</v>
      </c>
      <c r="AH82" s="1068">
        <f t="shared" ca="1" si="5"/>
        <v>285.70500000000004</v>
      </c>
      <c r="AI82" s="1061">
        <f ca="1">VLOOKUP(Myリゾート!$C82,OFFSET(高速化データ!$A$6,0,0,高速化データ!$A$1,106), 18+($I82*14), TRUE)</f>
        <v>9</v>
      </c>
      <c r="AJ82" s="1058">
        <f ca="1">VLOOKUP(Myリゾート!$C82,OFFSET(高速化データ!$A$6,0,0,高速化データ!$A$1,106), 19+($I82*14), TRUE)</f>
        <v>2079</v>
      </c>
      <c r="AK82" s="1058">
        <f ca="1">VLOOKUP(Myリゾート!$C82,OFFSET(高速化データ!$A$6,0,0,高速化データ!$A$1,106), 20+($I82*14), TRUE)</f>
        <v>2338</v>
      </c>
      <c r="AL82" s="1058">
        <f ca="1">VLOOKUP(Myリゾート!$C82,OFFSET(高速化データ!$A$6,0,0,高速化データ!$A$1,106), 21+($I82*14), TRUE)</f>
        <v>275</v>
      </c>
      <c r="AM82" s="1070">
        <f ca="1">VLOOKUP(Myリゾート!$C82,OFFSET(高速化データ!$A$6,0,0,高速化データ!$A$1,106), 22+($I82*14), TRUE)</f>
        <v>309</v>
      </c>
      <c r="AN82" s="1072">
        <f ca="1">VLOOKUP(Myリゾート!$C82,OFFSET(高速化データ!$A$6,0,0,高速化データ!$A$1,106), 11, TRUE)</f>
        <v>0.13250000000000001</v>
      </c>
      <c r="AO82" s="1110">
        <f ca="1">VLOOKUP(Myリゾート!$C82,OFFSET(高速化データ!$A$6,0,0,高速化データ!$A$1,106), 13, TRUE)</f>
        <v>30</v>
      </c>
      <c r="AP82" s="1073" t="str">
        <f ca="1">VLOOKUP(Myリゾート!$C82,OFFSET(高速化データ!$A$6,0,0,高速化データ!$A$1,106), 15, TRUE)</f>
        <v>A</v>
      </c>
      <c r="AQ82" s="1071" t="str">
        <f ca="1">VLOOKUP(Myリゾート!$C82,OFFSET(高速化データ!$A$6,0,0,高速化データ!$A$1,106), 9, TRUE)</f>
        <v>レベル</v>
      </c>
      <c r="AR82" s="1112">
        <f ca="1">IF($I82=5, 0,VLOOKUP(Myリゾート!$C82,OFFSET(高速化データ!$A$6,0,0,高速化データ!$A$1,106), 23+(($I82+1)*14), TRUE))</f>
        <v>30</v>
      </c>
      <c r="AS82" s="1058">
        <f ca="1">IF($I82=5, 0,VLOOKUP(Myリゾート!$C82,OFFSET(高速化データ!$A$6,0,0,高速化データ!$A$1,106), 24+(($I82+1)*14), TRUE))</f>
        <v>525000</v>
      </c>
      <c r="AT82" s="1074">
        <f ca="1">IF($I82=5, 0,VLOOKUP(Myリゾート!$C82,OFFSET(高速化データ!$A$6,0,0,高速化データ!$A$1,106), 25+(($I82+1)*14), TRUE))</f>
        <v>1</v>
      </c>
      <c r="AU82" s="1074">
        <f ca="1">IF($I82=5, 0,VLOOKUP(Myリゾート!$C82,OFFSET(高速化データ!$A$6,0,0,高速化データ!$A$1,106), 26+(($I82+1)*14), TRUE))</f>
        <v>0</v>
      </c>
      <c r="AV82" s="1074">
        <f ca="1">IF($I82=5, 0,VLOOKUP(Myリゾート!$C82,OFFSET(高速化データ!$A$6,0,0,高速化データ!$A$1,106), 27+(($I82+1)*14), TRUE))</f>
        <v>0</v>
      </c>
      <c r="AW82" s="1075">
        <f ca="1">IF($I82=5, 0,VLOOKUP(Myリゾート!$C82,OFFSET(高速化データ!$A$6,0,0,高速化データ!$A$1,106), 28+(($I82+1)*14), TRUE))</f>
        <v>9.0980483271375459</v>
      </c>
      <c r="AX82" s="1070">
        <f ca="1">IF($I82=5, 0,VLOOKUP(Myリゾート!$C82,OFFSET(高速化データ!$A$6,0,0,高速化データ!$A$1,106), 29+(($I82+1)*14), TRUE))</f>
        <v>17500</v>
      </c>
      <c r="AY82" s="1066">
        <f ca="1">IF($I82=5, 0, VLOOKUP(Myリゾート!$C82,OFFSET(高速化データ!$A$6,0,0,高速化データ!$A$1,106), 19+(($I82+1)*14), TRUE)-AJ82)</f>
        <v>611</v>
      </c>
      <c r="AZ82" s="1058">
        <f ca="1">IF($I82=5, 0, VLOOKUP(Myリゾート!$C82,OFFSET(高速化データ!$A$6,0,0,高速化データ!$A$1,106), 20+(($I82+1)*14), TRUE)-AK82)</f>
        <v>688</v>
      </c>
      <c r="BA82" s="1076">
        <f ca="1">IF($I82=5, 0, VLOOKUP(Myリゾート!$C82,OFFSET(高速化データ!$A$6,0,0,高速化データ!$A$1,106), 17+(($I82+1)*14), TRUE)*$B$1/100-VLOOKUP(Myリゾート!$C82,OFFSET(高速化データ!$A$6,0,0,高速化データ!$A$1,106), 16+(($I82+1)*14),TRUE)-AH82)</f>
        <v>48.11749999999995</v>
      </c>
      <c r="BB82" s="1056">
        <f t="shared" ca="1" si="6"/>
        <v>1001</v>
      </c>
      <c r="BC82" s="1057">
        <f t="shared" ca="1" si="6"/>
        <v>1127</v>
      </c>
      <c r="BD82" s="1068">
        <f t="shared" ca="1" si="7"/>
        <v>95.235000000000014</v>
      </c>
      <c r="BE82" s="9">
        <f t="shared" ca="1" si="8"/>
        <v>231</v>
      </c>
      <c r="BF82" s="7">
        <f t="shared" ca="1" si="8"/>
        <v>294</v>
      </c>
      <c r="BG82" s="7">
        <f t="shared" ca="1" si="9"/>
        <v>2079</v>
      </c>
      <c r="BH82" s="7">
        <f t="shared" ca="1" si="9"/>
        <v>2338</v>
      </c>
      <c r="BI82" s="7">
        <f t="shared" ca="1" si="9"/>
        <v>275</v>
      </c>
      <c r="BJ82" s="7">
        <f t="shared" ca="1" si="9"/>
        <v>309</v>
      </c>
      <c r="BK82" s="8">
        <f t="shared" ca="1" si="10"/>
        <v>231</v>
      </c>
    </row>
    <row r="83" spans="2:63">
      <c r="B83" s="1125" t="s">
        <v>31</v>
      </c>
      <c r="C83" s="1055">
        <f ca="1">VLOOKUP(Myリゾート!$B83,OFFSET(高速化データ!$DD$6,0,0,高速化データ!$A$1,2), 2, FALSE)</f>
        <v>42</v>
      </c>
      <c r="D83" s="59" t="str">
        <f ca="1">LEFT(VLOOKUP(Myリゾート!$C83,OFFSET(高速化データ!$A$6,0,0,高速化データ!$A$1,106), 3, TRUE),2)</f>
        <v>ショ</v>
      </c>
      <c r="E83" s="1063" t="str">
        <f ca="1">VLOOKUP(Myリゾート!$C83,OFFSET(高速化データ!$A$6,0,0,高速化データ!$A$1,106), 4, TRUE)&amp;""</f>
        <v>○</v>
      </c>
      <c r="F83" s="1064" t="str">
        <f ca="1">VLOOKUP(Myリゾート!$C83,OFFSET(高速化データ!$A$6,0,0,高速化データ!$A$1,106), 5, TRUE)&amp;""</f>
        <v>○</v>
      </c>
      <c r="G83" s="1064" t="str">
        <f ca="1">VLOOKUP(Myリゾート!$C83,OFFSET(高速化データ!$A$6,0,0,高速化データ!$A$1,106), 6, TRUE)&amp;""</f>
        <v/>
      </c>
      <c r="H83" s="1065" t="str">
        <f ca="1">VLOOKUP(Myリゾート!$C83,OFFSET(高速化データ!$A$6,0,0,高速化データ!$A$1,106), 7, TRUE)&amp;""</f>
        <v/>
      </c>
      <c r="I83" s="1131">
        <v>2</v>
      </c>
      <c r="J83" s="1134"/>
      <c r="K83" s="1061">
        <f ca="1">VLOOKUP(Myリゾート!$C83,OFFSET(高速化データ!$A$6,0,0,高速化データ!$A$1,106), 10, TRUE)</f>
        <v>1</v>
      </c>
      <c r="L83" s="1062">
        <f ca="1">VLOOKUP(Myリゾート!$C83,OFFSET(高速化データ!$A$6,0,0,高速化データ!$A$1,106), 12, TRUE)</f>
        <v>0.69090909090909092</v>
      </c>
      <c r="M83" s="1066">
        <f ca="1">VLOOKUP(Myリゾート!$C83,OFFSET(高速化データ!$A$6,0,0,高速化データ!$A$1,106), 86, TRUE)</f>
        <v>532</v>
      </c>
      <c r="N83" s="1058">
        <f ca="1">VLOOKUP(Myリゾート!$C83,OFFSET(高速化データ!$A$6,0,0,高速化データ!$A$1,106), 87, TRUE)</f>
        <v>770</v>
      </c>
      <c r="O83" s="1058">
        <f t="shared" ca="1" si="0"/>
        <v>1353.2750000000001</v>
      </c>
      <c r="P83" s="1059">
        <f t="shared" ca="1" si="3"/>
        <v>821.27500000000009</v>
      </c>
      <c r="Q83" s="1061">
        <f ca="1">VLOOKUP(Myリゾート!$C83,OFFSET(高速化データ!$A$6,0,0,高速化データ!$A$1,106), 88, TRUE)</f>
        <v>20</v>
      </c>
      <c r="R83" s="1060">
        <f ca="1">VLOOKUP(Myリゾート!$C83,OFFSET(高速化データ!$A$6,0,0,高速化データ!$A$1,106), 89, TRUE)</f>
        <v>10640</v>
      </c>
      <c r="S83" s="1060">
        <f ca="1">VLOOKUP(Myリゾート!$C83,OFFSET(高速化データ!$A$6,0,0,高速化データ!$A$1,106), 90, TRUE)</f>
        <v>10640</v>
      </c>
      <c r="T83" s="1060">
        <f ca="1">VLOOKUP(Myリゾート!$C83,OFFSET(高速化データ!$A$6,0,0,高速化データ!$A$1,106), 91, TRUE)</f>
        <v>1409</v>
      </c>
      <c r="U83" s="1067">
        <f ca="1">VLOOKUP(Myリゾート!$C83,OFFSET(高速化データ!$A$6,0,0,高速化データ!$A$1,106), 92, TRUE)</f>
        <v>1409</v>
      </c>
      <c r="V83" s="1066">
        <f ca="1">VLOOKUP(Myリゾート!$C83,OFFSET(高速化データ!$A$6,0,0,高速化データ!$A$1,106), 30, TRUE)</f>
        <v>266</v>
      </c>
      <c r="W83" s="1058">
        <f ca="1">VLOOKUP(Myリゾート!$C83,OFFSET(高速化データ!$A$6,0,0,高速化データ!$A$1,106), 31, TRUE)</f>
        <v>385</v>
      </c>
      <c r="X83" s="1058">
        <f t="shared" ca="1" si="1"/>
        <v>676.63750000000005</v>
      </c>
      <c r="Y83" s="1068">
        <f t="shared" ca="1" si="4"/>
        <v>410.63750000000005</v>
      </c>
      <c r="Z83" s="1061">
        <f ca="1">VLOOKUP(Myリゾート!$C83,OFFSET(高速化データ!$A$6,0,0,高速化データ!$A$1,106), 32, TRUE)</f>
        <v>17</v>
      </c>
      <c r="AA83" s="1060">
        <f ca="1">VLOOKUP(Myリゾート!$C83,OFFSET(高速化データ!$A$6,0,0,高速化データ!$A$1,106), 33, TRUE)</f>
        <v>4522</v>
      </c>
      <c r="AB83" s="1060">
        <f ca="1">VLOOKUP(Myリゾート!$C83,OFFSET(高速化データ!$A$6,0,0,高速化データ!$A$1,106), 34, TRUE)</f>
        <v>4522</v>
      </c>
      <c r="AC83" s="1060">
        <f ca="1">VLOOKUP(Myリゾート!$C83,OFFSET(高速化データ!$A$6,0,0,高速化データ!$A$1,106), 35, TRUE)</f>
        <v>599</v>
      </c>
      <c r="AD83" s="1069">
        <f ca="1">VLOOKUP(Myリゾート!$C83,OFFSET(高速化データ!$A$6,0,0,高速化データ!$A$1,106), 36, TRUE)</f>
        <v>599</v>
      </c>
      <c r="AE83" s="1066">
        <f ca="1">VLOOKUP(Myリゾート!$C83,OFFSET(高速化データ!$A$6,0,0,高速化データ!$A$1,106), 16+($I83*14), TRUE)</f>
        <v>399</v>
      </c>
      <c r="AF83" s="1058">
        <f ca="1">VLOOKUP(Myリゾート!$C83,OFFSET(高速化データ!$A$6,0,0,高速化データ!$A$1,106), 17+($I83*14), TRUE)</f>
        <v>577</v>
      </c>
      <c r="AG83" s="1058">
        <f t="shared" ca="1" si="2"/>
        <v>1014.0775</v>
      </c>
      <c r="AH83" s="1068">
        <f t="shared" ca="1" si="5"/>
        <v>615.07749999999999</v>
      </c>
      <c r="AI83" s="1061">
        <f ca="1">VLOOKUP(Myリゾート!$C83,OFFSET(高速化データ!$A$6,0,0,高速化データ!$A$1,106), 18+($I83*14), TRUE)</f>
        <v>18</v>
      </c>
      <c r="AJ83" s="1058">
        <f ca="1">VLOOKUP(Myリゾート!$C83,OFFSET(高速化データ!$A$6,0,0,高速化データ!$A$1,106), 19+($I83*14), TRUE)</f>
        <v>7182</v>
      </c>
      <c r="AK83" s="1058">
        <f ca="1">VLOOKUP(Myリゾート!$C83,OFFSET(高速化データ!$A$6,0,0,高速化データ!$A$1,106), 20+($I83*14), TRUE)</f>
        <v>7182</v>
      </c>
      <c r="AL83" s="1058">
        <f ca="1">VLOOKUP(Myリゾート!$C83,OFFSET(高速化データ!$A$6,0,0,高速化データ!$A$1,106), 21+($I83*14), TRUE)</f>
        <v>951</v>
      </c>
      <c r="AM83" s="1070">
        <f ca="1">VLOOKUP(Myリゾート!$C83,OFFSET(高速化データ!$A$6,0,0,高速化データ!$A$1,106), 22+($I83*14), TRUE)</f>
        <v>951</v>
      </c>
      <c r="AN83" s="1072">
        <f ca="1">VLOOKUP(Myリゾート!$C83,OFFSET(高速化データ!$A$6,0,0,高速化データ!$A$1,106), 11, TRUE)</f>
        <v>0.13250000000000001</v>
      </c>
      <c r="AO83" s="1110">
        <f ca="1">VLOOKUP(Myリゾート!$C83,OFFSET(高速化データ!$A$6,0,0,高速化データ!$A$1,106), 13, TRUE)</f>
        <v>30</v>
      </c>
      <c r="AP83" s="1073" t="str">
        <f ca="1">VLOOKUP(Myリゾート!$C83,OFFSET(高速化データ!$A$6,0,0,高速化データ!$A$1,106), 15, TRUE)</f>
        <v>A</v>
      </c>
      <c r="AQ83" s="1071" t="str">
        <f ca="1">VLOOKUP(Myリゾート!$C83,OFFSET(高速化データ!$A$6,0,0,高速化データ!$A$1,106), 9, TRUE)</f>
        <v>レベル</v>
      </c>
      <c r="AR83" s="1112">
        <f ca="1">IF($I83=5, 0,VLOOKUP(Myリゾート!$C83,OFFSET(高速化データ!$A$6,0,0,高速化データ!$A$1,106), 23+(($I83+1)*14), TRUE))</f>
        <v>12</v>
      </c>
      <c r="AS83" s="1058">
        <f ca="1">IF($I83=5, 0,VLOOKUP(Myリゾート!$C83,OFFSET(高速化データ!$A$6,0,0,高速化データ!$A$1,106), 24+(($I83+1)*14), TRUE))</f>
        <v>1500000</v>
      </c>
      <c r="AT83" s="1074">
        <f ca="1">IF($I83=5, 0,VLOOKUP(Myリゾート!$C83,OFFSET(高速化データ!$A$6,0,0,高速化データ!$A$1,106), 25+(($I83+1)*14), TRUE))</f>
        <v>1</v>
      </c>
      <c r="AU83" s="1074">
        <f ca="1">IF($I83=5, 0,VLOOKUP(Myリゾート!$C83,OFFSET(高速化データ!$A$6,0,0,高速化データ!$A$1,106), 26+(($I83+1)*14), TRUE))</f>
        <v>0</v>
      </c>
      <c r="AV83" s="1074">
        <f ca="1">IF($I83=5, 0,VLOOKUP(Myリゾート!$C83,OFFSET(高速化データ!$A$6,0,0,高速化データ!$A$1,106), 27+(($I83+1)*14), TRUE))</f>
        <v>0</v>
      </c>
      <c r="AW83" s="1075">
        <f ca="1">IF($I83=5, 0,VLOOKUP(Myリゾート!$C83,OFFSET(高速化データ!$A$6,0,0,高速化データ!$A$1,106), 28+(($I83+1)*14), TRUE))</f>
        <v>7.4805885681946798</v>
      </c>
      <c r="AX83" s="1070">
        <f ca="1">IF($I83=5, 0,VLOOKUP(Myリゾート!$C83,OFFSET(高速化データ!$A$6,0,0,高速化データ!$A$1,106), 29+(($I83+1)*14), TRUE))</f>
        <v>125000</v>
      </c>
      <c r="AY83" s="1066">
        <f ca="1">IF($I83=5, 0, VLOOKUP(Myリゾート!$C83,OFFSET(高速化データ!$A$6,0,0,高速化データ!$A$1,106), 19+(($I83+1)*14), TRUE)-AJ83)</f>
        <v>1653</v>
      </c>
      <c r="AZ83" s="1058">
        <f ca="1">IF($I83=5, 0, VLOOKUP(Myリゾート!$C83,OFFSET(高速化データ!$A$6,0,0,高速化データ!$A$1,106), 20+(($I83+1)*14), TRUE)-AK83)</f>
        <v>1653</v>
      </c>
      <c r="BA83" s="1076">
        <f ca="1">IF($I83=5, 0, VLOOKUP(Myリゾート!$C83,OFFSET(高速化データ!$A$6,0,0,高速化データ!$A$1,106), 17+(($I83+1)*14), TRUE)*$B$1/100-VLOOKUP(Myリゾート!$C83,OFFSET(高速化データ!$A$6,0,0,高速化データ!$A$1,106), 16+(($I83+1)*14),TRUE)-AH83)</f>
        <v>102.71999999999991</v>
      </c>
      <c r="BB83" s="1056">
        <f t="shared" ca="1" si="6"/>
        <v>3458</v>
      </c>
      <c r="BC83" s="1057">
        <f t="shared" ca="1" si="6"/>
        <v>3458</v>
      </c>
      <c r="BD83" s="1068">
        <f t="shared" ca="1" si="7"/>
        <v>206.1975000000001</v>
      </c>
      <c r="BE83" s="9">
        <f t="shared" ca="1" si="8"/>
        <v>399</v>
      </c>
      <c r="BF83" s="7">
        <f t="shared" ca="1" si="8"/>
        <v>577</v>
      </c>
      <c r="BG83" s="7">
        <f t="shared" ca="1" si="9"/>
        <v>7182</v>
      </c>
      <c r="BH83" s="7">
        <f t="shared" ca="1" si="9"/>
        <v>7182</v>
      </c>
      <c r="BI83" s="7">
        <f t="shared" ca="1" si="9"/>
        <v>951</v>
      </c>
      <c r="BJ83" s="7">
        <f t="shared" ca="1" si="9"/>
        <v>951</v>
      </c>
      <c r="BK83" s="8">
        <f t="shared" ca="1" si="10"/>
        <v>399</v>
      </c>
    </row>
    <row r="84" spans="2:63">
      <c r="B84" s="1125" t="s">
        <v>144</v>
      </c>
      <c r="C84" s="1055">
        <f ca="1">VLOOKUP(Myリゾート!$B84,OFFSET(高速化データ!$DD$6,0,0,高速化データ!$A$1,2), 2, FALSE)</f>
        <v>51</v>
      </c>
      <c r="D84" s="59" t="str">
        <f ca="1">LEFT(VLOOKUP(Myリゾート!$C84,OFFSET(高速化データ!$A$6,0,0,高速化データ!$A$1,106), 3, TRUE),2)</f>
        <v>ショ</v>
      </c>
      <c r="E84" s="1063" t="str">
        <f ca="1">VLOOKUP(Myリゾート!$C84,OFFSET(高速化データ!$A$6,0,0,高速化データ!$A$1,106), 4, TRUE)&amp;""</f>
        <v/>
      </c>
      <c r="F84" s="1064" t="str">
        <f ca="1">VLOOKUP(Myリゾート!$C84,OFFSET(高速化データ!$A$6,0,0,高速化データ!$A$1,106), 5, TRUE)&amp;""</f>
        <v>○</v>
      </c>
      <c r="G84" s="1064" t="str">
        <f ca="1">VLOOKUP(Myリゾート!$C84,OFFSET(高速化データ!$A$6,0,0,高速化データ!$A$1,106), 6, TRUE)&amp;""</f>
        <v/>
      </c>
      <c r="H84" s="1065" t="str">
        <f ca="1">VLOOKUP(Myリゾート!$C84,OFFSET(高速化データ!$A$6,0,0,高速化データ!$A$1,106), 7, TRUE)&amp;""</f>
        <v/>
      </c>
      <c r="I84" s="1131">
        <v>1</v>
      </c>
      <c r="J84" s="1134"/>
      <c r="K84" s="1061">
        <f ca="1">VLOOKUP(Myリゾート!$C84,OFFSET(高速化データ!$A$6,0,0,高速化データ!$A$1,106), 10, TRUE)</f>
        <v>1.25</v>
      </c>
      <c r="L84" s="1062">
        <f ca="1">VLOOKUP(Myリゾート!$C84,OFFSET(高速化データ!$A$6,0,0,高速化データ!$A$1,106), 12, TRUE)</f>
        <v>0.88383838383838387</v>
      </c>
      <c r="M84" s="1066">
        <f ca="1">VLOOKUP(Myリゾート!$C84,OFFSET(高速化データ!$A$6,0,0,高速化データ!$A$1,106), 86, TRUE)</f>
        <v>350</v>
      </c>
      <c r="N84" s="1058">
        <f ca="1">VLOOKUP(Myリゾート!$C84,OFFSET(高速化データ!$A$6,0,0,高速化データ!$A$1,106), 87, TRUE)</f>
        <v>396</v>
      </c>
      <c r="O84" s="1058">
        <f t="shared" ca="1" si="0"/>
        <v>695.97</v>
      </c>
      <c r="P84" s="1059">
        <f t="shared" ca="1" si="3"/>
        <v>345.97</v>
      </c>
      <c r="Q84" s="1061">
        <f ca="1">VLOOKUP(Myリゾート!$C84,OFFSET(高速化データ!$A$6,0,0,高速化データ!$A$1,106), 88, TRUE)</f>
        <v>10</v>
      </c>
      <c r="R84" s="1060">
        <f ca="1">VLOOKUP(Myリゾート!$C84,OFFSET(高速化データ!$A$6,0,0,高速化データ!$A$1,106), 89, TRUE)</f>
        <v>3500</v>
      </c>
      <c r="S84" s="1060">
        <f ca="1">VLOOKUP(Myリゾート!$C84,OFFSET(高速化データ!$A$6,0,0,高速化データ!$A$1,106), 90, TRUE)</f>
        <v>4375</v>
      </c>
      <c r="T84" s="1060">
        <f ca="1">VLOOKUP(Myリゾート!$C84,OFFSET(高速化データ!$A$6,0,0,高速化データ!$A$1,106), 91, TRUE)</f>
        <v>463</v>
      </c>
      <c r="U84" s="1067">
        <f ca="1">VLOOKUP(Myリゾート!$C84,OFFSET(高速化データ!$A$6,0,0,高速化データ!$A$1,106), 92, TRUE)</f>
        <v>579</v>
      </c>
      <c r="V84" s="1066">
        <f ca="1">VLOOKUP(Myリゾート!$C84,OFFSET(高速化データ!$A$6,0,0,高速化データ!$A$1,106), 30, TRUE)</f>
        <v>175</v>
      </c>
      <c r="W84" s="1058">
        <f ca="1">VLOOKUP(Myリゾート!$C84,OFFSET(高速化データ!$A$6,0,0,高速化データ!$A$1,106), 31, TRUE)</f>
        <v>198</v>
      </c>
      <c r="X84" s="1058">
        <f t="shared" ca="1" si="1"/>
        <v>347.98500000000001</v>
      </c>
      <c r="Y84" s="1068">
        <f t="shared" ca="1" si="4"/>
        <v>172.98500000000001</v>
      </c>
      <c r="Z84" s="1061">
        <f ca="1">VLOOKUP(Myリゾート!$C84,OFFSET(高速化データ!$A$6,0,0,高速化データ!$A$1,106), 32, TRUE)</f>
        <v>9</v>
      </c>
      <c r="AA84" s="1060">
        <f ca="1">VLOOKUP(Myリゾート!$C84,OFFSET(高速化データ!$A$6,0,0,高速化データ!$A$1,106), 33, TRUE)</f>
        <v>1575</v>
      </c>
      <c r="AB84" s="1060">
        <f ca="1">VLOOKUP(Myリゾート!$C84,OFFSET(高速化データ!$A$6,0,0,高速化データ!$A$1,106), 34, TRUE)</f>
        <v>1968</v>
      </c>
      <c r="AC84" s="1060">
        <f ca="1">VLOOKUP(Myリゾート!$C84,OFFSET(高速化データ!$A$6,0,0,高速化データ!$A$1,106), 35, TRUE)</f>
        <v>208</v>
      </c>
      <c r="AD84" s="1069">
        <f ca="1">VLOOKUP(Myリゾート!$C84,OFFSET(高速化データ!$A$6,0,0,高速化データ!$A$1,106), 36, TRUE)</f>
        <v>260</v>
      </c>
      <c r="AE84" s="1066">
        <f ca="1">VLOOKUP(Myリゾート!$C84,OFFSET(高速化データ!$A$6,0,0,高速化データ!$A$1,106), 16+($I84*14), TRUE)</f>
        <v>175</v>
      </c>
      <c r="AF84" s="1058">
        <f ca="1">VLOOKUP(Myリゾート!$C84,OFFSET(高速化データ!$A$6,0,0,高速化データ!$A$1,106), 17+($I84*14), TRUE)</f>
        <v>198</v>
      </c>
      <c r="AG84" s="1058">
        <f t="shared" ca="1" si="2"/>
        <v>347.98500000000001</v>
      </c>
      <c r="AH84" s="1068">
        <f t="shared" ca="1" si="5"/>
        <v>172.98500000000001</v>
      </c>
      <c r="AI84" s="1061">
        <f ca="1">VLOOKUP(Myリゾート!$C84,OFFSET(高速化データ!$A$6,0,0,高速化データ!$A$1,106), 18+($I84*14), TRUE)</f>
        <v>9</v>
      </c>
      <c r="AJ84" s="1058">
        <f ca="1">VLOOKUP(Myリゾート!$C84,OFFSET(高速化データ!$A$6,0,0,高速化データ!$A$1,106), 19+($I84*14), TRUE)</f>
        <v>1575</v>
      </c>
      <c r="AK84" s="1058">
        <f ca="1">VLOOKUP(Myリゾート!$C84,OFFSET(高速化データ!$A$6,0,0,高速化データ!$A$1,106), 20+($I84*14), TRUE)</f>
        <v>1968</v>
      </c>
      <c r="AL84" s="1058">
        <f ca="1">VLOOKUP(Myリゾート!$C84,OFFSET(高速化データ!$A$6,0,0,高速化データ!$A$1,106), 21+($I84*14), TRUE)</f>
        <v>208</v>
      </c>
      <c r="AM84" s="1070">
        <f ca="1">VLOOKUP(Myリゾート!$C84,OFFSET(高速化データ!$A$6,0,0,高速化データ!$A$1,106), 22+($I84*14), TRUE)</f>
        <v>260</v>
      </c>
      <c r="AN84" s="1072">
        <f ca="1">VLOOKUP(Myリゾート!$C84,OFFSET(高速化データ!$A$6,0,0,高速化データ!$A$1,106), 11, TRUE)</f>
        <v>0.13250000000000001</v>
      </c>
      <c r="AO84" s="1110">
        <f ca="1">VLOOKUP(Myリゾート!$C84,OFFSET(高速化データ!$A$6,0,0,高速化データ!$A$1,106), 13, TRUE)</f>
        <v>30</v>
      </c>
      <c r="AP84" s="1073" t="str">
        <f ca="1">VLOOKUP(Myリゾート!$C84,OFFSET(高速化データ!$A$6,0,0,高速化データ!$A$1,106), 15, TRUE)</f>
        <v>A</v>
      </c>
      <c r="AQ84" s="1071" t="str">
        <f ca="1">VLOOKUP(Myリゾート!$C84,OFFSET(高速化データ!$A$6,0,0,高速化データ!$A$1,106), 9, TRUE)</f>
        <v>レベル</v>
      </c>
      <c r="AR84" s="1112">
        <f ca="1">IF($I84=5, 0,VLOOKUP(Myリゾート!$C84,OFFSET(高速化データ!$A$6,0,0,高速化データ!$A$1,106), 23+(($I84+1)*14), TRUE))</f>
        <v>36</v>
      </c>
      <c r="AS84" s="1058">
        <f ca="1">IF($I84=5, 0,VLOOKUP(Myリゾート!$C84,OFFSET(高速化データ!$A$6,0,0,高速化データ!$A$1,106), 24+(($I84+1)*14), TRUE))</f>
        <v>1300000</v>
      </c>
      <c r="AT84" s="1074">
        <f ca="1">IF($I84=5, 0,VLOOKUP(Myリゾート!$C84,OFFSET(高速化データ!$A$6,0,0,高速化データ!$A$1,106), 25+(($I84+1)*14), TRUE))</f>
        <v>0</v>
      </c>
      <c r="AU84" s="1074">
        <f ca="1">IF($I84=5, 0,VLOOKUP(Myリゾート!$C84,OFFSET(高速化データ!$A$6,0,0,高速化データ!$A$1,106), 26+(($I84+1)*14), TRUE))</f>
        <v>0</v>
      </c>
      <c r="AV84" s="1074">
        <f ca="1">IF($I84=5, 0,VLOOKUP(Myリゾート!$C84,OFFSET(高速化データ!$A$6,0,0,高速化データ!$A$1,106), 27+(($I84+1)*14), TRUE))</f>
        <v>0</v>
      </c>
      <c r="AW84" s="1075">
        <f ca="1">IF($I84=5, 0,VLOOKUP(Myリゾート!$C84,OFFSET(高速化データ!$A$6,0,0,高速化データ!$A$1,106), 28+(($I84+1)*14), TRUE))</f>
        <v>23.973353124116482</v>
      </c>
      <c r="AX84" s="1070">
        <f ca="1">IF($I84=5, 0,VLOOKUP(Myリゾート!$C84,OFFSET(高速化データ!$A$6,0,0,高速化データ!$A$1,106), 29+(($I84+1)*14), TRUE))</f>
        <v>36111</v>
      </c>
      <c r="AY84" s="1066">
        <f ca="1">IF($I84=5, 0, VLOOKUP(Myリゾート!$C84,OFFSET(高速化データ!$A$6,0,0,高速化データ!$A$1,106), 19+(($I84+1)*14), TRUE)-AJ84)</f>
        <v>783</v>
      </c>
      <c r="AZ84" s="1058">
        <f ca="1">IF($I84=5, 0, VLOOKUP(Myリゾート!$C84,OFFSET(高速化データ!$A$6,0,0,高速化データ!$A$1,106), 20+(($I84+1)*14), TRUE)-AK84)</f>
        <v>979</v>
      </c>
      <c r="BA84" s="1076">
        <f ca="1">IF($I84=5, 0, VLOOKUP(Myリゾート!$C84,OFFSET(高速化データ!$A$6,0,0,高速化データ!$A$1,106), 17+(($I84+1)*14), TRUE)*$B$1/100-VLOOKUP(Myリゾート!$C84,OFFSET(高速化データ!$A$6,0,0,高速化データ!$A$1,106), 16+(($I84+1)*14),TRUE)-AH84)</f>
        <v>86.99249999999995</v>
      </c>
      <c r="BB84" s="1056">
        <f t="shared" ca="1" si="6"/>
        <v>1925</v>
      </c>
      <c r="BC84" s="1057">
        <f t="shared" ca="1" si="6"/>
        <v>2407</v>
      </c>
      <c r="BD84" s="1068">
        <f t="shared" ca="1" si="7"/>
        <v>172.98500000000001</v>
      </c>
      <c r="BE84" s="9">
        <f t="shared" ca="1" si="8"/>
        <v>175</v>
      </c>
      <c r="BF84" s="7">
        <f t="shared" ca="1" si="8"/>
        <v>198</v>
      </c>
      <c r="BG84" s="7">
        <f t="shared" ca="1" si="9"/>
        <v>1575</v>
      </c>
      <c r="BH84" s="7">
        <f t="shared" ca="1" si="9"/>
        <v>1968</v>
      </c>
      <c r="BI84" s="7">
        <f t="shared" ca="1" si="9"/>
        <v>208</v>
      </c>
      <c r="BJ84" s="7">
        <f t="shared" ca="1" si="9"/>
        <v>260</v>
      </c>
      <c r="BK84" s="8">
        <f t="shared" ca="1" si="10"/>
        <v>175</v>
      </c>
    </row>
    <row r="85" spans="2:63">
      <c r="B85" s="1125" t="s">
        <v>86</v>
      </c>
      <c r="C85" s="1055">
        <f ca="1">VLOOKUP(Myリゾート!$B85,OFFSET(高速化データ!$DD$6,0,0,高速化データ!$A$1,2), 2, FALSE)</f>
        <v>58</v>
      </c>
      <c r="D85" s="59" t="str">
        <f ca="1">LEFT(VLOOKUP(Myリゾート!$C85,OFFSET(高速化データ!$A$6,0,0,高速化データ!$A$1,106), 3, TRUE),2)</f>
        <v>ショ</v>
      </c>
      <c r="E85" s="1063" t="str">
        <f ca="1">VLOOKUP(Myリゾート!$C85,OFFSET(高速化データ!$A$6,0,0,高速化データ!$A$1,106), 4, TRUE)&amp;""</f>
        <v/>
      </c>
      <c r="F85" s="1064" t="str">
        <f ca="1">VLOOKUP(Myリゾート!$C85,OFFSET(高速化データ!$A$6,0,0,高速化データ!$A$1,106), 5, TRUE)&amp;""</f>
        <v>○</v>
      </c>
      <c r="G85" s="1064" t="str">
        <f ca="1">VLOOKUP(Myリゾート!$C85,OFFSET(高速化データ!$A$6,0,0,高速化データ!$A$1,106), 6, TRUE)&amp;""</f>
        <v/>
      </c>
      <c r="H85" s="1065" t="str">
        <f ca="1">VLOOKUP(Myリゾート!$C85,OFFSET(高速化データ!$A$6,0,0,高速化データ!$A$1,106), 7, TRUE)&amp;""</f>
        <v/>
      </c>
      <c r="I85" s="1131">
        <v>1</v>
      </c>
      <c r="J85" s="1134"/>
      <c r="K85" s="1061">
        <f ca="1">VLOOKUP(Myリゾート!$C85,OFFSET(高速化データ!$A$6,0,0,高速化データ!$A$1,106), 10, TRUE)</f>
        <v>1.375</v>
      </c>
      <c r="L85" s="1062">
        <f ca="1">VLOOKUP(Myリゾート!$C85,OFFSET(高速化データ!$A$6,0,0,高速化データ!$A$1,106), 12, TRUE)</f>
        <v>1.05</v>
      </c>
      <c r="M85" s="1066">
        <f ca="1">VLOOKUP(Myリゾート!$C85,OFFSET(高速化データ!$A$6,0,0,高速化データ!$A$1,106), 86, TRUE)</f>
        <v>420</v>
      </c>
      <c r="N85" s="1058">
        <f ca="1">VLOOKUP(Myリゾート!$C85,OFFSET(高速化データ!$A$6,0,0,高速化データ!$A$1,106), 87, TRUE)</f>
        <v>400</v>
      </c>
      <c r="O85" s="1058">
        <f t="shared" ca="1" si="0"/>
        <v>703</v>
      </c>
      <c r="P85" s="1059">
        <f t="shared" ca="1" si="3"/>
        <v>283</v>
      </c>
      <c r="Q85" s="1061">
        <f ca="1">VLOOKUP(Myリゾート!$C85,OFFSET(高速化データ!$A$6,0,0,高速化データ!$A$1,106), 88, TRUE)</f>
        <v>12</v>
      </c>
      <c r="R85" s="1060">
        <f ca="1">VLOOKUP(Myリゾート!$C85,OFFSET(高速化データ!$A$6,0,0,高速化データ!$A$1,106), 89, TRUE)</f>
        <v>5040</v>
      </c>
      <c r="S85" s="1060">
        <f ca="1">VLOOKUP(Myリゾート!$C85,OFFSET(高速化データ!$A$6,0,0,高速化データ!$A$1,106), 90, TRUE)</f>
        <v>6930</v>
      </c>
      <c r="T85" s="1060">
        <f ca="1">VLOOKUP(Myリゾート!$C85,OFFSET(高速化データ!$A$6,0,0,高速化データ!$A$1,106), 91, TRUE)</f>
        <v>667</v>
      </c>
      <c r="U85" s="1067">
        <f ca="1">VLOOKUP(Myリゾート!$C85,OFFSET(高速化データ!$A$6,0,0,高速化データ!$A$1,106), 92, TRUE)</f>
        <v>918</v>
      </c>
      <c r="V85" s="1066">
        <f ca="1">VLOOKUP(Myリゾート!$C85,OFFSET(高速化データ!$A$6,0,0,高速化データ!$A$1,106), 30, TRUE)</f>
        <v>210</v>
      </c>
      <c r="W85" s="1058">
        <f ca="1">VLOOKUP(Myリゾート!$C85,OFFSET(高速化データ!$A$6,0,0,高速化データ!$A$1,106), 31, TRUE)</f>
        <v>200</v>
      </c>
      <c r="X85" s="1058">
        <f t="shared" ca="1" si="1"/>
        <v>351.5</v>
      </c>
      <c r="Y85" s="1068">
        <f t="shared" ca="1" si="4"/>
        <v>141.5</v>
      </c>
      <c r="Z85" s="1061">
        <f ca="1">VLOOKUP(Myリゾート!$C85,OFFSET(高速化データ!$A$6,0,0,高速化データ!$A$1,106), 32, TRUE)</f>
        <v>10</v>
      </c>
      <c r="AA85" s="1060">
        <f ca="1">VLOOKUP(Myリゾート!$C85,OFFSET(高速化データ!$A$6,0,0,高速化データ!$A$1,106), 33, TRUE)</f>
        <v>2100</v>
      </c>
      <c r="AB85" s="1060">
        <f ca="1">VLOOKUP(Myリゾート!$C85,OFFSET(高速化データ!$A$6,0,0,高速化データ!$A$1,106), 34, TRUE)</f>
        <v>2887</v>
      </c>
      <c r="AC85" s="1060">
        <f ca="1">VLOOKUP(Myリゾート!$C85,OFFSET(高速化データ!$A$6,0,0,高速化データ!$A$1,106), 35, TRUE)</f>
        <v>278</v>
      </c>
      <c r="AD85" s="1069">
        <f ca="1">VLOOKUP(Myリゾート!$C85,OFFSET(高速化データ!$A$6,0,0,高速化データ!$A$1,106), 36, TRUE)</f>
        <v>382</v>
      </c>
      <c r="AE85" s="1066">
        <f ca="1">VLOOKUP(Myリゾート!$C85,OFFSET(高速化データ!$A$6,0,0,高速化データ!$A$1,106), 16+($I85*14), TRUE)</f>
        <v>210</v>
      </c>
      <c r="AF85" s="1058">
        <f ca="1">VLOOKUP(Myリゾート!$C85,OFFSET(高速化データ!$A$6,0,0,高速化データ!$A$1,106), 17+($I85*14), TRUE)</f>
        <v>200</v>
      </c>
      <c r="AG85" s="1058">
        <f t="shared" ca="1" si="2"/>
        <v>351.5</v>
      </c>
      <c r="AH85" s="1068">
        <f t="shared" ca="1" si="5"/>
        <v>141.5</v>
      </c>
      <c r="AI85" s="1061">
        <f ca="1">VLOOKUP(Myリゾート!$C85,OFFSET(高速化データ!$A$6,0,0,高速化データ!$A$1,106), 18+($I85*14), TRUE)</f>
        <v>10</v>
      </c>
      <c r="AJ85" s="1058">
        <f ca="1">VLOOKUP(Myリゾート!$C85,OFFSET(高速化データ!$A$6,0,0,高速化データ!$A$1,106), 19+($I85*14), TRUE)</f>
        <v>2100</v>
      </c>
      <c r="AK85" s="1058">
        <f ca="1">VLOOKUP(Myリゾート!$C85,OFFSET(高速化データ!$A$6,0,0,高速化データ!$A$1,106), 20+($I85*14), TRUE)</f>
        <v>2887</v>
      </c>
      <c r="AL85" s="1058">
        <f ca="1">VLOOKUP(Myリゾート!$C85,OFFSET(高速化データ!$A$6,0,0,高速化データ!$A$1,106), 21+($I85*14), TRUE)</f>
        <v>278</v>
      </c>
      <c r="AM85" s="1070">
        <f ca="1">VLOOKUP(Myリゾート!$C85,OFFSET(高速化データ!$A$6,0,0,高速化データ!$A$1,106), 22+($I85*14), TRUE)</f>
        <v>382</v>
      </c>
      <c r="AN85" s="1072">
        <f ca="1">VLOOKUP(Myリゾート!$C85,OFFSET(高速化データ!$A$6,0,0,高速化データ!$A$1,106), 11, TRUE)</f>
        <v>0.13250000000000001</v>
      </c>
      <c r="AO85" s="1110">
        <f ca="1">VLOOKUP(Myリゾート!$C85,OFFSET(高速化データ!$A$6,0,0,高速化データ!$A$1,106), 13, TRUE)</f>
        <v>30</v>
      </c>
      <c r="AP85" s="1073" t="str">
        <f ca="1">VLOOKUP(Myリゾート!$C85,OFFSET(高速化データ!$A$6,0,0,高速化データ!$A$1,106), 15, TRUE)</f>
        <v>A</v>
      </c>
      <c r="AQ85" s="1071" t="str">
        <f ca="1">VLOOKUP(Myリゾート!$C85,OFFSET(高速化データ!$A$6,0,0,高速化データ!$A$1,106), 9, TRUE)</f>
        <v>レベル</v>
      </c>
      <c r="AR85" s="1112">
        <f ca="1">IF($I85=5, 0,VLOOKUP(Myリゾート!$C85,OFFSET(高速化データ!$A$6,0,0,高速化データ!$A$1,106), 23+(($I85+1)*14), TRUE))</f>
        <v>54</v>
      </c>
      <c r="AS85" s="1058">
        <f ca="1">IF($I85=5, 0,VLOOKUP(Myリゾート!$C85,OFFSET(高速化データ!$A$6,0,0,高速化データ!$A$1,106), 24+(($I85+1)*14), TRUE))</f>
        <v>4500000</v>
      </c>
      <c r="AT85" s="1074">
        <f ca="1">IF($I85=5, 0,VLOOKUP(Myリゾート!$C85,OFFSET(高速化データ!$A$6,0,0,高速化データ!$A$1,106), 25+(($I85+1)*14), TRUE))</f>
        <v>0</v>
      </c>
      <c r="AU85" s="1074">
        <f ca="1">IF($I85=5, 0,VLOOKUP(Myリゾート!$C85,OFFSET(高速化データ!$A$6,0,0,高速化データ!$A$1,106), 26+(($I85+1)*14), TRUE))</f>
        <v>0</v>
      </c>
      <c r="AV85" s="1074">
        <f ca="1">IF($I85=5, 0,VLOOKUP(Myリゾート!$C85,OFFSET(高速化データ!$A$6,0,0,高速化データ!$A$1,106), 27+(($I85+1)*14), TRUE))</f>
        <v>0</v>
      </c>
      <c r="AW85" s="1075">
        <f ca="1">IF($I85=5, 0,VLOOKUP(Myリゾート!$C85,OFFSET(高速化データ!$A$6,0,0,高速化データ!$A$1,106), 28+(($I85+1)*14), TRUE))</f>
        <v>55.476190476190474</v>
      </c>
      <c r="AX85" s="1070">
        <f ca="1">IF($I85=5, 0,VLOOKUP(Myリゾート!$C85,OFFSET(高速化データ!$A$6,0,0,高速化データ!$A$1,106), 29+(($I85+1)*14), TRUE))</f>
        <v>83333</v>
      </c>
      <c r="AY85" s="1066">
        <f ca="1">IF($I85=5, 0, VLOOKUP(Myリゾート!$C85,OFFSET(高速化データ!$A$6,0,0,高速化データ!$A$1,106), 19+(($I85+1)*14), TRUE)-AJ85)</f>
        <v>1365</v>
      </c>
      <c r="AZ85" s="1058">
        <f ca="1">IF($I85=5, 0, VLOOKUP(Myリゾート!$C85,OFFSET(高速化データ!$A$6,0,0,高速化データ!$A$1,106), 20+(($I85+1)*14), TRUE)-AK85)</f>
        <v>1877</v>
      </c>
      <c r="BA85" s="1076">
        <f ca="1">IF($I85=5, 0, VLOOKUP(Myリゾート!$C85,OFFSET(高速化データ!$A$6,0,0,高速化データ!$A$1,106), 17+(($I85+1)*14), TRUE)*$B$1/100-VLOOKUP(Myリゾート!$C85,OFFSET(高速化データ!$A$6,0,0,高速化データ!$A$1,106), 16+(($I85+1)*14),TRUE)-AH85)</f>
        <v>70.75</v>
      </c>
      <c r="BB85" s="1056">
        <f t="shared" ca="1" si="6"/>
        <v>2940</v>
      </c>
      <c r="BC85" s="1057">
        <f t="shared" ca="1" si="6"/>
        <v>4043</v>
      </c>
      <c r="BD85" s="1068">
        <f t="shared" ca="1" si="7"/>
        <v>141.5</v>
      </c>
      <c r="BE85" s="9">
        <f t="shared" ca="1" si="8"/>
        <v>210</v>
      </c>
      <c r="BF85" s="7">
        <f t="shared" ca="1" si="8"/>
        <v>200</v>
      </c>
      <c r="BG85" s="7">
        <f t="shared" ca="1" si="9"/>
        <v>2100</v>
      </c>
      <c r="BH85" s="7">
        <f t="shared" ca="1" si="9"/>
        <v>2887</v>
      </c>
      <c r="BI85" s="7">
        <f t="shared" ca="1" si="9"/>
        <v>278</v>
      </c>
      <c r="BJ85" s="7">
        <f t="shared" ca="1" si="9"/>
        <v>382</v>
      </c>
      <c r="BK85" s="8">
        <f t="shared" ca="1" si="10"/>
        <v>210</v>
      </c>
    </row>
    <row r="86" spans="2:63">
      <c r="B86" s="1125" t="s">
        <v>50</v>
      </c>
      <c r="C86" s="1055">
        <f ca="1">VLOOKUP(Myリゾート!$B86,OFFSET(高速化データ!$DD$6,0,0,高速化データ!$A$1,2), 2, FALSE)</f>
        <v>19</v>
      </c>
      <c r="D86" s="59" t="str">
        <f ca="1">LEFT(VLOOKUP(Myリゾート!$C86,OFFSET(高速化データ!$A$6,0,0,高速化データ!$A$1,106), 3, TRUE),2)</f>
        <v>ショ</v>
      </c>
      <c r="E86" s="1063" t="str">
        <f ca="1">VLOOKUP(Myリゾート!$C86,OFFSET(高速化データ!$A$6,0,0,高速化データ!$A$1,106), 4, TRUE)&amp;""</f>
        <v/>
      </c>
      <c r="F86" s="1064" t="str">
        <f ca="1">VLOOKUP(Myリゾート!$C86,OFFSET(高速化データ!$A$6,0,0,高速化データ!$A$1,106), 5, TRUE)&amp;""</f>
        <v>○</v>
      </c>
      <c r="G86" s="1064" t="str">
        <f ca="1">VLOOKUP(Myリゾート!$C86,OFFSET(高速化データ!$A$6,0,0,高速化データ!$A$1,106), 6, TRUE)&amp;""</f>
        <v/>
      </c>
      <c r="H86" s="1065" t="str">
        <f ca="1">VLOOKUP(Myリゾート!$C86,OFFSET(高速化データ!$A$6,0,0,高速化データ!$A$1,106), 7, TRUE)&amp;""</f>
        <v/>
      </c>
      <c r="I86" s="1131">
        <v>0</v>
      </c>
      <c r="J86" s="1134"/>
      <c r="K86" s="1061">
        <f ca="1">VLOOKUP(Myリゾート!$C86,OFFSET(高速化データ!$A$6,0,0,高速化データ!$A$1,106), 10, TRUE)</f>
        <v>2</v>
      </c>
      <c r="L86" s="1062">
        <f ca="1">VLOOKUP(Myリゾート!$C86,OFFSET(高速化データ!$A$6,0,0,高速化データ!$A$1,106), 12, TRUE)</f>
        <v>0.87301587301587302</v>
      </c>
      <c r="M86" s="1066">
        <f ca="1">VLOOKUP(Myリゾート!$C86,OFFSET(高速化データ!$A$6,0,0,高速化データ!$A$1,106), 86, TRUE)</f>
        <v>220</v>
      </c>
      <c r="N86" s="1058">
        <f ca="1">VLOOKUP(Myリゾート!$C86,OFFSET(高速化データ!$A$6,0,0,高速化データ!$A$1,106), 87, TRUE)</f>
        <v>252</v>
      </c>
      <c r="O86" s="1058">
        <f t="shared" ca="1" si="0"/>
        <v>442.89</v>
      </c>
      <c r="P86" s="1059">
        <f t="shared" ca="1" si="3"/>
        <v>222.89</v>
      </c>
      <c r="Q86" s="1061">
        <f ca="1">VLOOKUP(Myリゾート!$C86,OFFSET(高速化データ!$A$6,0,0,高速化データ!$A$1,106), 88, TRUE)</f>
        <v>3</v>
      </c>
      <c r="R86" s="1060">
        <f ca="1">VLOOKUP(Myリゾート!$C86,OFFSET(高速化データ!$A$6,0,0,高速化データ!$A$1,106), 89, TRUE)</f>
        <v>660</v>
      </c>
      <c r="S86" s="1060">
        <f ca="1">VLOOKUP(Myリゾート!$C86,OFFSET(高速化データ!$A$6,0,0,高速化データ!$A$1,106), 90, TRUE)</f>
        <v>1320</v>
      </c>
      <c r="T86" s="1060">
        <f ca="1">VLOOKUP(Myリゾート!$C86,OFFSET(高速化データ!$A$6,0,0,高速化データ!$A$1,106), 91, TRUE)</f>
        <v>99</v>
      </c>
      <c r="U86" s="1067">
        <f ca="1">VLOOKUP(Myリゾート!$C86,OFFSET(高速化データ!$A$6,0,0,高速化データ!$A$1,106), 92, TRUE)</f>
        <v>198</v>
      </c>
      <c r="V86" s="1066">
        <f ca="1">VLOOKUP(Myリゾート!$C86,OFFSET(高速化データ!$A$6,0,0,高速化データ!$A$1,106), 30, TRUE)</f>
        <v>110</v>
      </c>
      <c r="W86" s="1058">
        <f ca="1">VLOOKUP(Myリゾート!$C86,OFFSET(高速化データ!$A$6,0,0,高速化データ!$A$1,106), 31, TRUE)</f>
        <v>126</v>
      </c>
      <c r="X86" s="1058">
        <f t="shared" ca="1" si="1"/>
        <v>221.44499999999999</v>
      </c>
      <c r="Y86" s="1068">
        <f t="shared" ca="1" si="4"/>
        <v>111.44499999999999</v>
      </c>
      <c r="Z86" s="1061">
        <f ca="1">VLOOKUP(Myリゾート!$C86,OFFSET(高速化データ!$A$6,0,0,高速化データ!$A$1,106), 32, TRUE)</f>
        <v>3</v>
      </c>
      <c r="AA86" s="1060">
        <f ca="1">VLOOKUP(Myリゾート!$C86,OFFSET(高速化データ!$A$6,0,0,高速化データ!$A$1,106), 33, TRUE)</f>
        <v>330</v>
      </c>
      <c r="AB86" s="1060">
        <f ca="1">VLOOKUP(Myリゾート!$C86,OFFSET(高速化データ!$A$6,0,0,高速化データ!$A$1,106), 34, TRUE)</f>
        <v>660</v>
      </c>
      <c r="AC86" s="1060">
        <f ca="1">VLOOKUP(Myリゾート!$C86,OFFSET(高速化データ!$A$6,0,0,高速化データ!$A$1,106), 35, TRUE)</f>
        <v>49</v>
      </c>
      <c r="AD86" s="1069">
        <f ca="1">VLOOKUP(Myリゾート!$C86,OFFSET(高速化データ!$A$6,0,0,高速化データ!$A$1,106), 36, TRUE)</f>
        <v>99</v>
      </c>
      <c r="AE86" s="1066">
        <f ca="1">VLOOKUP(Myリゾート!$C86,OFFSET(高速化データ!$A$6,0,0,高速化データ!$A$1,106), 16+($I86*14), TRUE)</f>
        <v>0</v>
      </c>
      <c r="AF86" s="1058">
        <f ca="1">VLOOKUP(Myリゾート!$C86,OFFSET(高速化データ!$A$6,0,0,高速化データ!$A$1,106), 17+($I86*14), TRUE)</f>
        <v>0</v>
      </c>
      <c r="AG86" s="1058">
        <f t="shared" ca="1" si="2"/>
        <v>0</v>
      </c>
      <c r="AH86" s="1068">
        <f t="shared" ca="1" si="5"/>
        <v>0</v>
      </c>
      <c r="AI86" s="1061">
        <f ca="1">VLOOKUP(Myリゾート!$C86,OFFSET(高速化データ!$A$6,0,0,高速化データ!$A$1,106), 18+($I86*14), TRUE)</f>
        <v>0</v>
      </c>
      <c r="AJ86" s="1058">
        <f ca="1">VLOOKUP(Myリゾート!$C86,OFFSET(高速化データ!$A$6,0,0,高速化データ!$A$1,106), 19+($I86*14), TRUE)</f>
        <v>0</v>
      </c>
      <c r="AK86" s="1058">
        <f ca="1">VLOOKUP(Myリゾート!$C86,OFFSET(高速化データ!$A$6,0,0,高速化データ!$A$1,106), 20+($I86*14), TRUE)</f>
        <v>0</v>
      </c>
      <c r="AL86" s="1058">
        <f ca="1">VLOOKUP(Myリゾート!$C86,OFFSET(高速化データ!$A$6,0,0,高速化データ!$A$1,106), 21+($I86*14), TRUE)</f>
        <v>0</v>
      </c>
      <c r="AM86" s="1070">
        <f ca="1">VLOOKUP(Myリゾート!$C86,OFFSET(高速化データ!$A$6,0,0,高速化データ!$A$1,106), 22+($I86*14), TRUE)</f>
        <v>0</v>
      </c>
      <c r="AN86" s="1072">
        <f ca="1">VLOOKUP(Myリゾート!$C86,OFFSET(高速化データ!$A$6,0,0,高速化データ!$A$1,106), 11, TRUE)</f>
        <v>0.15</v>
      </c>
      <c r="AO86" s="1110">
        <f ca="1">VLOOKUP(Myリゾート!$C86,OFFSET(高速化データ!$A$6,0,0,高速化データ!$A$1,106), 13, TRUE)</f>
        <v>30</v>
      </c>
      <c r="AP86" s="1073" t="str">
        <f ca="1">VLOOKUP(Myリゾート!$C86,OFFSET(高速化データ!$A$6,0,0,高速化データ!$A$1,106), 15, TRUE)</f>
        <v>A</v>
      </c>
      <c r="AQ86" s="1071" t="str">
        <f ca="1">VLOOKUP(Myリゾート!$C86,OFFSET(高速化データ!$A$6,0,0,高速化データ!$A$1,106), 9, TRUE)</f>
        <v>景品</v>
      </c>
      <c r="AR86" s="1112">
        <f ca="1">IF($I86=5, 0,VLOOKUP(Myリゾート!$C86,OFFSET(高速化データ!$A$6,0,0,高速化データ!$A$1,106), 23+(($I86+1)*14), TRUE))</f>
        <v>2.5</v>
      </c>
      <c r="AS86" s="1058">
        <f ca="1">IF($I86=5, 0,VLOOKUP(Myリゾート!$C86,OFFSET(高速化データ!$A$6,0,0,高速化データ!$A$1,106), 24+(($I86+1)*14), TRUE))</f>
        <v>0</v>
      </c>
      <c r="AT86" s="1074">
        <f ca="1">IF($I86=5, 0,VLOOKUP(Myリゾート!$C86,OFFSET(高速化データ!$A$6,0,0,高速化データ!$A$1,106), 25+(($I86+1)*14), TRUE))</f>
        <v>0</v>
      </c>
      <c r="AU86" s="1074">
        <f ca="1">IF($I86=5, 0,VLOOKUP(Myリゾート!$C86,OFFSET(高速化データ!$A$6,0,0,高速化データ!$A$1,106), 26+(($I86+1)*14), TRUE))</f>
        <v>0</v>
      </c>
      <c r="AV86" s="1074">
        <f ca="1">IF($I86=5, 0,VLOOKUP(Myリゾート!$C86,OFFSET(高速化データ!$A$6,0,0,高速化データ!$A$1,106), 27+(($I86+1)*14), TRUE))</f>
        <v>0</v>
      </c>
      <c r="AW86" s="1075">
        <f ca="1">IF($I86=5, 0,VLOOKUP(Myリゾート!$C86,OFFSET(高速化データ!$A$6,0,0,高速化データ!$A$1,106), 28+(($I86+1)*14), TRUE))</f>
        <v>0</v>
      </c>
      <c r="AX86" s="1070">
        <f ca="1">IF($I86=5, 0,VLOOKUP(Myリゾート!$C86,OFFSET(高速化データ!$A$6,0,0,高速化データ!$A$1,106), 29+(($I86+1)*14), TRUE))</f>
        <v>0</v>
      </c>
      <c r="AY86" s="1066">
        <f ca="1">IF($I86=5, 0, VLOOKUP(Myリゾート!$C86,OFFSET(高速化データ!$A$6,0,0,高速化データ!$A$1,106), 19+(($I86+1)*14), TRUE)-AJ86)</f>
        <v>330</v>
      </c>
      <c r="AZ86" s="1058">
        <f ca="1">IF($I86=5, 0, VLOOKUP(Myリゾート!$C86,OFFSET(高速化データ!$A$6,0,0,高速化データ!$A$1,106), 20+(($I86+1)*14), TRUE)-AK86)</f>
        <v>660</v>
      </c>
      <c r="BA86" s="1076">
        <f ca="1">IF($I86=5, 0, VLOOKUP(Myリゾート!$C86,OFFSET(高速化データ!$A$6,0,0,高速化データ!$A$1,106), 17+(($I86+1)*14), TRUE)*$B$1/100-VLOOKUP(Myリゾート!$C86,OFFSET(高速化データ!$A$6,0,0,高速化データ!$A$1,106), 16+(($I86+1)*14),TRUE)-AH86)</f>
        <v>111.44499999999999</v>
      </c>
      <c r="BB86" s="1056">
        <f t="shared" ca="1" si="6"/>
        <v>660</v>
      </c>
      <c r="BC86" s="1057">
        <f t="shared" ca="1" si="6"/>
        <v>1320</v>
      </c>
      <c r="BD86" s="1068">
        <f t="shared" ca="1" si="7"/>
        <v>222.89</v>
      </c>
      <c r="BE86" s="9">
        <f t="shared" ca="1" si="8"/>
        <v>0</v>
      </c>
      <c r="BF86" s="7">
        <f t="shared" ca="1" si="8"/>
        <v>0</v>
      </c>
      <c r="BG86" s="7">
        <f t="shared" ca="1" si="9"/>
        <v>0</v>
      </c>
      <c r="BH86" s="7">
        <f t="shared" ca="1" si="9"/>
        <v>0</v>
      </c>
      <c r="BI86" s="7">
        <f t="shared" ca="1" si="9"/>
        <v>0</v>
      </c>
      <c r="BJ86" s="7">
        <f t="shared" ca="1" si="9"/>
        <v>0</v>
      </c>
      <c r="BK86" s="8">
        <f t="shared" ca="1" si="10"/>
        <v>0</v>
      </c>
    </row>
    <row r="87" spans="2:63">
      <c r="B87" s="1125" t="s">
        <v>51</v>
      </c>
      <c r="C87" s="1055">
        <f ca="1">VLOOKUP(Myリゾート!$B87,OFFSET(高速化データ!$DD$6,0,0,高速化データ!$A$1,2), 2, FALSE)</f>
        <v>22</v>
      </c>
      <c r="D87" s="59" t="str">
        <f ca="1">LEFT(VLOOKUP(Myリゾート!$C87,OFFSET(高速化データ!$A$6,0,0,高速化データ!$A$1,106), 3, TRUE),2)</f>
        <v>ショ</v>
      </c>
      <c r="E87" s="1063" t="str">
        <f ca="1">VLOOKUP(Myリゾート!$C87,OFFSET(高速化データ!$A$6,0,0,高速化データ!$A$1,106), 4, TRUE)&amp;""</f>
        <v/>
      </c>
      <c r="F87" s="1064" t="str">
        <f ca="1">VLOOKUP(Myリゾート!$C87,OFFSET(高速化データ!$A$6,0,0,高速化データ!$A$1,106), 5, TRUE)&amp;""</f>
        <v>○</v>
      </c>
      <c r="G87" s="1064" t="str">
        <f ca="1">VLOOKUP(Myリゾート!$C87,OFFSET(高速化データ!$A$6,0,0,高速化データ!$A$1,106), 6, TRUE)&amp;""</f>
        <v/>
      </c>
      <c r="H87" s="1065" t="str">
        <f ca="1">VLOOKUP(Myリゾート!$C87,OFFSET(高速化データ!$A$6,0,0,高速化データ!$A$1,106), 7, TRUE)&amp;""</f>
        <v/>
      </c>
      <c r="I87" s="1131">
        <v>0</v>
      </c>
      <c r="J87" s="1134"/>
      <c r="K87" s="1061">
        <f ca="1">VLOOKUP(Myリゾート!$C87,OFFSET(高速化データ!$A$6,0,0,高速化データ!$A$1,106), 10, TRUE)</f>
        <v>0.875</v>
      </c>
      <c r="L87" s="1062">
        <f ca="1">VLOOKUP(Myリゾート!$C87,OFFSET(高速化データ!$A$6,0,0,高速化データ!$A$1,106), 12, TRUE)</f>
        <v>0.58974358974358976</v>
      </c>
      <c r="M87" s="1066">
        <f ca="1">VLOOKUP(Myリゾート!$C87,OFFSET(高速化データ!$A$6,0,0,高速化データ!$A$1,106), 86, TRUE)</f>
        <v>230</v>
      </c>
      <c r="N87" s="1058">
        <f ca="1">VLOOKUP(Myリゾート!$C87,OFFSET(高速化データ!$A$6,0,0,高速化データ!$A$1,106), 87, TRUE)</f>
        <v>390</v>
      </c>
      <c r="O87" s="1058">
        <f t="shared" ca="1" si="0"/>
        <v>685.42499999999995</v>
      </c>
      <c r="P87" s="1059">
        <f t="shared" ca="1" si="3"/>
        <v>455.42499999999995</v>
      </c>
      <c r="Q87" s="1061">
        <f ca="1">VLOOKUP(Myリゾート!$C87,OFFSET(高速化データ!$A$6,0,0,高速化データ!$A$1,106), 88, TRUE)</f>
        <v>9</v>
      </c>
      <c r="R87" s="1060">
        <f ca="1">VLOOKUP(Myリゾート!$C87,OFFSET(高速化データ!$A$6,0,0,高速化データ!$A$1,106), 89, TRUE)</f>
        <v>2070</v>
      </c>
      <c r="S87" s="1060">
        <f ca="1">VLOOKUP(Myリゾート!$C87,OFFSET(高速化データ!$A$6,0,0,高速化データ!$A$1,106), 90, TRUE)</f>
        <v>1811</v>
      </c>
      <c r="T87" s="1060">
        <f ca="1">VLOOKUP(Myリゾート!$C87,OFFSET(高速化データ!$A$6,0,0,高速化データ!$A$1,106), 91, TRUE)</f>
        <v>310</v>
      </c>
      <c r="U87" s="1067">
        <f ca="1">VLOOKUP(Myリゾート!$C87,OFFSET(高速化データ!$A$6,0,0,高速化データ!$A$1,106), 92, TRUE)</f>
        <v>271</v>
      </c>
      <c r="V87" s="1066">
        <f ca="1">VLOOKUP(Myリゾート!$C87,OFFSET(高速化データ!$A$6,0,0,高速化データ!$A$1,106), 30, TRUE)</f>
        <v>115</v>
      </c>
      <c r="W87" s="1058">
        <f ca="1">VLOOKUP(Myリゾート!$C87,OFFSET(高速化データ!$A$6,0,0,高速化データ!$A$1,106), 31, TRUE)</f>
        <v>195</v>
      </c>
      <c r="X87" s="1058">
        <f t="shared" ca="1" si="1"/>
        <v>342.71249999999998</v>
      </c>
      <c r="Y87" s="1068">
        <f t="shared" ca="1" si="4"/>
        <v>227.71249999999998</v>
      </c>
      <c r="Z87" s="1061">
        <f ca="1">VLOOKUP(Myリゾート!$C87,OFFSET(高速化データ!$A$6,0,0,高速化データ!$A$1,106), 32, TRUE)</f>
        <v>8</v>
      </c>
      <c r="AA87" s="1060">
        <f ca="1">VLOOKUP(Myリゾート!$C87,OFFSET(高速化データ!$A$6,0,0,高速化データ!$A$1,106), 33, TRUE)</f>
        <v>920</v>
      </c>
      <c r="AB87" s="1060">
        <f ca="1">VLOOKUP(Myリゾート!$C87,OFFSET(高速化データ!$A$6,0,0,高速化データ!$A$1,106), 34, TRUE)</f>
        <v>805</v>
      </c>
      <c r="AC87" s="1060">
        <f ca="1">VLOOKUP(Myリゾート!$C87,OFFSET(高速化データ!$A$6,0,0,高速化データ!$A$1,106), 35, TRUE)</f>
        <v>138</v>
      </c>
      <c r="AD87" s="1069">
        <f ca="1">VLOOKUP(Myリゾート!$C87,OFFSET(高速化データ!$A$6,0,0,高速化データ!$A$1,106), 36, TRUE)</f>
        <v>120</v>
      </c>
      <c r="AE87" s="1066">
        <f ca="1">VLOOKUP(Myリゾート!$C87,OFFSET(高速化データ!$A$6,0,0,高速化データ!$A$1,106), 16+($I87*14), TRUE)</f>
        <v>0</v>
      </c>
      <c r="AF87" s="1058">
        <f ca="1">VLOOKUP(Myリゾート!$C87,OFFSET(高速化データ!$A$6,0,0,高速化データ!$A$1,106), 17+($I87*14), TRUE)</f>
        <v>0</v>
      </c>
      <c r="AG87" s="1058">
        <f t="shared" ca="1" si="2"/>
        <v>0</v>
      </c>
      <c r="AH87" s="1068">
        <f t="shared" ca="1" si="5"/>
        <v>0</v>
      </c>
      <c r="AI87" s="1061">
        <f ca="1">VLOOKUP(Myリゾート!$C87,OFFSET(高速化データ!$A$6,0,0,高速化データ!$A$1,106), 18+($I87*14), TRUE)</f>
        <v>0</v>
      </c>
      <c r="AJ87" s="1058">
        <f ca="1">VLOOKUP(Myリゾート!$C87,OFFSET(高速化データ!$A$6,0,0,高速化データ!$A$1,106), 19+($I87*14), TRUE)</f>
        <v>0</v>
      </c>
      <c r="AK87" s="1058">
        <f ca="1">VLOOKUP(Myリゾート!$C87,OFFSET(高速化データ!$A$6,0,0,高速化データ!$A$1,106), 20+($I87*14), TRUE)</f>
        <v>0</v>
      </c>
      <c r="AL87" s="1058">
        <f ca="1">VLOOKUP(Myリゾート!$C87,OFFSET(高速化データ!$A$6,0,0,高速化データ!$A$1,106), 21+($I87*14), TRUE)</f>
        <v>0</v>
      </c>
      <c r="AM87" s="1070">
        <f ca="1">VLOOKUP(Myリゾート!$C87,OFFSET(高速化データ!$A$6,0,0,高速化データ!$A$1,106), 22+($I87*14), TRUE)</f>
        <v>0</v>
      </c>
      <c r="AN87" s="1072">
        <f ca="1">VLOOKUP(Myリゾート!$C87,OFFSET(高速化データ!$A$6,0,0,高速化データ!$A$1,106), 11, TRUE)</f>
        <v>0.15</v>
      </c>
      <c r="AO87" s="1110">
        <f ca="1">VLOOKUP(Myリゾート!$C87,OFFSET(高速化データ!$A$6,0,0,高速化データ!$A$1,106), 13, TRUE)</f>
        <v>30</v>
      </c>
      <c r="AP87" s="1073" t="str">
        <f ca="1">VLOOKUP(Myリゾート!$C87,OFFSET(高速化データ!$A$6,0,0,高速化データ!$A$1,106), 15, TRUE)</f>
        <v>A</v>
      </c>
      <c r="AQ87" s="1071" t="str">
        <f ca="1">VLOOKUP(Myリゾート!$C87,OFFSET(高速化データ!$A$6,0,0,高速化データ!$A$1,106), 9, TRUE)</f>
        <v>景品</v>
      </c>
      <c r="AR87" s="1112">
        <f ca="1">IF($I87=5, 0,VLOOKUP(Myリゾート!$C87,OFFSET(高速化データ!$A$6,0,0,高速化データ!$A$1,106), 23+(($I87+1)*14), TRUE))</f>
        <v>3</v>
      </c>
      <c r="AS87" s="1058">
        <f ca="1">IF($I87=5, 0,VLOOKUP(Myリゾート!$C87,OFFSET(高速化データ!$A$6,0,0,高速化データ!$A$1,106), 24+(($I87+1)*14), TRUE))</f>
        <v>0</v>
      </c>
      <c r="AT87" s="1074">
        <f ca="1">IF($I87=5, 0,VLOOKUP(Myリゾート!$C87,OFFSET(高速化データ!$A$6,0,0,高速化データ!$A$1,106), 25+(($I87+1)*14), TRUE))</f>
        <v>0</v>
      </c>
      <c r="AU87" s="1074">
        <f ca="1">IF($I87=5, 0,VLOOKUP(Myリゾート!$C87,OFFSET(高速化データ!$A$6,0,0,高速化データ!$A$1,106), 26+(($I87+1)*14), TRUE))</f>
        <v>0</v>
      </c>
      <c r="AV87" s="1074">
        <f ca="1">IF($I87=5, 0,VLOOKUP(Myリゾート!$C87,OFFSET(高速化データ!$A$6,0,0,高速化データ!$A$1,106), 27+(($I87+1)*14), TRUE))</f>
        <v>0</v>
      </c>
      <c r="AW87" s="1075">
        <f ca="1">IF($I87=5, 0,VLOOKUP(Myリゾート!$C87,OFFSET(高速化データ!$A$6,0,0,高速化データ!$A$1,106), 28+(($I87+1)*14), TRUE))</f>
        <v>0</v>
      </c>
      <c r="AX87" s="1070">
        <f ca="1">IF($I87=5, 0,VLOOKUP(Myリゾート!$C87,OFFSET(高速化データ!$A$6,0,0,高速化データ!$A$1,106), 29+(($I87+1)*14), TRUE))</f>
        <v>0</v>
      </c>
      <c r="AY87" s="1066">
        <f ca="1">IF($I87=5, 0, VLOOKUP(Myリゾート!$C87,OFFSET(高速化データ!$A$6,0,0,高速化データ!$A$1,106), 19+(($I87+1)*14), TRUE)-AJ87)</f>
        <v>920</v>
      </c>
      <c r="AZ87" s="1058">
        <f ca="1">IF($I87=5, 0, VLOOKUP(Myリゾート!$C87,OFFSET(高速化データ!$A$6,0,0,高速化データ!$A$1,106), 20+(($I87+1)*14), TRUE)-AK87)</f>
        <v>805</v>
      </c>
      <c r="BA87" s="1076">
        <f ca="1">IF($I87=5, 0, VLOOKUP(Myリゾート!$C87,OFFSET(高速化データ!$A$6,0,0,高速化データ!$A$1,106), 17+(($I87+1)*14), TRUE)*$B$1/100-VLOOKUP(Myリゾート!$C87,OFFSET(高速化データ!$A$6,0,0,高速化データ!$A$1,106), 16+(($I87+1)*14),TRUE)-AH87)</f>
        <v>227.71249999999998</v>
      </c>
      <c r="BB87" s="1056">
        <f t="shared" ca="1" si="6"/>
        <v>2070</v>
      </c>
      <c r="BC87" s="1057">
        <f t="shared" ca="1" si="6"/>
        <v>1811</v>
      </c>
      <c r="BD87" s="1068">
        <f t="shared" ca="1" si="7"/>
        <v>455.42499999999995</v>
      </c>
      <c r="BE87" s="9">
        <f t="shared" ca="1" si="8"/>
        <v>0</v>
      </c>
      <c r="BF87" s="7">
        <f t="shared" ca="1" si="8"/>
        <v>0</v>
      </c>
      <c r="BG87" s="7">
        <f t="shared" ca="1" si="9"/>
        <v>0</v>
      </c>
      <c r="BH87" s="7">
        <f t="shared" ca="1" si="9"/>
        <v>0</v>
      </c>
      <c r="BI87" s="7">
        <f t="shared" ca="1" si="9"/>
        <v>0</v>
      </c>
      <c r="BJ87" s="7">
        <f t="shared" ca="1" si="9"/>
        <v>0</v>
      </c>
      <c r="BK87" s="8">
        <f t="shared" ca="1" si="10"/>
        <v>0</v>
      </c>
    </row>
    <row r="88" spans="2:63">
      <c r="B88" s="1125" t="s">
        <v>73</v>
      </c>
      <c r="C88" s="1055">
        <f ca="1">VLOOKUP(Myリゾート!$B88,OFFSET(高速化データ!$DD$6,0,0,高速化データ!$A$1,2), 2, FALSE)</f>
        <v>25</v>
      </c>
      <c r="D88" s="59" t="str">
        <f ca="1">LEFT(VLOOKUP(Myリゾート!$C88,OFFSET(高速化データ!$A$6,0,0,高速化データ!$A$1,106), 3, TRUE),2)</f>
        <v>ショ</v>
      </c>
      <c r="E88" s="1063" t="str">
        <f ca="1">VLOOKUP(Myリゾート!$C88,OFFSET(高速化データ!$A$6,0,0,高速化データ!$A$1,106), 4, TRUE)&amp;""</f>
        <v/>
      </c>
      <c r="F88" s="1064" t="str">
        <f ca="1">VLOOKUP(Myリゾート!$C88,OFFSET(高速化データ!$A$6,0,0,高速化データ!$A$1,106), 5, TRUE)&amp;""</f>
        <v>○</v>
      </c>
      <c r="G88" s="1064" t="str">
        <f ca="1">VLOOKUP(Myリゾート!$C88,OFFSET(高速化データ!$A$6,0,0,高速化データ!$A$1,106), 6, TRUE)&amp;""</f>
        <v/>
      </c>
      <c r="H88" s="1065" t="str">
        <f ca="1">VLOOKUP(Myリゾート!$C88,OFFSET(高速化データ!$A$6,0,0,高速化データ!$A$1,106), 7, TRUE)&amp;""</f>
        <v/>
      </c>
      <c r="I88" s="1131">
        <v>1</v>
      </c>
      <c r="J88" s="1134"/>
      <c r="K88" s="1061">
        <f ca="1">VLOOKUP(Myリゾート!$C88,OFFSET(高速化データ!$A$6,0,0,高速化データ!$A$1,106), 10, TRUE)</f>
        <v>0.875</v>
      </c>
      <c r="L88" s="1062">
        <f ca="1">VLOOKUP(Myリゾート!$C88,OFFSET(高速化データ!$A$6,0,0,高速化データ!$A$1,106), 12, TRUE)</f>
        <v>0.59708737864077666</v>
      </c>
      <c r="M88" s="1066">
        <f ca="1">VLOOKUP(Myリゾート!$C88,OFFSET(高速化データ!$A$6,0,0,高速化データ!$A$1,106), 86, TRUE)</f>
        <v>246</v>
      </c>
      <c r="N88" s="1058">
        <f ca="1">VLOOKUP(Myリゾート!$C88,OFFSET(高速化データ!$A$6,0,0,高速化データ!$A$1,106), 87, TRUE)</f>
        <v>412</v>
      </c>
      <c r="O88" s="1058">
        <f t="shared" ca="1" si="0"/>
        <v>724.09</v>
      </c>
      <c r="P88" s="1059">
        <f t="shared" ca="1" si="3"/>
        <v>478.09000000000003</v>
      </c>
      <c r="Q88" s="1061">
        <f ca="1">VLOOKUP(Myリゾート!$C88,OFFSET(高速化データ!$A$6,0,0,高速化データ!$A$1,106), 88, TRUE)</f>
        <v>9</v>
      </c>
      <c r="R88" s="1060">
        <f ca="1">VLOOKUP(Myリゾート!$C88,OFFSET(高速化データ!$A$6,0,0,高速化データ!$A$1,106), 89, TRUE)</f>
        <v>2214</v>
      </c>
      <c r="S88" s="1060">
        <f ca="1">VLOOKUP(Myリゾート!$C88,OFFSET(高速化データ!$A$6,0,0,高速化データ!$A$1,106), 90, TRUE)</f>
        <v>1937</v>
      </c>
      <c r="T88" s="1060">
        <f ca="1">VLOOKUP(Myリゾート!$C88,OFFSET(高速化データ!$A$6,0,0,高速化データ!$A$1,106), 91, TRUE)</f>
        <v>332</v>
      </c>
      <c r="U88" s="1067">
        <f ca="1">VLOOKUP(Myリゾート!$C88,OFFSET(高速化データ!$A$6,0,0,高速化データ!$A$1,106), 92, TRUE)</f>
        <v>290</v>
      </c>
      <c r="V88" s="1066">
        <f ca="1">VLOOKUP(Myリゾート!$C88,OFFSET(高速化データ!$A$6,0,0,高速化データ!$A$1,106), 30, TRUE)</f>
        <v>123</v>
      </c>
      <c r="W88" s="1058">
        <f ca="1">VLOOKUP(Myリゾート!$C88,OFFSET(高速化データ!$A$6,0,0,高速化データ!$A$1,106), 31, TRUE)</f>
        <v>206</v>
      </c>
      <c r="X88" s="1058">
        <f t="shared" ca="1" si="1"/>
        <v>362.04500000000002</v>
      </c>
      <c r="Y88" s="1068">
        <f t="shared" ca="1" si="4"/>
        <v>239.04500000000002</v>
      </c>
      <c r="Z88" s="1061">
        <f ca="1">VLOOKUP(Myリゾート!$C88,OFFSET(高速化データ!$A$6,0,0,高速化データ!$A$1,106), 32, TRUE)</f>
        <v>8</v>
      </c>
      <c r="AA88" s="1060">
        <f ca="1">VLOOKUP(Myリゾート!$C88,OFFSET(高速化データ!$A$6,0,0,高速化データ!$A$1,106), 33, TRUE)</f>
        <v>984</v>
      </c>
      <c r="AB88" s="1060">
        <f ca="1">VLOOKUP(Myリゾート!$C88,OFFSET(高速化データ!$A$6,0,0,高速化データ!$A$1,106), 34, TRUE)</f>
        <v>861</v>
      </c>
      <c r="AC88" s="1060">
        <f ca="1">VLOOKUP(Myリゾート!$C88,OFFSET(高速化データ!$A$6,0,0,高速化データ!$A$1,106), 35, TRUE)</f>
        <v>147</v>
      </c>
      <c r="AD88" s="1069">
        <f ca="1">VLOOKUP(Myリゾート!$C88,OFFSET(高速化データ!$A$6,0,0,高速化データ!$A$1,106), 36, TRUE)</f>
        <v>129</v>
      </c>
      <c r="AE88" s="1066">
        <f ca="1">VLOOKUP(Myリゾート!$C88,OFFSET(高速化データ!$A$6,0,0,高速化データ!$A$1,106), 16+($I88*14), TRUE)</f>
        <v>123</v>
      </c>
      <c r="AF88" s="1058">
        <f ca="1">VLOOKUP(Myリゾート!$C88,OFFSET(高速化データ!$A$6,0,0,高速化データ!$A$1,106), 17+($I88*14), TRUE)</f>
        <v>206</v>
      </c>
      <c r="AG88" s="1058">
        <f t="shared" ca="1" si="2"/>
        <v>362.04500000000002</v>
      </c>
      <c r="AH88" s="1068">
        <f t="shared" ca="1" si="5"/>
        <v>239.04500000000002</v>
      </c>
      <c r="AI88" s="1061">
        <f ca="1">VLOOKUP(Myリゾート!$C88,OFFSET(高速化データ!$A$6,0,0,高速化データ!$A$1,106), 18+($I88*14), TRUE)</f>
        <v>8</v>
      </c>
      <c r="AJ88" s="1058">
        <f ca="1">VLOOKUP(Myリゾート!$C88,OFFSET(高速化データ!$A$6,0,0,高速化データ!$A$1,106), 19+($I88*14), TRUE)</f>
        <v>984</v>
      </c>
      <c r="AK88" s="1058">
        <f ca="1">VLOOKUP(Myリゾート!$C88,OFFSET(高速化データ!$A$6,0,0,高速化データ!$A$1,106), 20+($I88*14), TRUE)</f>
        <v>861</v>
      </c>
      <c r="AL88" s="1058">
        <f ca="1">VLOOKUP(Myリゾート!$C88,OFFSET(高速化データ!$A$6,0,0,高速化データ!$A$1,106), 21+($I88*14), TRUE)</f>
        <v>147</v>
      </c>
      <c r="AM88" s="1070">
        <f ca="1">VLOOKUP(Myリゾート!$C88,OFFSET(高速化データ!$A$6,0,0,高速化データ!$A$1,106), 22+($I88*14), TRUE)</f>
        <v>129</v>
      </c>
      <c r="AN88" s="1072">
        <f ca="1">VLOOKUP(Myリゾート!$C88,OFFSET(高速化データ!$A$6,0,0,高速化データ!$A$1,106), 11, TRUE)</f>
        <v>0.15</v>
      </c>
      <c r="AO88" s="1110">
        <f ca="1">VLOOKUP(Myリゾート!$C88,OFFSET(高速化データ!$A$6,0,0,高速化データ!$A$1,106), 13, TRUE)</f>
        <v>30</v>
      </c>
      <c r="AP88" s="1073" t="str">
        <f ca="1">VLOOKUP(Myリゾート!$C88,OFFSET(高速化データ!$A$6,0,0,高速化データ!$A$1,106), 15, TRUE)</f>
        <v>A</v>
      </c>
      <c r="AQ88" s="1071" t="str">
        <f ca="1">VLOOKUP(Myリゾート!$C88,OFFSET(高速化データ!$A$6,0,0,高速化データ!$A$1,106), 9, TRUE)</f>
        <v>景品</v>
      </c>
      <c r="AR88" s="1112">
        <f ca="1">IF($I88=5, 0,VLOOKUP(Myリゾート!$C88,OFFSET(高速化データ!$A$6,0,0,高速化データ!$A$1,106), 23+(($I88+1)*14), TRUE))</f>
        <v>1</v>
      </c>
      <c r="AS88" s="1058">
        <f ca="1">IF($I88=5, 0,VLOOKUP(Myリゾート!$C88,OFFSET(高速化データ!$A$6,0,0,高速化データ!$A$1,106), 24+(($I88+1)*14), TRUE))</f>
        <v>20000</v>
      </c>
      <c r="AT88" s="1074">
        <f ca="1">IF($I88=5, 0,VLOOKUP(Myリゾート!$C88,OFFSET(高速化データ!$A$6,0,0,高速化データ!$A$1,106), 25+(($I88+1)*14), TRUE))</f>
        <v>0</v>
      </c>
      <c r="AU88" s="1074">
        <f ca="1">IF($I88=5, 0,VLOOKUP(Myリゾート!$C88,OFFSET(高速化データ!$A$6,0,0,高速化データ!$A$1,106), 26+(($I88+1)*14), TRUE))</f>
        <v>0</v>
      </c>
      <c r="AV88" s="1074">
        <f ca="1">IF($I88=5, 0,VLOOKUP(Myリゾート!$C88,OFFSET(高速化データ!$A$6,0,0,高速化データ!$A$1,106), 27+(($I88+1)*14), TRUE))</f>
        <v>0</v>
      </c>
      <c r="AW88" s="1075">
        <f ca="1">IF($I88=5, 0,VLOOKUP(Myリゾート!$C88,OFFSET(高速化データ!$A$6,0,0,高速化データ!$A$1,106), 28+(($I88+1)*14), TRUE))</f>
        <v>0.59397644927536231</v>
      </c>
      <c r="AX88" s="1070">
        <f ca="1">IF($I88=5, 0,VLOOKUP(Myリゾート!$C88,OFFSET(高速化データ!$A$6,0,0,高速化データ!$A$1,106), 29+(($I88+1)*14), TRUE))</f>
        <v>20000</v>
      </c>
      <c r="AY88" s="1066">
        <f ca="1">IF($I88=5, 0, VLOOKUP(Myリゾート!$C88,OFFSET(高速化データ!$A$6,0,0,高速化データ!$A$1,106), 19+(($I88+1)*14), TRUE)-AJ88)</f>
        <v>488</v>
      </c>
      <c r="AZ88" s="1058">
        <f ca="1">IF($I88=5, 0, VLOOKUP(Myリゾート!$C88,OFFSET(高速化データ!$A$6,0,0,高速化データ!$A$1,106), 20+(($I88+1)*14), TRUE)-AK88)</f>
        <v>427</v>
      </c>
      <c r="BA88" s="1076">
        <f ca="1">IF($I88=5, 0, VLOOKUP(Myリゾート!$C88,OFFSET(高速化データ!$A$6,0,0,高速化データ!$A$1,106), 17+(($I88+1)*14), TRUE)*$B$1/100-VLOOKUP(Myリゾート!$C88,OFFSET(高速化データ!$A$6,0,0,高速化データ!$A$1,106), 16+(($I88+1)*14),TRUE)-AH88)</f>
        <v>120.02249999999998</v>
      </c>
      <c r="BB88" s="1056">
        <f t="shared" ca="1" si="6"/>
        <v>1230</v>
      </c>
      <c r="BC88" s="1057">
        <f t="shared" ca="1" si="6"/>
        <v>1076</v>
      </c>
      <c r="BD88" s="1068">
        <f t="shared" ca="1" si="7"/>
        <v>239.04500000000002</v>
      </c>
      <c r="BE88" s="9">
        <f t="shared" ca="1" si="8"/>
        <v>123</v>
      </c>
      <c r="BF88" s="7">
        <f t="shared" ca="1" si="8"/>
        <v>206</v>
      </c>
      <c r="BG88" s="7">
        <f t="shared" ca="1" si="9"/>
        <v>984</v>
      </c>
      <c r="BH88" s="7">
        <f t="shared" ca="1" si="9"/>
        <v>861</v>
      </c>
      <c r="BI88" s="7">
        <f t="shared" ca="1" si="9"/>
        <v>147</v>
      </c>
      <c r="BJ88" s="7">
        <f t="shared" ca="1" si="9"/>
        <v>129</v>
      </c>
      <c r="BK88" s="8">
        <f t="shared" ca="1" si="10"/>
        <v>123</v>
      </c>
    </row>
    <row r="89" spans="2:63">
      <c r="B89" s="1125" t="s">
        <v>73</v>
      </c>
      <c r="C89" s="1055">
        <f ca="1">VLOOKUP(Myリゾート!$B89,OFFSET(高速化データ!$DD$6,0,0,高速化データ!$A$1,2), 2, FALSE)</f>
        <v>25</v>
      </c>
      <c r="D89" s="59" t="str">
        <f ca="1">LEFT(VLOOKUP(Myリゾート!$C89,OFFSET(高速化データ!$A$6,0,0,高速化データ!$A$1,106), 3, TRUE),2)</f>
        <v>ショ</v>
      </c>
      <c r="E89" s="1063" t="str">
        <f ca="1">VLOOKUP(Myリゾート!$C89,OFFSET(高速化データ!$A$6,0,0,高速化データ!$A$1,106), 4, TRUE)&amp;""</f>
        <v/>
      </c>
      <c r="F89" s="1064" t="str">
        <f ca="1">VLOOKUP(Myリゾート!$C89,OFFSET(高速化データ!$A$6,0,0,高速化データ!$A$1,106), 5, TRUE)&amp;""</f>
        <v>○</v>
      </c>
      <c r="G89" s="1064" t="str">
        <f ca="1">VLOOKUP(Myリゾート!$C89,OFFSET(高速化データ!$A$6,0,0,高速化データ!$A$1,106), 6, TRUE)&amp;""</f>
        <v/>
      </c>
      <c r="H89" s="1065" t="str">
        <f ca="1">VLOOKUP(Myリゾート!$C89,OFFSET(高速化データ!$A$6,0,0,高速化データ!$A$1,106), 7, TRUE)&amp;""</f>
        <v/>
      </c>
      <c r="I89" s="1131">
        <v>2</v>
      </c>
      <c r="J89" s="1134"/>
      <c r="K89" s="1061">
        <f ca="1">VLOOKUP(Myリゾート!$C89,OFFSET(高速化データ!$A$6,0,0,高速化データ!$A$1,106), 10, TRUE)</f>
        <v>0.875</v>
      </c>
      <c r="L89" s="1062">
        <f ca="1">VLOOKUP(Myリゾート!$C89,OFFSET(高速化データ!$A$6,0,0,高速化データ!$A$1,106), 12, TRUE)</f>
        <v>0.59708737864077666</v>
      </c>
      <c r="M89" s="1066">
        <f ca="1">VLOOKUP(Myリゾート!$C89,OFFSET(高速化データ!$A$6,0,0,高速化データ!$A$1,106), 86, TRUE)</f>
        <v>246</v>
      </c>
      <c r="N89" s="1058">
        <f ca="1">VLOOKUP(Myリゾート!$C89,OFFSET(高速化データ!$A$6,0,0,高速化データ!$A$1,106), 87, TRUE)</f>
        <v>412</v>
      </c>
      <c r="O89" s="1058">
        <f t="shared" ca="1" si="0"/>
        <v>724.09</v>
      </c>
      <c r="P89" s="1059">
        <f t="shared" ca="1" si="3"/>
        <v>478.09000000000003</v>
      </c>
      <c r="Q89" s="1061">
        <f ca="1">VLOOKUP(Myリゾート!$C89,OFFSET(高速化データ!$A$6,0,0,高速化データ!$A$1,106), 88, TRUE)</f>
        <v>9</v>
      </c>
      <c r="R89" s="1060">
        <f ca="1">VLOOKUP(Myリゾート!$C89,OFFSET(高速化データ!$A$6,0,0,高速化データ!$A$1,106), 89, TRUE)</f>
        <v>2214</v>
      </c>
      <c r="S89" s="1060">
        <f ca="1">VLOOKUP(Myリゾート!$C89,OFFSET(高速化データ!$A$6,0,0,高速化データ!$A$1,106), 90, TRUE)</f>
        <v>1937</v>
      </c>
      <c r="T89" s="1060">
        <f ca="1">VLOOKUP(Myリゾート!$C89,OFFSET(高速化データ!$A$6,0,0,高速化データ!$A$1,106), 91, TRUE)</f>
        <v>332</v>
      </c>
      <c r="U89" s="1067">
        <f ca="1">VLOOKUP(Myリゾート!$C89,OFFSET(高速化データ!$A$6,0,0,高速化データ!$A$1,106), 92, TRUE)</f>
        <v>290</v>
      </c>
      <c r="V89" s="1066">
        <f ca="1">VLOOKUP(Myリゾート!$C89,OFFSET(高速化データ!$A$6,0,0,高速化データ!$A$1,106), 30, TRUE)</f>
        <v>123</v>
      </c>
      <c r="W89" s="1058">
        <f ca="1">VLOOKUP(Myリゾート!$C89,OFFSET(高速化データ!$A$6,0,0,高速化データ!$A$1,106), 31, TRUE)</f>
        <v>206</v>
      </c>
      <c r="X89" s="1058">
        <f t="shared" ca="1" si="1"/>
        <v>362.04500000000002</v>
      </c>
      <c r="Y89" s="1068">
        <f t="shared" ca="1" si="4"/>
        <v>239.04500000000002</v>
      </c>
      <c r="Z89" s="1061">
        <f ca="1">VLOOKUP(Myリゾート!$C89,OFFSET(高速化データ!$A$6,0,0,高速化データ!$A$1,106), 32, TRUE)</f>
        <v>8</v>
      </c>
      <c r="AA89" s="1060">
        <f ca="1">VLOOKUP(Myリゾート!$C89,OFFSET(高速化データ!$A$6,0,0,高速化データ!$A$1,106), 33, TRUE)</f>
        <v>984</v>
      </c>
      <c r="AB89" s="1060">
        <f ca="1">VLOOKUP(Myリゾート!$C89,OFFSET(高速化データ!$A$6,0,0,高速化データ!$A$1,106), 34, TRUE)</f>
        <v>861</v>
      </c>
      <c r="AC89" s="1060">
        <f ca="1">VLOOKUP(Myリゾート!$C89,OFFSET(高速化データ!$A$6,0,0,高速化データ!$A$1,106), 35, TRUE)</f>
        <v>147</v>
      </c>
      <c r="AD89" s="1069">
        <f ca="1">VLOOKUP(Myリゾート!$C89,OFFSET(高速化データ!$A$6,0,0,高速化データ!$A$1,106), 36, TRUE)</f>
        <v>129</v>
      </c>
      <c r="AE89" s="1066">
        <f ca="1">VLOOKUP(Myリゾート!$C89,OFFSET(高速化データ!$A$6,0,0,高速化データ!$A$1,106), 16+($I89*14), TRUE)</f>
        <v>184</v>
      </c>
      <c r="AF89" s="1058">
        <f ca="1">VLOOKUP(Myリゾート!$C89,OFFSET(高速化データ!$A$6,0,0,高速化データ!$A$1,106), 17+($I89*14), TRUE)</f>
        <v>309</v>
      </c>
      <c r="AG89" s="1058">
        <f t="shared" ca="1" si="2"/>
        <v>543.0675</v>
      </c>
      <c r="AH89" s="1068">
        <f t="shared" ca="1" si="5"/>
        <v>359.0675</v>
      </c>
      <c r="AI89" s="1061">
        <f ca="1">VLOOKUP(Myリゾート!$C89,OFFSET(高速化データ!$A$6,0,0,高速化データ!$A$1,106), 18+($I89*14), TRUE)</f>
        <v>8</v>
      </c>
      <c r="AJ89" s="1058">
        <f ca="1">VLOOKUP(Myリゾート!$C89,OFFSET(高速化データ!$A$6,0,0,高速化データ!$A$1,106), 19+($I89*14), TRUE)</f>
        <v>1472</v>
      </c>
      <c r="AK89" s="1058">
        <f ca="1">VLOOKUP(Myリゾート!$C89,OFFSET(高速化データ!$A$6,0,0,高速化データ!$A$1,106), 20+($I89*14), TRUE)</f>
        <v>1288</v>
      </c>
      <c r="AL89" s="1058">
        <f ca="1">VLOOKUP(Myリゾート!$C89,OFFSET(高速化データ!$A$6,0,0,高速化データ!$A$1,106), 21+($I89*14), TRUE)</f>
        <v>220</v>
      </c>
      <c r="AM89" s="1070">
        <f ca="1">VLOOKUP(Myリゾート!$C89,OFFSET(高速化データ!$A$6,0,0,高速化データ!$A$1,106), 22+($I89*14), TRUE)</f>
        <v>193</v>
      </c>
      <c r="AN89" s="1072">
        <f ca="1">VLOOKUP(Myリゾート!$C89,OFFSET(高速化データ!$A$6,0,0,高速化データ!$A$1,106), 11, TRUE)</f>
        <v>0.15</v>
      </c>
      <c r="AO89" s="1110">
        <f ca="1">VLOOKUP(Myリゾート!$C89,OFFSET(高速化データ!$A$6,0,0,高速化データ!$A$1,106), 13, TRUE)</f>
        <v>30</v>
      </c>
      <c r="AP89" s="1073" t="str">
        <f ca="1">VLOOKUP(Myリゾート!$C89,OFFSET(高速化データ!$A$6,0,0,高速化データ!$A$1,106), 15, TRUE)</f>
        <v>A</v>
      </c>
      <c r="AQ89" s="1071" t="str">
        <f ca="1">VLOOKUP(Myリゾート!$C89,OFFSET(高速化データ!$A$6,0,0,高速化データ!$A$1,106), 9, TRUE)</f>
        <v>景品</v>
      </c>
      <c r="AR89" s="1112">
        <f ca="1">IF($I89=5, 0,VLOOKUP(Myリゾート!$C89,OFFSET(高速化データ!$A$6,0,0,高速化データ!$A$1,106), 23+(($I89+1)*14), TRUE))</f>
        <v>2</v>
      </c>
      <c r="AS89" s="1058">
        <f ca="1">IF($I89=5, 0,VLOOKUP(Myリゾート!$C89,OFFSET(高速化データ!$A$6,0,0,高速化データ!$A$1,106), 24+(($I89+1)*14), TRUE))</f>
        <v>30000</v>
      </c>
      <c r="AT89" s="1074">
        <f ca="1">IF($I89=5, 0,VLOOKUP(Myリゾート!$C89,OFFSET(高速化データ!$A$6,0,0,高速化データ!$A$1,106), 25+(($I89+1)*14), TRUE))</f>
        <v>0</v>
      </c>
      <c r="AU89" s="1074">
        <f ca="1">IF($I89=5, 0,VLOOKUP(Myリゾート!$C89,OFFSET(高速化データ!$A$6,0,0,高速化データ!$A$1,106), 26+(($I89+1)*14), TRUE))</f>
        <v>1</v>
      </c>
      <c r="AV89" s="1074">
        <f ca="1">IF($I89=5, 0,VLOOKUP(Myリゾート!$C89,OFFSET(高速化データ!$A$6,0,0,高速化データ!$A$1,106), 27+(($I89+1)*14), TRUE))</f>
        <v>0</v>
      </c>
      <c r="AW89" s="1075">
        <f ca="1">IF($I89=5, 0,VLOOKUP(Myリゾート!$C89,OFFSET(高速化データ!$A$6,0,0,高速化データ!$A$1,106), 28+(($I89+1)*14), TRUE))</f>
        <v>0.70938845822566743</v>
      </c>
      <c r="AX89" s="1070">
        <f ca="1">IF($I89=5, 0,VLOOKUP(Myリゾート!$C89,OFFSET(高速化データ!$A$6,0,0,高速化データ!$A$1,106), 29+(($I89+1)*14), TRUE))</f>
        <v>15000</v>
      </c>
      <c r="AY89" s="1066">
        <f ca="1">IF($I89=5, 0, VLOOKUP(Myリゾート!$C89,OFFSET(高速化データ!$A$6,0,0,高速化データ!$A$1,106), 19+(($I89+1)*14), TRUE)-AJ89)</f>
        <v>463</v>
      </c>
      <c r="AZ89" s="1058">
        <f ca="1">IF($I89=5, 0, VLOOKUP(Myリゾート!$C89,OFFSET(高速化データ!$A$6,0,0,高速化データ!$A$1,106), 20+(($I89+1)*14), TRUE)-AK89)</f>
        <v>405</v>
      </c>
      <c r="BA89" s="1076">
        <f ca="1">IF($I89=5, 0, VLOOKUP(Myリゾート!$C89,OFFSET(高速化データ!$A$6,0,0,高速化データ!$A$1,106), 17+(($I89+1)*14), TRUE)*$B$1/100-VLOOKUP(Myリゾート!$C89,OFFSET(高速化データ!$A$6,0,0,高速化データ!$A$1,106), 16+(($I89+1)*14),TRUE)-AH89)</f>
        <v>58.63250000000005</v>
      </c>
      <c r="BB89" s="1056">
        <f t="shared" ca="1" si="6"/>
        <v>742</v>
      </c>
      <c r="BC89" s="1057">
        <f t="shared" ca="1" si="6"/>
        <v>649</v>
      </c>
      <c r="BD89" s="1068">
        <f t="shared" ca="1" si="7"/>
        <v>119.02250000000004</v>
      </c>
      <c r="BE89" s="9">
        <f t="shared" ca="1" si="8"/>
        <v>184</v>
      </c>
      <c r="BF89" s="7">
        <f t="shared" ca="1" si="8"/>
        <v>309</v>
      </c>
      <c r="BG89" s="7">
        <f t="shared" ca="1" si="9"/>
        <v>1472</v>
      </c>
      <c r="BH89" s="7">
        <f t="shared" ca="1" si="9"/>
        <v>1288</v>
      </c>
      <c r="BI89" s="7">
        <f t="shared" ca="1" si="9"/>
        <v>220</v>
      </c>
      <c r="BJ89" s="7">
        <f t="shared" ca="1" si="9"/>
        <v>193</v>
      </c>
      <c r="BK89" s="8">
        <f t="shared" ca="1" si="10"/>
        <v>184</v>
      </c>
    </row>
    <row r="90" spans="2:63">
      <c r="B90" s="1125" t="s">
        <v>73</v>
      </c>
      <c r="C90" s="1055">
        <f ca="1">VLOOKUP(Myリゾート!$B90,OFFSET(高速化データ!$DD$6,0,0,高速化データ!$A$1,2), 2, FALSE)</f>
        <v>25</v>
      </c>
      <c r="D90" s="59" t="str">
        <f ca="1">LEFT(VLOOKUP(Myリゾート!$C90,OFFSET(高速化データ!$A$6,0,0,高速化データ!$A$1,106), 3, TRUE),2)</f>
        <v>ショ</v>
      </c>
      <c r="E90" s="1063" t="str">
        <f ca="1">VLOOKUP(Myリゾート!$C90,OFFSET(高速化データ!$A$6,0,0,高速化データ!$A$1,106), 4, TRUE)&amp;""</f>
        <v/>
      </c>
      <c r="F90" s="1064" t="str">
        <f ca="1">VLOOKUP(Myリゾート!$C90,OFFSET(高速化データ!$A$6,0,0,高速化データ!$A$1,106), 5, TRUE)&amp;""</f>
        <v>○</v>
      </c>
      <c r="G90" s="1064" t="str">
        <f ca="1">VLOOKUP(Myリゾート!$C90,OFFSET(高速化データ!$A$6,0,0,高速化データ!$A$1,106), 6, TRUE)&amp;""</f>
        <v/>
      </c>
      <c r="H90" s="1065" t="str">
        <f ca="1">VLOOKUP(Myリゾート!$C90,OFFSET(高速化データ!$A$6,0,0,高速化データ!$A$1,106), 7, TRUE)&amp;""</f>
        <v/>
      </c>
      <c r="I90" s="1131">
        <v>3</v>
      </c>
      <c r="J90" s="1134"/>
      <c r="K90" s="1061">
        <f ca="1">VLOOKUP(Myリゾート!$C90,OFFSET(高速化データ!$A$6,0,0,高速化データ!$A$1,106), 10, TRUE)</f>
        <v>0.875</v>
      </c>
      <c r="L90" s="1062">
        <f ca="1">VLOOKUP(Myリゾート!$C90,OFFSET(高速化データ!$A$6,0,0,高速化データ!$A$1,106), 12, TRUE)</f>
        <v>0.59708737864077666</v>
      </c>
      <c r="M90" s="1066">
        <f ca="1">VLOOKUP(Myリゾート!$C90,OFFSET(高速化データ!$A$6,0,0,高速化データ!$A$1,106), 86, TRUE)</f>
        <v>246</v>
      </c>
      <c r="N90" s="1058">
        <f ca="1">VLOOKUP(Myリゾート!$C90,OFFSET(高速化データ!$A$6,0,0,高速化データ!$A$1,106), 87, TRUE)</f>
        <v>412</v>
      </c>
      <c r="O90" s="1058">
        <f t="shared" ca="1" si="0"/>
        <v>724.09</v>
      </c>
      <c r="P90" s="1059">
        <f t="shared" ca="1" si="3"/>
        <v>478.09000000000003</v>
      </c>
      <c r="Q90" s="1061">
        <f ca="1">VLOOKUP(Myリゾート!$C90,OFFSET(高速化データ!$A$6,0,0,高速化データ!$A$1,106), 88, TRUE)</f>
        <v>9</v>
      </c>
      <c r="R90" s="1060">
        <f ca="1">VLOOKUP(Myリゾート!$C90,OFFSET(高速化データ!$A$6,0,0,高速化データ!$A$1,106), 89, TRUE)</f>
        <v>2214</v>
      </c>
      <c r="S90" s="1060">
        <f ca="1">VLOOKUP(Myリゾート!$C90,OFFSET(高速化データ!$A$6,0,0,高速化データ!$A$1,106), 90, TRUE)</f>
        <v>1937</v>
      </c>
      <c r="T90" s="1060">
        <f ca="1">VLOOKUP(Myリゾート!$C90,OFFSET(高速化データ!$A$6,0,0,高速化データ!$A$1,106), 91, TRUE)</f>
        <v>332</v>
      </c>
      <c r="U90" s="1067">
        <f ca="1">VLOOKUP(Myリゾート!$C90,OFFSET(高速化データ!$A$6,0,0,高速化データ!$A$1,106), 92, TRUE)</f>
        <v>290</v>
      </c>
      <c r="V90" s="1066">
        <f ca="1">VLOOKUP(Myリゾート!$C90,OFFSET(高速化データ!$A$6,0,0,高速化データ!$A$1,106), 30, TRUE)</f>
        <v>123</v>
      </c>
      <c r="W90" s="1058">
        <f ca="1">VLOOKUP(Myリゾート!$C90,OFFSET(高速化データ!$A$6,0,0,高速化データ!$A$1,106), 31, TRUE)</f>
        <v>206</v>
      </c>
      <c r="X90" s="1058">
        <f t="shared" ca="1" si="1"/>
        <v>362.04500000000002</v>
      </c>
      <c r="Y90" s="1068">
        <f t="shared" ca="1" si="4"/>
        <v>239.04500000000002</v>
      </c>
      <c r="Z90" s="1061">
        <f ca="1">VLOOKUP(Myリゾート!$C90,OFFSET(高速化データ!$A$6,0,0,高速化データ!$A$1,106), 32, TRUE)</f>
        <v>8</v>
      </c>
      <c r="AA90" s="1060">
        <f ca="1">VLOOKUP(Myリゾート!$C90,OFFSET(高速化データ!$A$6,0,0,高速化データ!$A$1,106), 33, TRUE)</f>
        <v>984</v>
      </c>
      <c r="AB90" s="1060">
        <f ca="1">VLOOKUP(Myリゾート!$C90,OFFSET(高速化データ!$A$6,0,0,高速化データ!$A$1,106), 34, TRUE)</f>
        <v>861</v>
      </c>
      <c r="AC90" s="1060">
        <f ca="1">VLOOKUP(Myリゾート!$C90,OFFSET(高速化データ!$A$6,0,0,高速化データ!$A$1,106), 35, TRUE)</f>
        <v>147</v>
      </c>
      <c r="AD90" s="1069">
        <f ca="1">VLOOKUP(Myリゾート!$C90,OFFSET(高速化データ!$A$6,0,0,高速化データ!$A$1,106), 36, TRUE)</f>
        <v>129</v>
      </c>
      <c r="AE90" s="1066">
        <f ca="1">VLOOKUP(Myリゾート!$C90,OFFSET(高速化データ!$A$6,0,0,高速化データ!$A$1,106), 16+($I90*14), TRUE)</f>
        <v>215</v>
      </c>
      <c r="AF90" s="1058">
        <f ca="1">VLOOKUP(Myリゾート!$C90,OFFSET(高速化データ!$A$6,0,0,高速化データ!$A$1,106), 17+($I90*14), TRUE)</f>
        <v>360</v>
      </c>
      <c r="AG90" s="1058">
        <f t="shared" ca="1" si="2"/>
        <v>632.70000000000005</v>
      </c>
      <c r="AH90" s="1068">
        <f t="shared" ca="1" si="5"/>
        <v>417.70000000000005</v>
      </c>
      <c r="AI90" s="1061">
        <f ca="1">VLOOKUP(Myリゾート!$C90,OFFSET(高速化データ!$A$6,0,0,高速化データ!$A$1,106), 18+($I90*14), TRUE)</f>
        <v>9</v>
      </c>
      <c r="AJ90" s="1058">
        <f ca="1">VLOOKUP(Myリゾート!$C90,OFFSET(高速化データ!$A$6,0,0,高速化データ!$A$1,106), 19+($I90*14), TRUE)</f>
        <v>1935</v>
      </c>
      <c r="AK90" s="1058">
        <f ca="1">VLOOKUP(Myリゾート!$C90,OFFSET(高速化データ!$A$6,0,0,高速化データ!$A$1,106), 20+($I90*14), TRUE)</f>
        <v>1693</v>
      </c>
      <c r="AL90" s="1058">
        <f ca="1">VLOOKUP(Myリゾート!$C90,OFFSET(高速化データ!$A$6,0,0,高速化データ!$A$1,106), 21+($I90*14), TRUE)</f>
        <v>290</v>
      </c>
      <c r="AM90" s="1070">
        <f ca="1">VLOOKUP(Myリゾート!$C90,OFFSET(高速化データ!$A$6,0,0,高速化データ!$A$1,106), 22+($I90*14), TRUE)</f>
        <v>253</v>
      </c>
      <c r="AN90" s="1072">
        <f ca="1">VLOOKUP(Myリゾート!$C90,OFFSET(高速化データ!$A$6,0,0,高速化データ!$A$1,106), 11, TRUE)</f>
        <v>0.15</v>
      </c>
      <c r="AO90" s="1110">
        <f ca="1">VLOOKUP(Myリゾート!$C90,OFFSET(高速化データ!$A$6,0,0,高速化データ!$A$1,106), 13, TRUE)</f>
        <v>30</v>
      </c>
      <c r="AP90" s="1073" t="str">
        <f ca="1">VLOOKUP(Myリゾート!$C90,OFFSET(高速化データ!$A$6,0,0,高速化データ!$A$1,106), 15, TRUE)</f>
        <v>A</v>
      </c>
      <c r="AQ90" s="1071" t="str">
        <f ca="1">VLOOKUP(Myリゾート!$C90,OFFSET(高速化データ!$A$6,0,0,高速化データ!$A$1,106), 9, TRUE)</f>
        <v>景品</v>
      </c>
      <c r="AR90" s="1112">
        <f ca="1">IF($I90=5, 0,VLOOKUP(Myリゾート!$C90,OFFSET(高速化データ!$A$6,0,0,高速化データ!$A$1,106), 23+(($I90+1)*14), TRUE))</f>
        <v>3</v>
      </c>
      <c r="AS90" s="1058">
        <f ca="1">IF($I90=5, 0,VLOOKUP(Myリゾート!$C90,OFFSET(高速化データ!$A$6,0,0,高速化データ!$A$1,106), 24+(($I90+1)*14), TRUE))</f>
        <v>40000</v>
      </c>
      <c r="AT90" s="1074">
        <f ca="1">IF($I90=5, 0,VLOOKUP(Myリゾート!$C90,OFFSET(高速化データ!$A$6,0,0,高速化データ!$A$1,106), 25+(($I90+1)*14), TRUE))</f>
        <v>0</v>
      </c>
      <c r="AU90" s="1074">
        <f ca="1">IF($I90=5, 0,VLOOKUP(Myリゾート!$C90,OFFSET(高速化データ!$A$6,0,0,高速化データ!$A$1,106), 26+(($I90+1)*14), TRUE))</f>
        <v>0</v>
      </c>
      <c r="AV90" s="1074">
        <f ca="1">IF($I90=5, 0,VLOOKUP(Myリゾート!$C90,OFFSET(高速化データ!$A$6,0,0,高速化データ!$A$1,106), 27+(($I90+1)*14), TRUE))</f>
        <v>0</v>
      </c>
      <c r="AW90" s="1075">
        <f ca="1">IF($I90=5, 0,VLOOKUP(Myリゾート!$C90,OFFSET(高速化データ!$A$6,0,0,高速化データ!$A$1,106), 28+(($I90+1)*14), TRUE))</f>
        <v>0.91012955015100927</v>
      </c>
      <c r="AX90" s="1070">
        <f ca="1">IF($I90=5, 0,VLOOKUP(Myリゾート!$C90,OFFSET(高速化データ!$A$6,0,0,高速化データ!$A$1,106), 29+(($I90+1)*14), TRUE))</f>
        <v>13333</v>
      </c>
      <c r="AY90" s="1066">
        <f ca="1">IF($I90=5, 0, VLOOKUP(Myリゾート!$C90,OFFSET(高速化データ!$A$6,0,0,高速化データ!$A$1,106), 19+(($I90+1)*14), TRUE)-AJ90)</f>
        <v>162</v>
      </c>
      <c r="AZ90" s="1058">
        <f ca="1">IF($I90=5, 0, VLOOKUP(Myリゾート!$C90,OFFSET(高速化データ!$A$6,0,0,高速化データ!$A$1,106), 20+(($I90+1)*14), TRUE)-AK90)</f>
        <v>141</v>
      </c>
      <c r="BA90" s="1076">
        <f ca="1">IF($I90=5, 0, VLOOKUP(Myリゾート!$C90,OFFSET(高速化データ!$A$6,0,0,高速化データ!$A$1,106), 17+(($I90+1)*14), TRUE)*$B$1/100-VLOOKUP(Myリゾート!$C90,OFFSET(高速化データ!$A$6,0,0,高速化データ!$A$1,106), 16+(($I90+1)*14),TRUE)-AH90)</f>
        <v>36.482499999999959</v>
      </c>
      <c r="BB90" s="1056">
        <f t="shared" ca="1" si="6"/>
        <v>279</v>
      </c>
      <c r="BC90" s="1057">
        <f t="shared" ca="1" si="6"/>
        <v>244</v>
      </c>
      <c r="BD90" s="1068">
        <f t="shared" ca="1" si="7"/>
        <v>60.389999999999986</v>
      </c>
      <c r="BE90" s="9">
        <f t="shared" ca="1" si="8"/>
        <v>215</v>
      </c>
      <c r="BF90" s="7">
        <f t="shared" ca="1" si="8"/>
        <v>360</v>
      </c>
      <c r="BG90" s="7">
        <f t="shared" ca="1" si="9"/>
        <v>1935</v>
      </c>
      <c r="BH90" s="7">
        <f t="shared" ca="1" si="9"/>
        <v>1693</v>
      </c>
      <c r="BI90" s="7">
        <f t="shared" ca="1" si="9"/>
        <v>290</v>
      </c>
      <c r="BJ90" s="7">
        <f t="shared" ca="1" si="9"/>
        <v>253</v>
      </c>
      <c r="BK90" s="8">
        <f t="shared" ca="1" si="10"/>
        <v>215</v>
      </c>
    </row>
    <row r="91" spans="2:63">
      <c r="B91" s="1125" t="s">
        <v>73</v>
      </c>
      <c r="C91" s="1055">
        <f ca="1">VLOOKUP(Myリゾート!$B91,OFFSET(高速化データ!$DD$6,0,0,高速化データ!$A$1,2), 2, FALSE)</f>
        <v>25</v>
      </c>
      <c r="D91" s="59" t="str">
        <f ca="1">LEFT(VLOOKUP(Myリゾート!$C91,OFFSET(高速化データ!$A$6,0,0,高速化データ!$A$1,106), 3, TRUE),2)</f>
        <v>ショ</v>
      </c>
      <c r="E91" s="1063" t="str">
        <f ca="1">VLOOKUP(Myリゾート!$C91,OFFSET(高速化データ!$A$6,0,0,高速化データ!$A$1,106), 4, TRUE)&amp;""</f>
        <v/>
      </c>
      <c r="F91" s="1064" t="str">
        <f ca="1">VLOOKUP(Myリゾート!$C91,OFFSET(高速化データ!$A$6,0,0,高速化データ!$A$1,106), 5, TRUE)&amp;""</f>
        <v>○</v>
      </c>
      <c r="G91" s="1064" t="str">
        <f ca="1">VLOOKUP(Myリゾート!$C91,OFFSET(高速化データ!$A$6,0,0,高速化データ!$A$1,106), 6, TRUE)&amp;""</f>
        <v/>
      </c>
      <c r="H91" s="1065" t="str">
        <f ca="1">VLOOKUP(Myリゾート!$C91,OFFSET(高速化データ!$A$6,0,0,高速化データ!$A$1,106), 7, TRUE)&amp;""</f>
        <v/>
      </c>
      <c r="I91" s="1131">
        <v>4</v>
      </c>
      <c r="J91" s="1134"/>
      <c r="K91" s="1061">
        <f ca="1">VLOOKUP(Myリゾート!$C91,OFFSET(高速化データ!$A$6,0,0,高速化データ!$A$1,106), 10, TRUE)</f>
        <v>0.875</v>
      </c>
      <c r="L91" s="1062">
        <f ca="1">VLOOKUP(Myリゾート!$C91,OFFSET(高速化データ!$A$6,0,0,高速化データ!$A$1,106), 12, TRUE)</f>
        <v>0.59708737864077666</v>
      </c>
      <c r="M91" s="1066">
        <f ca="1">VLOOKUP(Myリゾート!$C91,OFFSET(高速化データ!$A$6,0,0,高速化データ!$A$1,106), 86, TRUE)</f>
        <v>246</v>
      </c>
      <c r="N91" s="1058">
        <f ca="1">VLOOKUP(Myリゾート!$C91,OFFSET(高速化データ!$A$6,0,0,高速化データ!$A$1,106), 87, TRUE)</f>
        <v>412</v>
      </c>
      <c r="O91" s="1058">
        <f t="shared" ca="1" si="0"/>
        <v>724.09</v>
      </c>
      <c r="P91" s="1059">
        <f t="shared" ca="1" si="3"/>
        <v>478.09000000000003</v>
      </c>
      <c r="Q91" s="1061">
        <f ca="1">VLOOKUP(Myリゾート!$C91,OFFSET(高速化データ!$A$6,0,0,高速化データ!$A$1,106), 88, TRUE)</f>
        <v>9</v>
      </c>
      <c r="R91" s="1060">
        <f ca="1">VLOOKUP(Myリゾート!$C91,OFFSET(高速化データ!$A$6,0,0,高速化データ!$A$1,106), 89, TRUE)</f>
        <v>2214</v>
      </c>
      <c r="S91" s="1060">
        <f ca="1">VLOOKUP(Myリゾート!$C91,OFFSET(高速化データ!$A$6,0,0,高速化データ!$A$1,106), 90, TRUE)</f>
        <v>1937</v>
      </c>
      <c r="T91" s="1060">
        <f ca="1">VLOOKUP(Myリゾート!$C91,OFFSET(高速化データ!$A$6,0,0,高速化データ!$A$1,106), 91, TRUE)</f>
        <v>332</v>
      </c>
      <c r="U91" s="1067">
        <f ca="1">VLOOKUP(Myリゾート!$C91,OFFSET(高速化データ!$A$6,0,0,高速化データ!$A$1,106), 92, TRUE)</f>
        <v>290</v>
      </c>
      <c r="V91" s="1066">
        <f ca="1">VLOOKUP(Myリゾート!$C91,OFFSET(高速化データ!$A$6,0,0,高速化データ!$A$1,106), 30, TRUE)</f>
        <v>123</v>
      </c>
      <c r="W91" s="1058">
        <f ca="1">VLOOKUP(Myリゾート!$C91,OFFSET(高速化データ!$A$6,0,0,高速化データ!$A$1,106), 31, TRUE)</f>
        <v>206</v>
      </c>
      <c r="X91" s="1058">
        <f t="shared" ca="1" si="1"/>
        <v>362.04500000000002</v>
      </c>
      <c r="Y91" s="1068">
        <f t="shared" ca="1" si="4"/>
        <v>239.04500000000002</v>
      </c>
      <c r="Z91" s="1061">
        <f ca="1">VLOOKUP(Myリゾート!$C91,OFFSET(高速化データ!$A$6,0,0,高速化データ!$A$1,106), 32, TRUE)</f>
        <v>8</v>
      </c>
      <c r="AA91" s="1060">
        <f ca="1">VLOOKUP(Myリゾート!$C91,OFFSET(高速化データ!$A$6,0,0,高速化データ!$A$1,106), 33, TRUE)</f>
        <v>984</v>
      </c>
      <c r="AB91" s="1060">
        <f ca="1">VLOOKUP(Myリゾート!$C91,OFFSET(高速化データ!$A$6,0,0,高速化データ!$A$1,106), 34, TRUE)</f>
        <v>861</v>
      </c>
      <c r="AC91" s="1060">
        <f ca="1">VLOOKUP(Myリゾート!$C91,OFFSET(高速化データ!$A$6,0,0,高速化データ!$A$1,106), 35, TRUE)</f>
        <v>147</v>
      </c>
      <c r="AD91" s="1069">
        <f ca="1">VLOOKUP(Myリゾート!$C91,OFFSET(高速化データ!$A$6,0,0,高速化データ!$A$1,106), 36, TRUE)</f>
        <v>129</v>
      </c>
      <c r="AE91" s="1066">
        <f ca="1">VLOOKUP(Myリゾート!$C91,OFFSET(高速化データ!$A$6,0,0,高速化データ!$A$1,106), 16+($I91*14), TRUE)</f>
        <v>233</v>
      </c>
      <c r="AF91" s="1058">
        <f ca="1">VLOOKUP(Myリゾート!$C91,OFFSET(高速化データ!$A$6,0,0,高速化データ!$A$1,106), 17+($I91*14), TRUE)</f>
        <v>391</v>
      </c>
      <c r="AG91" s="1058">
        <f t="shared" ca="1" si="2"/>
        <v>687.1825</v>
      </c>
      <c r="AH91" s="1068">
        <f t="shared" ca="1" si="5"/>
        <v>454.1825</v>
      </c>
      <c r="AI91" s="1061">
        <f ca="1">VLOOKUP(Myリゾート!$C91,OFFSET(高速化データ!$A$6,0,0,高速化データ!$A$1,106), 18+($I91*14), TRUE)</f>
        <v>9</v>
      </c>
      <c r="AJ91" s="1058">
        <f ca="1">VLOOKUP(Myリゾート!$C91,OFFSET(高速化データ!$A$6,0,0,高速化データ!$A$1,106), 19+($I91*14), TRUE)</f>
        <v>2097</v>
      </c>
      <c r="AK91" s="1058">
        <f ca="1">VLOOKUP(Myリゾート!$C91,OFFSET(高速化データ!$A$6,0,0,高速化データ!$A$1,106), 20+($I91*14), TRUE)</f>
        <v>1834</v>
      </c>
      <c r="AL91" s="1058">
        <f ca="1">VLOOKUP(Myリゾート!$C91,OFFSET(高速化データ!$A$6,0,0,高速化データ!$A$1,106), 21+($I91*14), TRUE)</f>
        <v>314</v>
      </c>
      <c r="AM91" s="1070">
        <f ca="1">VLOOKUP(Myリゾート!$C91,OFFSET(高速化データ!$A$6,0,0,高速化データ!$A$1,106), 22+($I91*14), TRUE)</f>
        <v>275</v>
      </c>
      <c r="AN91" s="1072">
        <f ca="1">VLOOKUP(Myリゾート!$C91,OFFSET(高速化データ!$A$6,0,0,高速化データ!$A$1,106), 11, TRUE)</f>
        <v>0.15</v>
      </c>
      <c r="AO91" s="1110">
        <f ca="1">VLOOKUP(Myリゾート!$C91,OFFSET(高速化データ!$A$6,0,0,高速化データ!$A$1,106), 13, TRUE)</f>
        <v>30</v>
      </c>
      <c r="AP91" s="1073" t="str">
        <f ca="1">VLOOKUP(Myリゾート!$C91,OFFSET(高速化データ!$A$6,0,0,高速化データ!$A$1,106), 15, TRUE)</f>
        <v>A</v>
      </c>
      <c r="AQ91" s="1071" t="str">
        <f ca="1">VLOOKUP(Myリゾート!$C91,OFFSET(高速化データ!$A$6,0,0,高速化データ!$A$1,106), 9, TRUE)</f>
        <v>景品</v>
      </c>
      <c r="AR91" s="1112">
        <f ca="1">IF($I91=5, 0,VLOOKUP(Myリゾート!$C91,OFFSET(高速化データ!$A$6,0,0,高速化データ!$A$1,106), 23+(($I91+1)*14), TRUE))</f>
        <v>4</v>
      </c>
      <c r="AS91" s="1058">
        <f ca="1">IF($I91=5, 0,VLOOKUP(Myリゾート!$C91,OFFSET(高速化データ!$A$6,0,0,高速化データ!$A$1,106), 24+(($I91+1)*14), TRUE))</f>
        <v>50000</v>
      </c>
      <c r="AT91" s="1074">
        <f ca="1">IF($I91=5, 0,VLOOKUP(Myリゾート!$C91,OFFSET(高速化データ!$A$6,0,0,高速化データ!$A$1,106), 25+(($I91+1)*14), TRUE))</f>
        <v>0</v>
      </c>
      <c r="AU91" s="1074">
        <f ca="1">IF($I91=5, 0,VLOOKUP(Myリゾート!$C91,OFFSET(高速化データ!$A$6,0,0,高速化データ!$A$1,106), 26+(($I91+1)*14), TRUE))</f>
        <v>0</v>
      </c>
      <c r="AV91" s="1074">
        <f ca="1">IF($I91=5, 0,VLOOKUP(Myリゾート!$C91,OFFSET(高速化データ!$A$6,0,0,高速化データ!$A$1,106), 27+(($I91+1)*14), TRUE))</f>
        <v>1</v>
      </c>
      <c r="AW91" s="1075">
        <f ca="1">IF($I91=5, 0,VLOOKUP(Myリゾート!$C91,OFFSET(高速化データ!$A$6,0,0,高速化データ!$A$1,106), 28+(($I91+1)*14), TRUE))</f>
        <v>1.0988407106293285</v>
      </c>
      <c r="AX91" s="1070">
        <f ca="1">IF($I91=5, 0,VLOOKUP(Myリゾート!$C91,OFFSET(高速化データ!$A$6,0,0,高速化データ!$A$1,106), 29+(($I91+1)*14), TRUE))</f>
        <v>12500</v>
      </c>
      <c r="AY91" s="1066">
        <f ca="1">IF($I91=5, 0, VLOOKUP(Myリゾート!$C91,OFFSET(高速化データ!$A$6,0,0,高速化データ!$A$1,106), 19+(($I91+1)*14), TRUE)-AJ91)</f>
        <v>117</v>
      </c>
      <c r="AZ91" s="1058">
        <f ca="1">IF($I91=5, 0, VLOOKUP(Myリゾート!$C91,OFFSET(高速化データ!$A$6,0,0,高速化データ!$A$1,106), 20+(($I91+1)*14), TRUE)-AK91)</f>
        <v>103</v>
      </c>
      <c r="BA91" s="1076">
        <f ca="1">IF($I91=5, 0, VLOOKUP(Myリゾート!$C91,OFFSET(高速化データ!$A$6,0,0,高速化データ!$A$1,106), 17+(($I91+1)*14), TRUE)*$B$1/100-VLOOKUP(Myリゾート!$C91,OFFSET(高速化データ!$A$6,0,0,高速化データ!$A$1,106), 16+(($I91+1)*14),TRUE)-AH91)</f>
        <v>23.907500000000027</v>
      </c>
      <c r="BB91" s="1056">
        <f t="shared" ca="1" si="6"/>
        <v>117</v>
      </c>
      <c r="BC91" s="1057">
        <f t="shared" ca="1" si="6"/>
        <v>103</v>
      </c>
      <c r="BD91" s="1068">
        <f t="shared" ca="1" si="7"/>
        <v>23.907500000000027</v>
      </c>
      <c r="BE91" s="9">
        <f t="shared" ca="1" si="8"/>
        <v>233</v>
      </c>
      <c r="BF91" s="7">
        <f t="shared" ca="1" si="8"/>
        <v>391</v>
      </c>
      <c r="BG91" s="7">
        <f t="shared" ca="1" si="9"/>
        <v>2097</v>
      </c>
      <c r="BH91" s="7">
        <f t="shared" ca="1" si="9"/>
        <v>1834</v>
      </c>
      <c r="BI91" s="7">
        <f t="shared" ca="1" si="9"/>
        <v>314</v>
      </c>
      <c r="BJ91" s="7">
        <f t="shared" ca="1" si="9"/>
        <v>275</v>
      </c>
      <c r="BK91" s="8">
        <f t="shared" ca="1" si="10"/>
        <v>233</v>
      </c>
    </row>
    <row r="92" spans="2:63">
      <c r="B92" s="1125" t="s">
        <v>152</v>
      </c>
      <c r="C92" s="1055">
        <f ca="1">VLOOKUP(Myリゾート!$B92,OFFSET(高速化データ!$DD$6,0,0,高速化データ!$A$1,2), 2, FALSE)</f>
        <v>7003</v>
      </c>
      <c r="D92" s="59" t="str">
        <f ca="1">LEFT(VLOOKUP(Myリゾート!$C92,OFFSET(高速化データ!$A$6,0,0,高速化データ!$A$1,106), 3, TRUE),2)</f>
        <v>ショ</v>
      </c>
      <c r="E92" s="1063" t="str">
        <f ca="1">VLOOKUP(Myリゾート!$C92,OFFSET(高速化データ!$A$6,0,0,高速化データ!$A$1,106), 4, TRUE)&amp;""</f>
        <v/>
      </c>
      <c r="F92" s="1064" t="str">
        <f ca="1">VLOOKUP(Myリゾート!$C92,OFFSET(高速化データ!$A$6,0,0,高速化データ!$A$1,106), 5, TRUE)&amp;""</f>
        <v>○</v>
      </c>
      <c r="G92" s="1064" t="str">
        <f ca="1">VLOOKUP(Myリゾート!$C92,OFFSET(高速化データ!$A$6,0,0,高速化データ!$A$1,106), 6, TRUE)&amp;""</f>
        <v/>
      </c>
      <c r="H92" s="1065" t="str">
        <f ca="1">VLOOKUP(Myリゾート!$C92,OFFSET(高速化データ!$A$6,0,0,高速化データ!$A$1,106), 7, TRUE)&amp;""</f>
        <v/>
      </c>
      <c r="I92" s="1131">
        <v>5</v>
      </c>
      <c r="J92" s="1134"/>
      <c r="K92" s="1061">
        <f ca="1">VLOOKUP(Myリゾート!$C92,OFFSET(高速化データ!$A$6,0,0,高速化データ!$A$1,106), 10, TRUE)</f>
        <v>0.5</v>
      </c>
      <c r="L92" s="1062">
        <f ca="1">VLOOKUP(Myリゾート!$C92,OFFSET(高速化データ!$A$6,0,0,高速化データ!$A$1,106), 12, TRUE)</f>
        <v>1</v>
      </c>
      <c r="M92" s="1066">
        <f ca="1">VLOOKUP(Myリゾート!$C92,OFFSET(高速化データ!$A$6,0,0,高速化データ!$A$1,106), 86, TRUE)</f>
        <v>440</v>
      </c>
      <c r="N92" s="1058">
        <f ca="1">VLOOKUP(Myリゾート!$C92,OFFSET(高速化データ!$A$6,0,0,高速化データ!$A$1,106), 87, TRUE)</f>
        <v>440</v>
      </c>
      <c r="O92" s="1058">
        <f t="shared" ca="1" si="0"/>
        <v>773.3</v>
      </c>
      <c r="P92" s="1059">
        <f t="shared" ca="1" si="3"/>
        <v>333.29999999999995</v>
      </c>
      <c r="Q92" s="1061">
        <f ca="1">VLOOKUP(Myリゾート!$C92,OFFSET(高速化データ!$A$6,0,0,高速化データ!$A$1,106), 88, TRUE)</f>
        <v>6</v>
      </c>
      <c r="R92" s="1060">
        <f ca="1">VLOOKUP(Myリゾート!$C92,OFFSET(高速化データ!$A$6,0,0,高速化データ!$A$1,106), 89, TRUE)</f>
        <v>2640</v>
      </c>
      <c r="S92" s="1060">
        <f ca="1">VLOOKUP(Myリゾート!$C92,OFFSET(高速化データ!$A$6,0,0,高速化データ!$A$1,106), 90, TRUE)</f>
        <v>1320</v>
      </c>
      <c r="T92" s="1060">
        <f ca="1">VLOOKUP(Myリゾート!$C92,OFFSET(高速化データ!$A$6,0,0,高速化データ!$A$1,106), 91, TRUE)</f>
        <v>396</v>
      </c>
      <c r="U92" s="1067">
        <f ca="1">VLOOKUP(Myリゾート!$C92,OFFSET(高速化データ!$A$6,0,0,高速化データ!$A$1,106), 92, TRUE)</f>
        <v>198</v>
      </c>
      <c r="V92" s="1066">
        <f ca="1">VLOOKUP(Myリゾート!$C92,OFFSET(高速化データ!$A$6,0,0,高速化データ!$A$1,106), 30, TRUE)</f>
        <v>220</v>
      </c>
      <c r="W92" s="1058">
        <f ca="1">VLOOKUP(Myリゾート!$C92,OFFSET(高速化データ!$A$6,0,0,高速化データ!$A$1,106), 31, TRUE)</f>
        <v>220</v>
      </c>
      <c r="X92" s="1058">
        <f t="shared" ca="1" si="1"/>
        <v>386.65</v>
      </c>
      <c r="Y92" s="1068">
        <f t="shared" ca="1" si="4"/>
        <v>166.64999999999998</v>
      </c>
      <c r="Z92" s="1061">
        <f ca="1">VLOOKUP(Myリゾート!$C92,OFFSET(高速化データ!$A$6,0,0,高速化データ!$A$1,106), 32, TRUE)</f>
        <v>6</v>
      </c>
      <c r="AA92" s="1060">
        <f ca="1">VLOOKUP(Myリゾート!$C92,OFFSET(高速化データ!$A$6,0,0,高速化データ!$A$1,106), 33, TRUE)</f>
        <v>1320</v>
      </c>
      <c r="AB92" s="1060">
        <f ca="1">VLOOKUP(Myリゾート!$C92,OFFSET(高速化データ!$A$6,0,0,高速化データ!$A$1,106), 34, TRUE)</f>
        <v>660</v>
      </c>
      <c r="AC92" s="1060">
        <f ca="1">VLOOKUP(Myリゾート!$C92,OFFSET(高速化データ!$A$6,0,0,高速化データ!$A$1,106), 35, TRUE)</f>
        <v>198</v>
      </c>
      <c r="AD92" s="1069">
        <f ca="1">VLOOKUP(Myリゾート!$C92,OFFSET(高速化データ!$A$6,0,0,高速化データ!$A$1,106), 36, TRUE)</f>
        <v>99</v>
      </c>
      <c r="AE92" s="1066">
        <f ca="1">VLOOKUP(Myリゾート!$C92,OFFSET(高速化データ!$A$6,0,0,高速化データ!$A$1,106), 16+($I92*14), TRUE)</f>
        <v>440</v>
      </c>
      <c r="AF92" s="1058">
        <f ca="1">VLOOKUP(Myリゾート!$C92,OFFSET(高速化データ!$A$6,0,0,高速化データ!$A$1,106), 17+($I92*14), TRUE)</f>
        <v>440</v>
      </c>
      <c r="AG92" s="1058">
        <f t="shared" ca="1" si="2"/>
        <v>773.3</v>
      </c>
      <c r="AH92" s="1068">
        <f t="shared" ca="1" si="5"/>
        <v>333.29999999999995</v>
      </c>
      <c r="AI92" s="1061">
        <f ca="1">VLOOKUP(Myリゾート!$C92,OFFSET(高速化データ!$A$6,0,0,高速化データ!$A$1,106), 18+($I92*14), TRUE)</f>
        <v>6</v>
      </c>
      <c r="AJ92" s="1058">
        <f ca="1">VLOOKUP(Myリゾート!$C92,OFFSET(高速化データ!$A$6,0,0,高速化データ!$A$1,106), 19+($I92*14), TRUE)</f>
        <v>2640</v>
      </c>
      <c r="AK92" s="1058">
        <f ca="1">VLOOKUP(Myリゾート!$C92,OFFSET(高速化データ!$A$6,0,0,高速化データ!$A$1,106), 20+($I92*14), TRUE)</f>
        <v>1320</v>
      </c>
      <c r="AL92" s="1058">
        <f ca="1">VLOOKUP(Myリゾート!$C92,OFFSET(高速化データ!$A$6,0,0,高速化データ!$A$1,106), 21+($I92*14), TRUE)</f>
        <v>396</v>
      </c>
      <c r="AM92" s="1070">
        <f ca="1">VLOOKUP(Myリゾート!$C92,OFFSET(高速化データ!$A$6,0,0,高速化データ!$A$1,106), 22+($I92*14), TRUE)</f>
        <v>198</v>
      </c>
      <c r="AN92" s="1072">
        <f ca="1">VLOOKUP(Myリゾート!$C92,OFFSET(高速化データ!$A$6,0,0,高速化データ!$A$1,106), 11, TRUE)</f>
        <v>0.15</v>
      </c>
      <c r="AO92" s="1110">
        <f ca="1">VLOOKUP(Myリゾート!$C92,OFFSET(高速化データ!$A$6,0,0,高速化データ!$A$1,106), 13, TRUE)</f>
        <v>30</v>
      </c>
      <c r="AP92" s="1073" t="str">
        <f ca="1">VLOOKUP(Myリゾート!$C92,OFFSET(高速化データ!$A$6,0,0,高速化データ!$A$1,106), 15, TRUE)</f>
        <v>A</v>
      </c>
      <c r="AQ92" s="1071" t="str">
        <f ca="1">VLOOKUP(Myリゾート!$C92,OFFSET(高速化データ!$A$6,0,0,高速化データ!$A$1,106), 9, TRUE)</f>
        <v>VIP</v>
      </c>
      <c r="AR92" s="1112">
        <f ca="1">IF($I92=5, 0,VLOOKUP(Myリゾート!$C92,OFFSET(高速化データ!$A$6,0,0,高速化データ!$A$1,106), 23+(($I92+1)*14), TRUE))</f>
        <v>0</v>
      </c>
      <c r="AS92" s="1058">
        <f ca="1">IF($I92=5, 0,VLOOKUP(Myリゾート!$C92,OFFSET(高速化データ!$A$6,0,0,高速化データ!$A$1,106), 24+(($I92+1)*14), TRUE))</f>
        <v>0</v>
      </c>
      <c r="AT92" s="1074">
        <f ca="1">IF($I92=5, 0,VLOOKUP(Myリゾート!$C92,OFFSET(高速化データ!$A$6,0,0,高速化データ!$A$1,106), 25+(($I92+1)*14), TRUE))</f>
        <v>0</v>
      </c>
      <c r="AU92" s="1074">
        <f ca="1">IF($I92=5, 0,VLOOKUP(Myリゾート!$C92,OFFSET(高速化データ!$A$6,0,0,高速化データ!$A$1,106), 26+(($I92+1)*14), TRUE))</f>
        <v>0</v>
      </c>
      <c r="AV92" s="1074">
        <f ca="1">IF($I92=5, 0,VLOOKUP(Myリゾート!$C92,OFFSET(高速化データ!$A$6,0,0,高速化データ!$A$1,106), 27+(($I92+1)*14), TRUE))</f>
        <v>0</v>
      </c>
      <c r="AW92" s="1075">
        <f ca="1">IF($I92=5, 0,VLOOKUP(Myリゾート!$C92,OFFSET(高速化データ!$A$6,0,0,高速化データ!$A$1,106), 28+(($I92+1)*14), TRUE))</f>
        <v>0</v>
      </c>
      <c r="AX92" s="1070">
        <f ca="1">IF($I92=5, 0,VLOOKUP(Myリゾート!$C92,OFFSET(高速化データ!$A$6,0,0,高速化データ!$A$1,106), 29+(($I92+1)*14), TRUE))</f>
        <v>0</v>
      </c>
      <c r="AY92" s="1066">
        <f ca="1">IF($I92=5, 0, VLOOKUP(Myリゾート!$C92,OFFSET(高速化データ!$A$6,0,0,高速化データ!$A$1,106), 19+(($I92+1)*14), TRUE)-AJ92)</f>
        <v>0</v>
      </c>
      <c r="AZ92" s="1058">
        <f ca="1">IF($I92=5, 0, VLOOKUP(Myリゾート!$C92,OFFSET(高速化データ!$A$6,0,0,高速化データ!$A$1,106), 20+(($I92+1)*14), TRUE)-AK92)</f>
        <v>0</v>
      </c>
      <c r="BA92" s="1076">
        <f ca="1">IF($I92=5, 0, VLOOKUP(Myリゾート!$C92,OFFSET(高速化データ!$A$6,0,0,高速化データ!$A$1,106), 17+(($I92+1)*14), TRUE)*$B$1/100-VLOOKUP(Myリゾート!$C92,OFFSET(高速化データ!$A$6,0,0,高速化データ!$A$1,106), 16+(($I92+1)*14),TRUE)-AH92)</f>
        <v>0</v>
      </c>
      <c r="BB92" s="1056">
        <f t="shared" ca="1" si="6"/>
        <v>0</v>
      </c>
      <c r="BC92" s="1057">
        <f t="shared" ca="1" si="6"/>
        <v>0</v>
      </c>
      <c r="BD92" s="1068">
        <f t="shared" ca="1" si="7"/>
        <v>0</v>
      </c>
      <c r="BE92" s="9">
        <f t="shared" ca="1" si="8"/>
        <v>440</v>
      </c>
      <c r="BF92" s="7">
        <f t="shared" ca="1" si="8"/>
        <v>440</v>
      </c>
      <c r="BG92" s="7">
        <f t="shared" ca="1" si="9"/>
        <v>2640</v>
      </c>
      <c r="BH92" s="7">
        <f t="shared" ca="1" si="9"/>
        <v>1320</v>
      </c>
      <c r="BI92" s="7">
        <f t="shared" ca="1" si="9"/>
        <v>396</v>
      </c>
      <c r="BJ92" s="7">
        <f t="shared" ca="1" si="9"/>
        <v>198</v>
      </c>
      <c r="BK92" s="8">
        <f t="shared" ca="1" si="10"/>
        <v>440</v>
      </c>
    </row>
    <row r="93" spans="2:63">
      <c r="B93" s="1125" t="s">
        <v>152</v>
      </c>
      <c r="C93" s="1055">
        <f ca="1">VLOOKUP(Myリゾート!$B93,OFFSET(高速化データ!$DD$6,0,0,高速化データ!$A$1,2), 2, FALSE)</f>
        <v>7003</v>
      </c>
      <c r="D93" s="59" t="str">
        <f ca="1">LEFT(VLOOKUP(Myリゾート!$C93,OFFSET(高速化データ!$A$6,0,0,高速化データ!$A$1,106), 3, TRUE),2)</f>
        <v>ショ</v>
      </c>
      <c r="E93" s="1063" t="str">
        <f ca="1">VLOOKUP(Myリゾート!$C93,OFFSET(高速化データ!$A$6,0,0,高速化データ!$A$1,106), 4, TRUE)&amp;""</f>
        <v/>
      </c>
      <c r="F93" s="1064" t="str">
        <f ca="1">VLOOKUP(Myリゾート!$C93,OFFSET(高速化データ!$A$6,0,0,高速化データ!$A$1,106), 5, TRUE)&amp;""</f>
        <v>○</v>
      </c>
      <c r="G93" s="1064" t="str">
        <f ca="1">VLOOKUP(Myリゾート!$C93,OFFSET(高速化データ!$A$6,0,0,高速化データ!$A$1,106), 6, TRUE)&amp;""</f>
        <v/>
      </c>
      <c r="H93" s="1065" t="str">
        <f ca="1">VLOOKUP(Myリゾート!$C93,OFFSET(高速化データ!$A$6,0,0,高速化データ!$A$1,106), 7, TRUE)&amp;""</f>
        <v/>
      </c>
      <c r="I93" s="1131">
        <v>5</v>
      </c>
      <c r="J93" s="1134"/>
      <c r="K93" s="1061">
        <f ca="1">VLOOKUP(Myリゾート!$C93,OFFSET(高速化データ!$A$6,0,0,高速化データ!$A$1,106), 10, TRUE)</f>
        <v>0.5</v>
      </c>
      <c r="L93" s="1062">
        <f ca="1">VLOOKUP(Myリゾート!$C93,OFFSET(高速化データ!$A$6,0,0,高速化データ!$A$1,106), 12, TRUE)</f>
        <v>1</v>
      </c>
      <c r="M93" s="1066">
        <f ca="1">VLOOKUP(Myリゾート!$C93,OFFSET(高速化データ!$A$6,0,0,高速化データ!$A$1,106), 86, TRUE)</f>
        <v>440</v>
      </c>
      <c r="N93" s="1058">
        <f ca="1">VLOOKUP(Myリゾート!$C93,OFFSET(高速化データ!$A$6,0,0,高速化データ!$A$1,106), 87, TRUE)</f>
        <v>440</v>
      </c>
      <c r="O93" s="1058">
        <f t="shared" ca="1" si="0"/>
        <v>773.3</v>
      </c>
      <c r="P93" s="1059">
        <f t="shared" ca="1" si="3"/>
        <v>333.29999999999995</v>
      </c>
      <c r="Q93" s="1061">
        <f ca="1">VLOOKUP(Myリゾート!$C93,OFFSET(高速化データ!$A$6,0,0,高速化データ!$A$1,106), 88, TRUE)</f>
        <v>6</v>
      </c>
      <c r="R93" s="1060">
        <f ca="1">VLOOKUP(Myリゾート!$C93,OFFSET(高速化データ!$A$6,0,0,高速化データ!$A$1,106), 89, TRUE)</f>
        <v>2640</v>
      </c>
      <c r="S93" s="1060">
        <f ca="1">VLOOKUP(Myリゾート!$C93,OFFSET(高速化データ!$A$6,0,0,高速化データ!$A$1,106), 90, TRUE)</f>
        <v>1320</v>
      </c>
      <c r="T93" s="1060">
        <f ca="1">VLOOKUP(Myリゾート!$C93,OFFSET(高速化データ!$A$6,0,0,高速化データ!$A$1,106), 91, TRUE)</f>
        <v>396</v>
      </c>
      <c r="U93" s="1067">
        <f ca="1">VLOOKUP(Myリゾート!$C93,OFFSET(高速化データ!$A$6,0,0,高速化データ!$A$1,106), 92, TRUE)</f>
        <v>198</v>
      </c>
      <c r="V93" s="1066">
        <f ca="1">VLOOKUP(Myリゾート!$C93,OFFSET(高速化データ!$A$6,0,0,高速化データ!$A$1,106), 30, TRUE)</f>
        <v>220</v>
      </c>
      <c r="W93" s="1058">
        <f ca="1">VLOOKUP(Myリゾート!$C93,OFFSET(高速化データ!$A$6,0,0,高速化データ!$A$1,106), 31, TRUE)</f>
        <v>220</v>
      </c>
      <c r="X93" s="1058">
        <f t="shared" ca="1" si="1"/>
        <v>386.65</v>
      </c>
      <c r="Y93" s="1068">
        <f t="shared" ca="1" si="4"/>
        <v>166.64999999999998</v>
      </c>
      <c r="Z93" s="1061">
        <f ca="1">VLOOKUP(Myリゾート!$C93,OFFSET(高速化データ!$A$6,0,0,高速化データ!$A$1,106), 32, TRUE)</f>
        <v>6</v>
      </c>
      <c r="AA93" s="1060">
        <f ca="1">VLOOKUP(Myリゾート!$C93,OFFSET(高速化データ!$A$6,0,0,高速化データ!$A$1,106), 33, TRUE)</f>
        <v>1320</v>
      </c>
      <c r="AB93" s="1060">
        <f ca="1">VLOOKUP(Myリゾート!$C93,OFFSET(高速化データ!$A$6,0,0,高速化データ!$A$1,106), 34, TRUE)</f>
        <v>660</v>
      </c>
      <c r="AC93" s="1060">
        <f ca="1">VLOOKUP(Myリゾート!$C93,OFFSET(高速化データ!$A$6,0,0,高速化データ!$A$1,106), 35, TRUE)</f>
        <v>198</v>
      </c>
      <c r="AD93" s="1069">
        <f ca="1">VLOOKUP(Myリゾート!$C93,OFFSET(高速化データ!$A$6,0,0,高速化データ!$A$1,106), 36, TRUE)</f>
        <v>99</v>
      </c>
      <c r="AE93" s="1066">
        <f ca="1">VLOOKUP(Myリゾート!$C93,OFFSET(高速化データ!$A$6,0,0,高速化データ!$A$1,106), 16+($I93*14), TRUE)</f>
        <v>440</v>
      </c>
      <c r="AF93" s="1058">
        <f ca="1">VLOOKUP(Myリゾート!$C93,OFFSET(高速化データ!$A$6,0,0,高速化データ!$A$1,106), 17+($I93*14), TRUE)</f>
        <v>440</v>
      </c>
      <c r="AG93" s="1058">
        <f t="shared" ca="1" si="2"/>
        <v>773.3</v>
      </c>
      <c r="AH93" s="1068">
        <f t="shared" ca="1" si="5"/>
        <v>333.29999999999995</v>
      </c>
      <c r="AI93" s="1061">
        <f ca="1">VLOOKUP(Myリゾート!$C93,OFFSET(高速化データ!$A$6,0,0,高速化データ!$A$1,106), 18+($I93*14), TRUE)</f>
        <v>6</v>
      </c>
      <c r="AJ93" s="1058">
        <f ca="1">VLOOKUP(Myリゾート!$C93,OFFSET(高速化データ!$A$6,0,0,高速化データ!$A$1,106), 19+($I93*14), TRUE)</f>
        <v>2640</v>
      </c>
      <c r="AK93" s="1058">
        <f ca="1">VLOOKUP(Myリゾート!$C93,OFFSET(高速化データ!$A$6,0,0,高速化データ!$A$1,106), 20+($I93*14), TRUE)</f>
        <v>1320</v>
      </c>
      <c r="AL93" s="1058">
        <f ca="1">VLOOKUP(Myリゾート!$C93,OFFSET(高速化データ!$A$6,0,0,高速化データ!$A$1,106), 21+($I93*14), TRUE)</f>
        <v>396</v>
      </c>
      <c r="AM93" s="1070">
        <f ca="1">VLOOKUP(Myリゾート!$C93,OFFSET(高速化データ!$A$6,0,0,高速化データ!$A$1,106), 22+($I93*14), TRUE)</f>
        <v>198</v>
      </c>
      <c r="AN93" s="1072">
        <f ca="1">VLOOKUP(Myリゾート!$C93,OFFSET(高速化データ!$A$6,0,0,高速化データ!$A$1,106), 11, TRUE)</f>
        <v>0.15</v>
      </c>
      <c r="AO93" s="1110">
        <f ca="1">VLOOKUP(Myリゾート!$C93,OFFSET(高速化データ!$A$6,0,0,高速化データ!$A$1,106), 13, TRUE)</f>
        <v>30</v>
      </c>
      <c r="AP93" s="1073" t="str">
        <f ca="1">VLOOKUP(Myリゾート!$C93,OFFSET(高速化データ!$A$6,0,0,高速化データ!$A$1,106), 15, TRUE)</f>
        <v>A</v>
      </c>
      <c r="AQ93" s="1071" t="str">
        <f ca="1">VLOOKUP(Myリゾート!$C93,OFFSET(高速化データ!$A$6,0,0,高速化データ!$A$1,106), 9, TRUE)</f>
        <v>VIP</v>
      </c>
      <c r="AR93" s="1112">
        <f ca="1">IF($I93=5, 0,VLOOKUP(Myリゾート!$C93,OFFSET(高速化データ!$A$6,0,0,高速化データ!$A$1,106), 23+(($I93+1)*14), TRUE))</f>
        <v>0</v>
      </c>
      <c r="AS93" s="1058">
        <f ca="1">IF($I93=5, 0,VLOOKUP(Myリゾート!$C93,OFFSET(高速化データ!$A$6,0,0,高速化データ!$A$1,106), 24+(($I93+1)*14), TRUE))</f>
        <v>0</v>
      </c>
      <c r="AT93" s="1074">
        <f ca="1">IF($I93=5, 0,VLOOKUP(Myリゾート!$C93,OFFSET(高速化データ!$A$6,0,0,高速化データ!$A$1,106), 25+(($I93+1)*14), TRUE))</f>
        <v>0</v>
      </c>
      <c r="AU93" s="1074">
        <f ca="1">IF($I93=5, 0,VLOOKUP(Myリゾート!$C93,OFFSET(高速化データ!$A$6,0,0,高速化データ!$A$1,106), 26+(($I93+1)*14), TRUE))</f>
        <v>0</v>
      </c>
      <c r="AV93" s="1074">
        <f ca="1">IF($I93=5, 0,VLOOKUP(Myリゾート!$C93,OFFSET(高速化データ!$A$6,0,0,高速化データ!$A$1,106), 27+(($I93+1)*14), TRUE))</f>
        <v>0</v>
      </c>
      <c r="AW93" s="1075">
        <f ca="1">IF($I93=5, 0,VLOOKUP(Myリゾート!$C93,OFFSET(高速化データ!$A$6,0,0,高速化データ!$A$1,106), 28+(($I93+1)*14), TRUE))</f>
        <v>0</v>
      </c>
      <c r="AX93" s="1070">
        <f ca="1">IF($I93=5, 0,VLOOKUP(Myリゾート!$C93,OFFSET(高速化データ!$A$6,0,0,高速化データ!$A$1,106), 29+(($I93+1)*14), TRUE))</f>
        <v>0</v>
      </c>
      <c r="AY93" s="1066">
        <f ca="1">IF($I93=5, 0, VLOOKUP(Myリゾート!$C93,OFFSET(高速化データ!$A$6,0,0,高速化データ!$A$1,106), 19+(($I93+1)*14), TRUE)-AJ93)</f>
        <v>0</v>
      </c>
      <c r="AZ93" s="1058">
        <f ca="1">IF($I93=5, 0, VLOOKUP(Myリゾート!$C93,OFFSET(高速化データ!$A$6,0,0,高速化データ!$A$1,106), 20+(($I93+1)*14), TRUE)-AK93)</f>
        <v>0</v>
      </c>
      <c r="BA93" s="1076">
        <f ca="1">IF($I93=5, 0, VLOOKUP(Myリゾート!$C93,OFFSET(高速化データ!$A$6,0,0,高速化データ!$A$1,106), 17+(($I93+1)*14), TRUE)*$B$1/100-VLOOKUP(Myリゾート!$C93,OFFSET(高速化データ!$A$6,0,0,高速化データ!$A$1,106), 16+(($I93+1)*14),TRUE)-AH93)</f>
        <v>0</v>
      </c>
      <c r="BB93" s="1056">
        <f t="shared" ca="1" si="6"/>
        <v>0</v>
      </c>
      <c r="BC93" s="1057">
        <f t="shared" ca="1" si="6"/>
        <v>0</v>
      </c>
      <c r="BD93" s="1068">
        <f t="shared" ca="1" si="7"/>
        <v>0</v>
      </c>
      <c r="BE93" s="9">
        <f t="shared" ca="1" si="8"/>
        <v>440</v>
      </c>
      <c r="BF93" s="7">
        <f t="shared" ca="1" si="8"/>
        <v>440</v>
      </c>
      <c r="BG93" s="7">
        <f t="shared" ca="1" si="9"/>
        <v>2640</v>
      </c>
      <c r="BH93" s="7">
        <f t="shared" ca="1" si="9"/>
        <v>1320</v>
      </c>
      <c r="BI93" s="7">
        <f t="shared" ca="1" si="9"/>
        <v>396</v>
      </c>
      <c r="BJ93" s="7">
        <f t="shared" ca="1" si="9"/>
        <v>198</v>
      </c>
      <c r="BK93" s="8">
        <f t="shared" ca="1" si="10"/>
        <v>440</v>
      </c>
    </row>
    <row r="94" spans="2:63">
      <c r="B94" s="1125" t="s">
        <v>152</v>
      </c>
      <c r="C94" s="1055">
        <f ca="1">VLOOKUP(Myリゾート!$B94,OFFSET(高速化データ!$DD$6,0,0,高速化データ!$A$1,2), 2, FALSE)</f>
        <v>7003</v>
      </c>
      <c r="D94" s="59" t="str">
        <f ca="1">LEFT(VLOOKUP(Myリゾート!$C94,OFFSET(高速化データ!$A$6,0,0,高速化データ!$A$1,106), 3, TRUE),2)</f>
        <v>ショ</v>
      </c>
      <c r="E94" s="1063" t="str">
        <f ca="1">VLOOKUP(Myリゾート!$C94,OFFSET(高速化データ!$A$6,0,0,高速化データ!$A$1,106), 4, TRUE)&amp;""</f>
        <v/>
      </c>
      <c r="F94" s="1064" t="str">
        <f ca="1">VLOOKUP(Myリゾート!$C94,OFFSET(高速化データ!$A$6,0,0,高速化データ!$A$1,106), 5, TRUE)&amp;""</f>
        <v>○</v>
      </c>
      <c r="G94" s="1064" t="str">
        <f ca="1">VLOOKUP(Myリゾート!$C94,OFFSET(高速化データ!$A$6,0,0,高速化データ!$A$1,106), 6, TRUE)&amp;""</f>
        <v/>
      </c>
      <c r="H94" s="1065" t="str">
        <f ca="1">VLOOKUP(Myリゾート!$C94,OFFSET(高速化データ!$A$6,0,0,高速化データ!$A$1,106), 7, TRUE)&amp;""</f>
        <v/>
      </c>
      <c r="I94" s="1131">
        <v>4</v>
      </c>
      <c r="J94" s="1134"/>
      <c r="K94" s="1061">
        <f ca="1">VLOOKUP(Myリゾート!$C94,OFFSET(高速化データ!$A$6,0,0,高速化データ!$A$1,106), 10, TRUE)</f>
        <v>0.5</v>
      </c>
      <c r="L94" s="1062">
        <f ca="1">VLOOKUP(Myリゾート!$C94,OFFSET(高速化データ!$A$6,0,0,高速化データ!$A$1,106), 12, TRUE)</f>
        <v>1</v>
      </c>
      <c r="M94" s="1066">
        <f ca="1">VLOOKUP(Myリゾート!$C94,OFFSET(高速化データ!$A$6,0,0,高速化データ!$A$1,106), 86, TRUE)</f>
        <v>440</v>
      </c>
      <c r="N94" s="1058">
        <f ca="1">VLOOKUP(Myリゾート!$C94,OFFSET(高速化データ!$A$6,0,0,高速化データ!$A$1,106), 87, TRUE)</f>
        <v>440</v>
      </c>
      <c r="O94" s="1058">
        <f t="shared" ca="1" si="0"/>
        <v>773.3</v>
      </c>
      <c r="P94" s="1059">
        <f t="shared" ca="1" si="3"/>
        <v>333.29999999999995</v>
      </c>
      <c r="Q94" s="1061">
        <f ca="1">VLOOKUP(Myリゾート!$C94,OFFSET(高速化データ!$A$6,0,0,高速化データ!$A$1,106), 88, TRUE)</f>
        <v>6</v>
      </c>
      <c r="R94" s="1060">
        <f ca="1">VLOOKUP(Myリゾート!$C94,OFFSET(高速化データ!$A$6,0,0,高速化データ!$A$1,106), 89, TRUE)</f>
        <v>2640</v>
      </c>
      <c r="S94" s="1060">
        <f ca="1">VLOOKUP(Myリゾート!$C94,OFFSET(高速化データ!$A$6,0,0,高速化データ!$A$1,106), 90, TRUE)</f>
        <v>1320</v>
      </c>
      <c r="T94" s="1060">
        <f ca="1">VLOOKUP(Myリゾート!$C94,OFFSET(高速化データ!$A$6,0,0,高速化データ!$A$1,106), 91, TRUE)</f>
        <v>396</v>
      </c>
      <c r="U94" s="1067">
        <f ca="1">VLOOKUP(Myリゾート!$C94,OFFSET(高速化データ!$A$6,0,0,高速化データ!$A$1,106), 92, TRUE)</f>
        <v>198</v>
      </c>
      <c r="V94" s="1066">
        <f ca="1">VLOOKUP(Myリゾート!$C94,OFFSET(高速化データ!$A$6,0,0,高速化データ!$A$1,106), 30, TRUE)</f>
        <v>220</v>
      </c>
      <c r="W94" s="1058">
        <f ca="1">VLOOKUP(Myリゾート!$C94,OFFSET(高速化データ!$A$6,0,0,高速化データ!$A$1,106), 31, TRUE)</f>
        <v>220</v>
      </c>
      <c r="X94" s="1058">
        <f t="shared" ca="1" si="1"/>
        <v>386.65</v>
      </c>
      <c r="Y94" s="1068">
        <f t="shared" ca="1" si="4"/>
        <v>166.64999999999998</v>
      </c>
      <c r="Z94" s="1061">
        <f ca="1">VLOOKUP(Myリゾート!$C94,OFFSET(高速化データ!$A$6,0,0,高速化データ!$A$1,106), 32, TRUE)</f>
        <v>6</v>
      </c>
      <c r="AA94" s="1060">
        <f ca="1">VLOOKUP(Myリゾート!$C94,OFFSET(高速化データ!$A$6,0,0,高速化データ!$A$1,106), 33, TRUE)</f>
        <v>1320</v>
      </c>
      <c r="AB94" s="1060">
        <f ca="1">VLOOKUP(Myリゾート!$C94,OFFSET(高速化データ!$A$6,0,0,高速化データ!$A$1,106), 34, TRUE)</f>
        <v>660</v>
      </c>
      <c r="AC94" s="1060">
        <f ca="1">VLOOKUP(Myリゾート!$C94,OFFSET(高速化データ!$A$6,0,0,高速化データ!$A$1,106), 35, TRUE)</f>
        <v>198</v>
      </c>
      <c r="AD94" s="1069">
        <f ca="1">VLOOKUP(Myリゾート!$C94,OFFSET(高速化データ!$A$6,0,0,高速化データ!$A$1,106), 36, TRUE)</f>
        <v>99</v>
      </c>
      <c r="AE94" s="1066">
        <f ca="1">VLOOKUP(Myリゾート!$C94,OFFSET(高速化データ!$A$6,0,0,高速化データ!$A$1,106), 16+($I94*14), TRUE)</f>
        <v>418</v>
      </c>
      <c r="AF94" s="1058">
        <f ca="1">VLOOKUP(Myリゾート!$C94,OFFSET(高速化データ!$A$6,0,0,高速化データ!$A$1,106), 17+($I94*14), TRUE)</f>
        <v>418</v>
      </c>
      <c r="AG94" s="1058">
        <f t="shared" ca="1" si="2"/>
        <v>734.63499999999999</v>
      </c>
      <c r="AH94" s="1068">
        <f t="shared" ca="1" si="5"/>
        <v>316.63499999999999</v>
      </c>
      <c r="AI94" s="1061">
        <f ca="1">VLOOKUP(Myリゾート!$C94,OFFSET(高速化データ!$A$6,0,0,高速化データ!$A$1,106), 18+($I94*14), TRUE)</f>
        <v>6</v>
      </c>
      <c r="AJ94" s="1058">
        <f ca="1">VLOOKUP(Myリゾート!$C94,OFFSET(高速化データ!$A$6,0,0,高速化データ!$A$1,106), 19+($I94*14), TRUE)</f>
        <v>2508</v>
      </c>
      <c r="AK94" s="1058">
        <f ca="1">VLOOKUP(Myリゾート!$C94,OFFSET(高速化データ!$A$6,0,0,高速化データ!$A$1,106), 20+($I94*14), TRUE)</f>
        <v>1254</v>
      </c>
      <c r="AL94" s="1058">
        <f ca="1">VLOOKUP(Myリゾート!$C94,OFFSET(高速化データ!$A$6,0,0,高速化データ!$A$1,106), 21+($I94*14), TRUE)</f>
        <v>376</v>
      </c>
      <c r="AM94" s="1070">
        <f ca="1">VLOOKUP(Myリゾート!$C94,OFFSET(高速化データ!$A$6,0,0,高速化データ!$A$1,106), 22+($I94*14), TRUE)</f>
        <v>188</v>
      </c>
      <c r="AN94" s="1072">
        <f ca="1">VLOOKUP(Myリゾート!$C94,OFFSET(高速化データ!$A$6,0,0,高速化データ!$A$1,106), 11, TRUE)</f>
        <v>0.15</v>
      </c>
      <c r="AO94" s="1110">
        <f ca="1">VLOOKUP(Myリゾート!$C94,OFFSET(高速化データ!$A$6,0,0,高速化データ!$A$1,106), 13, TRUE)</f>
        <v>30</v>
      </c>
      <c r="AP94" s="1073" t="str">
        <f ca="1">VLOOKUP(Myリゾート!$C94,OFFSET(高速化データ!$A$6,0,0,高速化データ!$A$1,106), 15, TRUE)</f>
        <v>A</v>
      </c>
      <c r="AQ94" s="1071" t="str">
        <f ca="1">VLOOKUP(Myリゾート!$C94,OFFSET(高速化データ!$A$6,0,0,高速化データ!$A$1,106), 9, TRUE)</f>
        <v>VIP</v>
      </c>
      <c r="AR94" s="1112">
        <f ca="1">IF($I94=5, 0,VLOOKUP(Myリゾート!$C94,OFFSET(高速化データ!$A$6,0,0,高速化データ!$A$1,106), 23+(($I94+1)*14), TRUE))</f>
        <v>168</v>
      </c>
      <c r="AS94" s="1058">
        <f ca="1">IF($I94=5, 0,VLOOKUP(Myリゾート!$C94,OFFSET(高速化データ!$A$6,0,0,高速化データ!$A$1,106), 24+(($I94+1)*14), TRUE))</f>
        <v>2500000</v>
      </c>
      <c r="AT94" s="1074">
        <f ca="1">IF($I94=5, 0,VLOOKUP(Myリゾート!$C94,OFFSET(高速化データ!$A$6,0,0,高速化データ!$A$1,106), 25+(($I94+1)*14), TRUE))</f>
        <v>0</v>
      </c>
      <c r="AU94" s="1074">
        <f ca="1">IF($I94=5, 0,VLOOKUP(Myリゾート!$C94,OFFSET(高速化データ!$A$6,0,0,高速化データ!$A$1,106), 26+(($I94+1)*14), TRUE))</f>
        <v>0</v>
      </c>
      <c r="AV94" s="1074">
        <f ca="1">IF($I94=5, 0,VLOOKUP(Myリゾート!$C94,OFFSET(高速化データ!$A$6,0,0,高速化データ!$A$1,106), 27+(($I94+1)*14), TRUE))</f>
        <v>5</v>
      </c>
      <c r="AW94" s="1075">
        <f ca="1">IF($I94=5, 0,VLOOKUP(Myリゾート!$C94,OFFSET(高速化データ!$A$6,0,0,高速化データ!$A$1,106), 28+(($I94+1)*14), TRUE))</f>
        <v>46.107070707070704</v>
      </c>
      <c r="AX94" s="1070">
        <f ca="1">IF($I94=5, 0,VLOOKUP(Myリゾート!$C94,OFFSET(高速化データ!$A$6,0,0,高速化データ!$A$1,106), 29+(($I94+1)*14), TRUE))</f>
        <v>14880</v>
      </c>
      <c r="AY94" s="1066">
        <f ca="1">IF($I94=5, 0, VLOOKUP(Myリゾート!$C94,OFFSET(高速化データ!$A$6,0,0,高速化データ!$A$1,106), 19+(($I94+1)*14), TRUE)-AJ94)</f>
        <v>132</v>
      </c>
      <c r="AZ94" s="1058">
        <f ca="1">IF($I94=5, 0, VLOOKUP(Myリゾート!$C94,OFFSET(高速化データ!$A$6,0,0,高速化データ!$A$1,106), 20+(($I94+1)*14), TRUE)-AK94)</f>
        <v>66</v>
      </c>
      <c r="BA94" s="1076">
        <f ca="1">IF($I94=5, 0, VLOOKUP(Myリゾート!$C94,OFFSET(高速化データ!$A$6,0,0,高速化データ!$A$1,106), 17+(($I94+1)*14), TRUE)*$B$1/100-VLOOKUP(Myリゾート!$C94,OFFSET(高速化データ!$A$6,0,0,高速化データ!$A$1,106), 16+(($I94+1)*14),TRUE)-AH94)</f>
        <v>16.664999999999964</v>
      </c>
      <c r="BB94" s="1056">
        <f t="shared" ca="1" si="6"/>
        <v>132</v>
      </c>
      <c r="BC94" s="1057">
        <f t="shared" ca="1" si="6"/>
        <v>66</v>
      </c>
      <c r="BD94" s="1068">
        <f t="shared" ca="1" si="7"/>
        <v>16.664999999999964</v>
      </c>
      <c r="BE94" s="9">
        <f t="shared" ca="1" si="8"/>
        <v>418</v>
      </c>
      <c r="BF94" s="7">
        <f t="shared" ca="1" si="8"/>
        <v>418</v>
      </c>
      <c r="BG94" s="7">
        <f t="shared" ca="1" si="9"/>
        <v>2508</v>
      </c>
      <c r="BH94" s="7">
        <f t="shared" ca="1" si="9"/>
        <v>1254</v>
      </c>
      <c r="BI94" s="7">
        <f t="shared" ca="1" si="9"/>
        <v>376</v>
      </c>
      <c r="BJ94" s="7">
        <f t="shared" ca="1" si="9"/>
        <v>188</v>
      </c>
      <c r="BK94" s="8">
        <f t="shared" ca="1" si="10"/>
        <v>418</v>
      </c>
    </row>
    <row r="95" spans="2:63">
      <c r="B95" s="1125" t="s">
        <v>207</v>
      </c>
      <c r="C95" s="1055">
        <f ca="1">VLOOKUP(Myリゾート!$B95,OFFSET(高速化データ!$DD$6,0,0,高速化データ!$A$1,2), 2, FALSE)</f>
        <v>96</v>
      </c>
      <c r="D95" s="59" t="str">
        <f ca="1">LEFT(VLOOKUP(Myリゾート!$C95,OFFSET(高速化データ!$A$6,0,0,高速化データ!$A$1,106), 3, TRUE),2)</f>
        <v>ショ</v>
      </c>
      <c r="E95" s="1063" t="str">
        <f ca="1">VLOOKUP(Myリゾート!$C95,OFFSET(高速化データ!$A$6,0,0,高速化データ!$A$1,106), 4, TRUE)&amp;""</f>
        <v/>
      </c>
      <c r="F95" s="1064" t="str">
        <f ca="1">VLOOKUP(Myリゾート!$C95,OFFSET(高速化データ!$A$6,0,0,高速化データ!$A$1,106), 5, TRUE)&amp;""</f>
        <v>○</v>
      </c>
      <c r="G95" s="1064" t="str">
        <f ca="1">VLOOKUP(Myリゾート!$C95,OFFSET(高速化データ!$A$6,0,0,高速化データ!$A$1,106), 6, TRUE)&amp;""</f>
        <v/>
      </c>
      <c r="H95" s="1065" t="str">
        <f ca="1">VLOOKUP(Myリゾート!$C95,OFFSET(高速化データ!$A$6,0,0,高速化データ!$A$1,106), 7, TRUE)&amp;""</f>
        <v/>
      </c>
      <c r="I95" s="1131">
        <v>3</v>
      </c>
      <c r="J95" s="1134"/>
      <c r="K95" s="1061">
        <f ca="1">VLOOKUP(Myリゾート!$C95,OFFSET(高速化データ!$A$6,0,0,高速化データ!$A$1,106), 10, TRUE)</f>
        <v>5</v>
      </c>
      <c r="L95" s="1062">
        <f ca="1">VLOOKUP(Myリゾート!$C95,OFFSET(高速化データ!$A$6,0,0,高速化データ!$A$1,106), 12, TRUE)</f>
        <v>1.3870967741935485</v>
      </c>
      <c r="M95" s="1066">
        <f ca="1">VLOOKUP(Myリゾート!$C95,OFFSET(高速化データ!$A$6,0,0,高速化データ!$A$1,106), 86, TRUE)</f>
        <v>430</v>
      </c>
      <c r="N95" s="1058">
        <f ca="1">VLOOKUP(Myリゾート!$C95,OFFSET(高速化データ!$A$6,0,0,高速化データ!$A$1,106), 87, TRUE)</f>
        <v>310</v>
      </c>
      <c r="O95" s="1058">
        <f t="shared" ca="1" si="0"/>
        <v>544.82500000000005</v>
      </c>
      <c r="P95" s="1059">
        <f t="shared" ca="1" si="3"/>
        <v>114.82500000000005</v>
      </c>
      <c r="Q95" s="1061">
        <f ca="1">VLOOKUP(Myリゾート!$C95,OFFSET(高速化データ!$A$6,0,0,高速化データ!$A$1,106), 88, TRUE)</f>
        <v>11</v>
      </c>
      <c r="R95" s="1060">
        <f ca="1">VLOOKUP(Myリゾート!$C95,OFFSET(高速化データ!$A$6,0,0,高速化データ!$A$1,106), 89, TRUE)</f>
        <v>4730</v>
      </c>
      <c r="S95" s="1060">
        <f ca="1">VLOOKUP(Myリゾート!$C95,OFFSET(高速化データ!$A$6,0,0,高速化データ!$A$1,106), 90, TRUE)</f>
        <v>23650</v>
      </c>
      <c r="T95" s="1060">
        <f ca="1">VLOOKUP(Myリゾート!$C95,OFFSET(高速化データ!$A$6,0,0,高速化データ!$A$1,106), 91, TRUE)</f>
        <v>709</v>
      </c>
      <c r="U95" s="1067">
        <f ca="1">VLOOKUP(Myリゾート!$C95,OFFSET(高速化データ!$A$6,0,0,高速化データ!$A$1,106), 92, TRUE)</f>
        <v>3547</v>
      </c>
      <c r="V95" s="1066">
        <f ca="1">VLOOKUP(Myリゾート!$C95,OFFSET(高速化データ!$A$6,0,0,高速化データ!$A$1,106), 30, TRUE)</f>
        <v>144</v>
      </c>
      <c r="W95" s="1058">
        <f ca="1">VLOOKUP(Myリゾート!$C95,OFFSET(高速化データ!$A$6,0,0,高速化データ!$A$1,106), 31, TRUE)</f>
        <v>104</v>
      </c>
      <c r="X95" s="1058">
        <f t="shared" ca="1" si="1"/>
        <v>182.78</v>
      </c>
      <c r="Y95" s="1068">
        <f t="shared" ca="1" si="4"/>
        <v>38.78</v>
      </c>
      <c r="Z95" s="1061">
        <f ca="1">VLOOKUP(Myリゾート!$C95,OFFSET(高速化データ!$A$6,0,0,高速化データ!$A$1,106), 32, TRUE)</f>
        <v>11</v>
      </c>
      <c r="AA95" s="1060">
        <f ca="1">VLOOKUP(Myリゾート!$C95,OFFSET(高速化データ!$A$6,0,0,高速化データ!$A$1,106), 33, TRUE)</f>
        <v>1584</v>
      </c>
      <c r="AB95" s="1060">
        <f ca="1">VLOOKUP(Myリゾート!$C95,OFFSET(高速化データ!$A$6,0,0,高速化データ!$A$1,106), 34, TRUE)</f>
        <v>7920</v>
      </c>
      <c r="AC95" s="1060">
        <f ca="1">VLOOKUP(Myリゾート!$C95,OFFSET(高速化データ!$A$6,0,0,高速化データ!$A$1,106), 35, TRUE)</f>
        <v>237</v>
      </c>
      <c r="AD95" s="1069">
        <f ca="1">VLOOKUP(Myリゾート!$C95,OFFSET(高速化データ!$A$6,0,0,高速化データ!$A$1,106), 36, TRUE)</f>
        <v>1188</v>
      </c>
      <c r="AE95" s="1066">
        <f ca="1">VLOOKUP(Myリゾート!$C95,OFFSET(高速化データ!$A$6,0,0,高速化データ!$A$1,106), 16+($I95*14), TRUE)</f>
        <v>215</v>
      </c>
      <c r="AF95" s="1058">
        <f ca="1">VLOOKUP(Myリゾート!$C95,OFFSET(高速化データ!$A$6,0,0,高速化データ!$A$1,106), 17+($I95*14), TRUE)</f>
        <v>155</v>
      </c>
      <c r="AG95" s="1058">
        <f t="shared" ca="1" si="2"/>
        <v>272.41250000000002</v>
      </c>
      <c r="AH95" s="1068">
        <f t="shared" ca="1" si="5"/>
        <v>57.412500000000023</v>
      </c>
      <c r="AI95" s="1061">
        <f ca="1">VLOOKUP(Myリゾート!$C95,OFFSET(高速化データ!$A$6,0,0,高速化データ!$A$1,106), 18+($I95*14), TRUE)</f>
        <v>11</v>
      </c>
      <c r="AJ95" s="1058">
        <f ca="1">VLOOKUP(Myリゾート!$C95,OFFSET(高速化データ!$A$6,0,0,高速化データ!$A$1,106), 19+($I95*14), TRUE)</f>
        <v>2365</v>
      </c>
      <c r="AK95" s="1058">
        <f ca="1">VLOOKUP(Myリゾート!$C95,OFFSET(高速化データ!$A$6,0,0,高速化データ!$A$1,106), 20+($I95*14), TRUE)</f>
        <v>11825</v>
      </c>
      <c r="AL95" s="1058">
        <f ca="1">VLOOKUP(Myリゾート!$C95,OFFSET(高速化データ!$A$6,0,0,高速化データ!$A$1,106), 21+($I95*14), TRUE)</f>
        <v>354</v>
      </c>
      <c r="AM95" s="1070">
        <f ca="1">VLOOKUP(Myリゾート!$C95,OFFSET(高速化データ!$A$6,0,0,高速化データ!$A$1,106), 22+($I95*14), TRUE)</f>
        <v>1773</v>
      </c>
      <c r="AN95" s="1072">
        <f ca="1">VLOOKUP(Myリゾート!$C95,OFFSET(高速化データ!$A$6,0,0,高速化データ!$A$1,106), 11, TRUE)</f>
        <v>0.15</v>
      </c>
      <c r="AO95" s="1110">
        <f ca="1">VLOOKUP(Myリゾート!$C95,OFFSET(高速化データ!$A$6,0,0,高速化データ!$A$1,106), 13, TRUE)</f>
        <v>100</v>
      </c>
      <c r="AP95" s="1073" t="str">
        <f ca="1">VLOOKUP(Myリゾート!$C95,OFFSET(高速化データ!$A$6,0,0,高速化データ!$A$1,106), 15, TRUE)</f>
        <v>B</v>
      </c>
      <c r="AQ95" s="1071" t="str">
        <f ca="1">VLOOKUP(Myリゾート!$C95,OFFSET(高速化データ!$A$6,0,0,高速化データ!$A$1,106), 9, TRUE)</f>
        <v>限定</v>
      </c>
      <c r="AR95" s="1112">
        <f ca="1">IF($I95=5, 0,VLOOKUP(Myリゾート!$C95,OFFSET(高速化データ!$A$6,0,0,高速化データ!$A$1,106), 23+(($I95+1)*14), TRUE))</f>
        <v>84</v>
      </c>
      <c r="AS95" s="1058">
        <f ca="1">IF($I95=5, 0,VLOOKUP(Myリゾート!$C95,OFFSET(高速化データ!$A$6,0,0,高速化データ!$A$1,106), 24+(($I95+1)*14), TRUE))</f>
        <v>2000000</v>
      </c>
      <c r="AT95" s="1074">
        <f ca="1">IF($I95=5, 0,VLOOKUP(Myリゾート!$C95,OFFSET(高速化データ!$A$6,0,0,高速化データ!$A$1,106), 25+(($I95+1)*14), TRUE))</f>
        <v>0</v>
      </c>
      <c r="AU95" s="1074">
        <f ca="1">IF($I95=5, 0,VLOOKUP(Myリゾート!$C95,OFFSET(高速化データ!$A$6,0,0,高速化データ!$A$1,106), 26+(($I95+1)*14), TRUE))</f>
        <v>0</v>
      </c>
      <c r="AV95" s="1074">
        <f ca="1">IF($I95=5, 0,VLOOKUP(Myリゾート!$C95,OFFSET(高速化データ!$A$6,0,0,高速化データ!$A$1,106), 27+(($I95+1)*14), TRUE))</f>
        <v>2</v>
      </c>
      <c r="AW95" s="1075">
        <f ca="1">IF($I95=5, 0,VLOOKUP(Myリゾート!$C95,OFFSET(高速化データ!$A$6,0,0,高速化データ!$A$1,106), 28+(($I95+1)*14), TRUE))</f>
        <v>29.018319079294688</v>
      </c>
      <c r="AX95" s="1070">
        <f ca="1">IF($I95=5, 0,VLOOKUP(Myリゾート!$C95,OFFSET(高速化データ!$A$6,0,0,高速化データ!$A$1,106), 29+(($I95+1)*14), TRUE))</f>
        <v>23809</v>
      </c>
      <c r="AY95" s="1066">
        <f ca="1">IF($I95=5, 0, VLOOKUP(Myリゾート!$C95,OFFSET(高速化データ!$A$6,0,0,高速化データ!$A$1,106), 19+(($I95+1)*14), TRUE)-AJ95)</f>
        <v>792</v>
      </c>
      <c r="AZ95" s="1058">
        <f ca="1">IF($I95=5, 0, VLOOKUP(Myリゾート!$C95,OFFSET(高速化データ!$A$6,0,0,高速化データ!$A$1,106), 20+(($I95+1)*14), TRUE)-AK95)</f>
        <v>3960</v>
      </c>
      <c r="BA95" s="1076">
        <f ca="1">IF($I95=5, 0, VLOOKUP(Myリゾート!$C95,OFFSET(高速化データ!$A$6,0,0,高速化データ!$A$1,106), 17+(($I95+1)*14), TRUE)*$B$1/100-VLOOKUP(Myリゾート!$C95,OFFSET(高速化データ!$A$6,0,0,高速化データ!$A$1,106), 16+(($I95+1)*14),TRUE)-AH95)</f>
        <v>19.389999999999986</v>
      </c>
      <c r="BB95" s="1056">
        <f t="shared" ca="1" si="6"/>
        <v>2365</v>
      </c>
      <c r="BC95" s="1057">
        <f t="shared" ca="1" si="6"/>
        <v>11825</v>
      </c>
      <c r="BD95" s="1068">
        <f t="shared" ca="1" si="7"/>
        <v>57.412500000000023</v>
      </c>
      <c r="BE95" s="9">
        <f t="shared" ca="1" si="8"/>
        <v>215</v>
      </c>
      <c r="BF95" s="7">
        <f t="shared" ca="1" si="8"/>
        <v>155</v>
      </c>
      <c r="BG95" s="7">
        <f t="shared" ca="1" si="9"/>
        <v>2365</v>
      </c>
      <c r="BH95" s="7">
        <f t="shared" ca="1" si="9"/>
        <v>11825</v>
      </c>
      <c r="BI95" s="7">
        <f t="shared" ca="1" si="9"/>
        <v>354</v>
      </c>
      <c r="BJ95" s="7">
        <f t="shared" ca="1" si="9"/>
        <v>1773</v>
      </c>
      <c r="BK95" s="8">
        <f t="shared" ca="1" si="10"/>
        <v>215</v>
      </c>
    </row>
    <row r="96" spans="2:63">
      <c r="B96" s="1125" t="s">
        <v>207</v>
      </c>
      <c r="C96" s="1055">
        <f ca="1">VLOOKUP(Myリゾート!$B96,OFFSET(高速化データ!$DD$6,0,0,高速化データ!$A$1,2), 2, FALSE)</f>
        <v>96</v>
      </c>
      <c r="D96" s="59" t="str">
        <f ca="1">LEFT(VLOOKUP(Myリゾート!$C96,OFFSET(高速化データ!$A$6,0,0,高速化データ!$A$1,106), 3, TRUE),2)</f>
        <v>ショ</v>
      </c>
      <c r="E96" s="1063" t="str">
        <f ca="1">VLOOKUP(Myリゾート!$C96,OFFSET(高速化データ!$A$6,0,0,高速化データ!$A$1,106), 4, TRUE)&amp;""</f>
        <v/>
      </c>
      <c r="F96" s="1064" t="str">
        <f ca="1">VLOOKUP(Myリゾート!$C96,OFFSET(高速化データ!$A$6,0,0,高速化データ!$A$1,106), 5, TRUE)&amp;""</f>
        <v>○</v>
      </c>
      <c r="G96" s="1064" t="str">
        <f ca="1">VLOOKUP(Myリゾート!$C96,OFFSET(高速化データ!$A$6,0,0,高速化データ!$A$1,106), 6, TRUE)&amp;""</f>
        <v/>
      </c>
      <c r="H96" s="1065" t="str">
        <f ca="1">VLOOKUP(Myリゾート!$C96,OFFSET(高速化データ!$A$6,0,0,高速化データ!$A$1,106), 7, TRUE)&amp;""</f>
        <v/>
      </c>
      <c r="I96" s="1131">
        <v>2</v>
      </c>
      <c r="J96" s="1134"/>
      <c r="K96" s="1061">
        <f ca="1">VLOOKUP(Myリゾート!$C96,OFFSET(高速化データ!$A$6,0,0,高速化データ!$A$1,106), 10, TRUE)</f>
        <v>5</v>
      </c>
      <c r="L96" s="1062">
        <f ca="1">VLOOKUP(Myリゾート!$C96,OFFSET(高速化データ!$A$6,0,0,高速化データ!$A$1,106), 12, TRUE)</f>
        <v>1.3870967741935485</v>
      </c>
      <c r="M96" s="1066">
        <f ca="1">VLOOKUP(Myリゾート!$C96,OFFSET(高速化データ!$A$6,0,0,高速化データ!$A$1,106), 86, TRUE)</f>
        <v>430</v>
      </c>
      <c r="N96" s="1058">
        <f ca="1">VLOOKUP(Myリゾート!$C96,OFFSET(高速化データ!$A$6,0,0,高速化データ!$A$1,106), 87, TRUE)</f>
        <v>310</v>
      </c>
      <c r="O96" s="1058">
        <f t="shared" ca="1" si="0"/>
        <v>544.82500000000005</v>
      </c>
      <c r="P96" s="1059">
        <f t="shared" ca="1" si="3"/>
        <v>114.82500000000005</v>
      </c>
      <c r="Q96" s="1061">
        <f ca="1">VLOOKUP(Myリゾート!$C96,OFFSET(高速化データ!$A$6,0,0,高速化データ!$A$1,106), 88, TRUE)</f>
        <v>11</v>
      </c>
      <c r="R96" s="1060">
        <f ca="1">VLOOKUP(Myリゾート!$C96,OFFSET(高速化データ!$A$6,0,0,高速化データ!$A$1,106), 89, TRUE)</f>
        <v>4730</v>
      </c>
      <c r="S96" s="1060">
        <f ca="1">VLOOKUP(Myリゾート!$C96,OFFSET(高速化データ!$A$6,0,0,高速化データ!$A$1,106), 90, TRUE)</f>
        <v>23650</v>
      </c>
      <c r="T96" s="1060">
        <f ca="1">VLOOKUP(Myリゾート!$C96,OFFSET(高速化データ!$A$6,0,0,高速化データ!$A$1,106), 91, TRUE)</f>
        <v>709</v>
      </c>
      <c r="U96" s="1067">
        <f ca="1">VLOOKUP(Myリゾート!$C96,OFFSET(高速化データ!$A$6,0,0,高速化データ!$A$1,106), 92, TRUE)</f>
        <v>3547</v>
      </c>
      <c r="V96" s="1066">
        <f ca="1">VLOOKUP(Myリゾート!$C96,OFFSET(高速化データ!$A$6,0,0,高速化データ!$A$1,106), 30, TRUE)</f>
        <v>144</v>
      </c>
      <c r="W96" s="1058">
        <f ca="1">VLOOKUP(Myリゾート!$C96,OFFSET(高速化データ!$A$6,0,0,高速化データ!$A$1,106), 31, TRUE)</f>
        <v>104</v>
      </c>
      <c r="X96" s="1058">
        <f t="shared" ca="1" si="1"/>
        <v>182.78</v>
      </c>
      <c r="Y96" s="1068">
        <f t="shared" ca="1" si="4"/>
        <v>38.78</v>
      </c>
      <c r="Z96" s="1061">
        <f ca="1">VLOOKUP(Myリゾート!$C96,OFFSET(高速化データ!$A$6,0,0,高速化データ!$A$1,106), 32, TRUE)</f>
        <v>11</v>
      </c>
      <c r="AA96" s="1060">
        <f ca="1">VLOOKUP(Myリゾート!$C96,OFFSET(高速化データ!$A$6,0,0,高速化データ!$A$1,106), 33, TRUE)</f>
        <v>1584</v>
      </c>
      <c r="AB96" s="1060">
        <f ca="1">VLOOKUP(Myリゾート!$C96,OFFSET(高速化データ!$A$6,0,0,高速化データ!$A$1,106), 34, TRUE)</f>
        <v>7920</v>
      </c>
      <c r="AC96" s="1060">
        <f ca="1">VLOOKUP(Myリゾート!$C96,OFFSET(高速化データ!$A$6,0,0,高速化データ!$A$1,106), 35, TRUE)</f>
        <v>237</v>
      </c>
      <c r="AD96" s="1069">
        <f ca="1">VLOOKUP(Myリゾート!$C96,OFFSET(高速化データ!$A$6,0,0,高速化データ!$A$1,106), 36, TRUE)</f>
        <v>1188</v>
      </c>
      <c r="AE96" s="1066">
        <f ca="1">VLOOKUP(Myリゾート!$C96,OFFSET(高速化データ!$A$6,0,0,高速化データ!$A$1,106), 16+($I96*14), TRUE)</f>
        <v>180</v>
      </c>
      <c r="AF96" s="1058">
        <f ca="1">VLOOKUP(Myリゾート!$C96,OFFSET(高速化データ!$A$6,0,0,高速化データ!$A$1,106), 17+($I96*14), TRUE)</f>
        <v>130</v>
      </c>
      <c r="AG96" s="1058">
        <f t="shared" ca="1" si="2"/>
        <v>228.47499999999999</v>
      </c>
      <c r="AH96" s="1068">
        <f t="shared" ca="1" si="5"/>
        <v>48.474999999999994</v>
      </c>
      <c r="AI96" s="1061">
        <f ca="1">VLOOKUP(Myリゾート!$C96,OFFSET(高速化データ!$A$6,0,0,高速化データ!$A$1,106), 18+($I96*14), TRUE)</f>
        <v>11</v>
      </c>
      <c r="AJ96" s="1058">
        <f ca="1">VLOOKUP(Myリゾート!$C96,OFFSET(高速化データ!$A$6,0,0,高速化データ!$A$1,106), 19+($I96*14), TRUE)</f>
        <v>1980</v>
      </c>
      <c r="AK96" s="1058">
        <f ca="1">VLOOKUP(Myリゾート!$C96,OFFSET(高速化データ!$A$6,0,0,高速化データ!$A$1,106), 20+($I96*14), TRUE)</f>
        <v>9900</v>
      </c>
      <c r="AL96" s="1058">
        <f ca="1">VLOOKUP(Myリゾート!$C96,OFFSET(高速化データ!$A$6,0,0,高速化データ!$A$1,106), 21+($I96*14), TRUE)</f>
        <v>297</v>
      </c>
      <c r="AM96" s="1070">
        <f ca="1">VLOOKUP(Myリゾート!$C96,OFFSET(高速化データ!$A$6,0,0,高速化データ!$A$1,106), 22+($I96*14), TRUE)</f>
        <v>1485</v>
      </c>
      <c r="AN96" s="1072">
        <f ca="1">VLOOKUP(Myリゾート!$C96,OFFSET(高速化データ!$A$6,0,0,高速化データ!$A$1,106), 11, TRUE)</f>
        <v>0.15</v>
      </c>
      <c r="AO96" s="1110">
        <f ca="1">VLOOKUP(Myリゾート!$C96,OFFSET(高速化データ!$A$6,0,0,高速化データ!$A$1,106), 13, TRUE)</f>
        <v>100</v>
      </c>
      <c r="AP96" s="1073" t="str">
        <f ca="1">VLOOKUP(Myリゾート!$C96,OFFSET(高速化データ!$A$6,0,0,高速化データ!$A$1,106), 15, TRUE)</f>
        <v>B</v>
      </c>
      <c r="AQ96" s="1071" t="str">
        <f ca="1">VLOOKUP(Myリゾート!$C96,OFFSET(高速化データ!$A$6,0,0,高速化データ!$A$1,106), 9, TRUE)</f>
        <v>限定</v>
      </c>
      <c r="AR96" s="1112">
        <f ca="1">IF($I96=5, 0,VLOOKUP(Myリゾート!$C96,OFFSET(高速化データ!$A$6,0,0,高速化データ!$A$1,106), 23+(($I96+1)*14), TRUE))</f>
        <v>36</v>
      </c>
      <c r="AS96" s="1058">
        <f ca="1">IF($I96=5, 0,VLOOKUP(Myリゾート!$C96,OFFSET(高速化データ!$A$6,0,0,高速化データ!$A$1,106), 24+(($I96+1)*14), TRUE))</f>
        <v>1500000</v>
      </c>
      <c r="AT96" s="1074">
        <f ca="1">IF($I96=5, 0,VLOOKUP(Myリゾート!$C96,OFFSET(高速化データ!$A$6,0,0,高速化データ!$A$1,106), 25+(($I96+1)*14), TRUE))</f>
        <v>0</v>
      </c>
      <c r="AU96" s="1074">
        <f ca="1">IF($I96=5, 0,VLOOKUP(Myリゾート!$C96,OFFSET(高速化データ!$A$6,0,0,高速化データ!$A$1,106), 26+(($I96+1)*14), TRUE))</f>
        <v>4</v>
      </c>
      <c r="AV96" s="1074">
        <f ca="1">IF($I96=5, 0,VLOOKUP(Myリゾート!$C96,OFFSET(高速化データ!$A$6,0,0,高速化データ!$A$1,106), 27+(($I96+1)*14), TRUE))</f>
        <v>0</v>
      </c>
      <c r="AW96" s="1075">
        <f ca="1">IF($I96=5, 0,VLOOKUP(Myリゾート!$C96,OFFSET(高速化データ!$A$6,0,0,高速化データ!$A$1,106), 28+(($I96+1)*14), TRUE))</f>
        <v>27.68287526427061</v>
      </c>
      <c r="AX96" s="1070">
        <f ca="1">IF($I96=5, 0,VLOOKUP(Myリゾート!$C96,OFFSET(高速化データ!$A$6,0,0,高速化データ!$A$1,106), 29+(($I96+1)*14), TRUE))</f>
        <v>41666</v>
      </c>
      <c r="AY96" s="1066">
        <f ca="1">IF($I96=5, 0, VLOOKUP(Myリゾート!$C96,OFFSET(高速化データ!$A$6,0,0,高速化データ!$A$1,106), 19+(($I96+1)*14), TRUE)-AJ96)</f>
        <v>385</v>
      </c>
      <c r="AZ96" s="1058">
        <f ca="1">IF($I96=5, 0, VLOOKUP(Myリゾート!$C96,OFFSET(高速化データ!$A$6,0,0,高速化データ!$A$1,106), 20+(($I96+1)*14), TRUE)-AK96)</f>
        <v>1925</v>
      </c>
      <c r="BA96" s="1076">
        <f ca="1">IF($I96=5, 0, VLOOKUP(Myリゾート!$C96,OFFSET(高速化データ!$A$6,0,0,高速化データ!$A$1,106), 17+(($I96+1)*14), TRUE)*$B$1/100-VLOOKUP(Myリゾート!$C96,OFFSET(高速化データ!$A$6,0,0,高速化データ!$A$1,106), 16+(($I96+1)*14),TRUE)-AH96)</f>
        <v>8.9375000000000284</v>
      </c>
      <c r="BB96" s="1056">
        <f t="shared" ca="1" si="6"/>
        <v>2750</v>
      </c>
      <c r="BC96" s="1057">
        <f t="shared" ca="1" si="6"/>
        <v>13750</v>
      </c>
      <c r="BD96" s="1068">
        <f t="shared" ca="1" si="7"/>
        <v>66.350000000000051</v>
      </c>
      <c r="BE96" s="9">
        <f t="shared" ca="1" si="8"/>
        <v>180</v>
      </c>
      <c r="BF96" s="7">
        <f t="shared" ca="1" si="8"/>
        <v>130</v>
      </c>
      <c r="BG96" s="7">
        <f t="shared" ca="1" si="9"/>
        <v>1980</v>
      </c>
      <c r="BH96" s="7">
        <f t="shared" ca="1" si="9"/>
        <v>9900</v>
      </c>
      <c r="BI96" s="7">
        <f t="shared" ca="1" si="9"/>
        <v>297</v>
      </c>
      <c r="BJ96" s="7">
        <f t="shared" ca="1" si="9"/>
        <v>1485</v>
      </c>
      <c r="BK96" s="8">
        <f t="shared" ca="1" si="10"/>
        <v>180</v>
      </c>
    </row>
    <row r="97" spans="2:63">
      <c r="B97" s="1125" t="s">
        <v>207</v>
      </c>
      <c r="C97" s="1055">
        <f ca="1">VLOOKUP(Myリゾート!$B97,OFFSET(高速化データ!$DD$6,0,0,高速化データ!$A$1,2), 2, FALSE)</f>
        <v>96</v>
      </c>
      <c r="D97" s="59" t="str">
        <f ca="1">LEFT(VLOOKUP(Myリゾート!$C97,OFFSET(高速化データ!$A$6,0,0,高速化データ!$A$1,106), 3, TRUE),2)</f>
        <v>ショ</v>
      </c>
      <c r="E97" s="1063" t="str">
        <f ca="1">VLOOKUP(Myリゾート!$C97,OFFSET(高速化データ!$A$6,0,0,高速化データ!$A$1,106), 4, TRUE)&amp;""</f>
        <v/>
      </c>
      <c r="F97" s="1064" t="str">
        <f ca="1">VLOOKUP(Myリゾート!$C97,OFFSET(高速化データ!$A$6,0,0,高速化データ!$A$1,106), 5, TRUE)&amp;""</f>
        <v>○</v>
      </c>
      <c r="G97" s="1064" t="str">
        <f ca="1">VLOOKUP(Myリゾート!$C97,OFFSET(高速化データ!$A$6,0,0,高速化データ!$A$1,106), 6, TRUE)&amp;""</f>
        <v/>
      </c>
      <c r="H97" s="1065" t="str">
        <f ca="1">VLOOKUP(Myリゾート!$C97,OFFSET(高速化データ!$A$6,0,0,高速化データ!$A$1,106), 7, TRUE)&amp;""</f>
        <v/>
      </c>
      <c r="I97" s="1131">
        <v>1</v>
      </c>
      <c r="J97" s="1134"/>
      <c r="K97" s="1061">
        <f ca="1">VLOOKUP(Myリゾート!$C97,OFFSET(高速化データ!$A$6,0,0,高速化データ!$A$1,106), 10, TRUE)</f>
        <v>5</v>
      </c>
      <c r="L97" s="1062">
        <f ca="1">VLOOKUP(Myリゾート!$C97,OFFSET(高速化データ!$A$6,0,0,高速化データ!$A$1,106), 12, TRUE)</f>
        <v>1.3870967741935485</v>
      </c>
      <c r="M97" s="1066">
        <f ca="1">VLOOKUP(Myリゾート!$C97,OFFSET(高速化データ!$A$6,0,0,高速化データ!$A$1,106), 86, TRUE)</f>
        <v>430</v>
      </c>
      <c r="N97" s="1058">
        <f ca="1">VLOOKUP(Myリゾート!$C97,OFFSET(高速化データ!$A$6,0,0,高速化データ!$A$1,106), 87, TRUE)</f>
        <v>310</v>
      </c>
      <c r="O97" s="1058">
        <f t="shared" ca="1" si="0"/>
        <v>544.82500000000005</v>
      </c>
      <c r="P97" s="1059">
        <f t="shared" ca="1" si="3"/>
        <v>114.82500000000005</v>
      </c>
      <c r="Q97" s="1061">
        <f ca="1">VLOOKUP(Myリゾート!$C97,OFFSET(高速化データ!$A$6,0,0,高速化データ!$A$1,106), 88, TRUE)</f>
        <v>11</v>
      </c>
      <c r="R97" s="1060">
        <f ca="1">VLOOKUP(Myリゾート!$C97,OFFSET(高速化データ!$A$6,0,0,高速化データ!$A$1,106), 89, TRUE)</f>
        <v>4730</v>
      </c>
      <c r="S97" s="1060">
        <f ca="1">VLOOKUP(Myリゾート!$C97,OFFSET(高速化データ!$A$6,0,0,高速化データ!$A$1,106), 90, TRUE)</f>
        <v>23650</v>
      </c>
      <c r="T97" s="1060">
        <f ca="1">VLOOKUP(Myリゾート!$C97,OFFSET(高速化データ!$A$6,0,0,高速化データ!$A$1,106), 91, TRUE)</f>
        <v>709</v>
      </c>
      <c r="U97" s="1067">
        <f ca="1">VLOOKUP(Myリゾート!$C97,OFFSET(高速化データ!$A$6,0,0,高速化データ!$A$1,106), 92, TRUE)</f>
        <v>3547</v>
      </c>
      <c r="V97" s="1066">
        <f ca="1">VLOOKUP(Myリゾート!$C97,OFFSET(高速化データ!$A$6,0,0,高速化データ!$A$1,106), 30, TRUE)</f>
        <v>144</v>
      </c>
      <c r="W97" s="1058">
        <f ca="1">VLOOKUP(Myリゾート!$C97,OFFSET(高速化データ!$A$6,0,0,高速化データ!$A$1,106), 31, TRUE)</f>
        <v>104</v>
      </c>
      <c r="X97" s="1058">
        <f t="shared" ca="1" si="1"/>
        <v>182.78</v>
      </c>
      <c r="Y97" s="1068">
        <f t="shared" ca="1" si="4"/>
        <v>38.78</v>
      </c>
      <c r="Z97" s="1061">
        <f ca="1">VLOOKUP(Myリゾート!$C97,OFFSET(高速化データ!$A$6,0,0,高速化データ!$A$1,106), 32, TRUE)</f>
        <v>11</v>
      </c>
      <c r="AA97" s="1060">
        <f ca="1">VLOOKUP(Myリゾート!$C97,OFFSET(高速化データ!$A$6,0,0,高速化データ!$A$1,106), 33, TRUE)</f>
        <v>1584</v>
      </c>
      <c r="AB97" s="1060">
        <f ca="1">VLOOKUP(Myリゾート!$C97,OFFSET(高速化データ!$A$6,0,0,高速化データ!$A$1,106), 34, TRUE)</f>
        <v>7920</v>
      </c>
      <c r="AC97" s="1060">
        <f ca="1">VLOOKUP(Myリゾート!$C97,OFFSET(高速化データ!$A$6,0,0,高速化データ!$A$1,106), 35, TRUE)</f>
        <v>237</v>
      </c>
      <c r="AD97" s="1069">
        <f ca="1">VLOOKUP(Myリゾート!$C97,OFFSET(高速化データ!$A$6,0,0,高速化データ!$A$1,106), 36, TRUE)</f>
        <v>1188</v>
      </c>
      <c r="AE97" s="1066">
        <f ca="1">VLOOKUP(Myリゾート!$C97,OFFSET(高速化データ!$A$6,0,0,高速化データ!$A$1,106), 16+($I97*14), TRUE)</f>
        <v>144</v>
      </c>
      <c r="AF97" s="1058">
        <f ca="1">VLOOKUP(Myリゾート!$C97,OFFSET(高速化データ!$A$6,0,0,高速化データ!$A$1,106), 17+($I97*14), TRUE)</f>
        <v>104</v>
      </c>
      <c r="AG97" s="1058">
        <f t="shared" ca="1" si="2"/>
        <v>182.78</v>
      </c>
      <c r="AH97" s="1068">
        <f t="shared" ca="1" si="5"/>
        <v>38.78</v>
      </c>
      <c r="AI97" s="1061">
        <f ca="1">VLOOKUP(Myリゾート!$C97,OFFSET(高速化データ!$A$6,0,0,高速化データ!$A$1,106), 18+($I97*14), TRUE)</f>
        <v>11</v>
      </c>
      <c r="AJ97" s="1058">
        <f ca="1">VLOOKUP(Myリゾート!$C97,OFFSET(高速化データ!$A$6,0,0,高速化データ!$A$1,106), 19+($I97*14), TRUE)</f>
        <v>1584</v>
      </c>
      <c r="AK97" s="1058">
        <f ca="1">VLOOKUP(Myリゾート!$C97,OFFSET(高速化データ!$A$6,0,0,高速化データ!$A$1,106), 20+($I97*14), TRUE)</f>
        <v>7920</v>
      </c>
      <c r="AL97" s="1058">
        <f ca="1">VLOOKUP(Myリゾート!$C97,OFFSET(高速化データ!$A$6,0,0,高速化データ!$A$1,106), 21+($I97*14), TRUE)</f>
        <v>237</v>
      </c>
      <c r="AM97" s="1070">
        <f ca="1">VLOOKUP(Myリゾート!$C97,OFFSET(高速化データ!$A$6,0,0,高速化データ!$A$1,106), 22+($I97*14), TRUE)</f>
        <v>1188</v>
      </c>
      <c r="AN97" s="1072">
        <f ca="1">VLOOKUP(Myリゾート!$C97,OFFSET(高速化データ!$A$6,0,0,高速化データ!$A$1,106), 11, TRUE)</f>
        <v>0.15</v>
      </c>
      <c r="AO97" s="1110">
        <f ca="1">VLOOKUP(Myリゾート!$C97,OFFSET(高速化データ!$A$6,0,0,高速化データ!$A$1,106), 13, TRUE)</f>
        <v>100</v>
      </c>
      <c r="AP97" s="1073" t="str">
        <f ca="1">VLOOKUP(Myリゾート!$C97,OFFSET(高速化データ!$A$6,0,0,高速化データ!$A$1,106), 15, TRUE)</f>
        <v>B</v>
      </c>
      <c r="AQ97" s="1071" t="str">
        <f ca="1">VLOOKUP(Myリゾート!$C97,OFFSET(高速化データ!$A$6,0,0,高速化データ!$A$1,106), 9, TRUE)</f>
        <v>限定</v>
      </c>
      <c r="AR97" s="1112">
        <f ca="1">IF($I97=5, 0,VLOOKUP(Myリゾート!$C97,OFFSET(高速化データ!$A$6,0,0,高速化データ!$A$1,106), 23+(($I97+1)*14), TRUE))</f>
        <v>18</v>
      </c>
      <c r="AS97" s="1058">
        <f ca="1">IF($I97=5, 0,VLOOKUP(Myリゾート!$C97,OFFSET(高速化データ!$A$6,0,0,高速化データ!$A$1,106), 24+(($I97+1)*14), TRUE))</f>
        <v>1000000</v>
      </c>
      <c r="AT97" s="1074">
        <f ca="1">IF($I97=5, 0,VLOOKUP(Myリゾート!$C97,OFFSET(高速化データ!$A$6,0,0,高速化データ!$A$1,106), 25+(($I97+1)*14), TRUE))</f>
        <v>0</v>
      </c>
      <c r="AU97" s="1074">
        <f ca="1">IF($I97=5, 0,VLOOKUP(Myリゾート!$C97,OFFSET(高速化データ!$A$6,0,0,高速化データ!$A$1,106), 26+(($I97+1)*14), TRUE))</f>
        <v>2</v>
      </c>
      <c r="AV97" s="1074">
        <f ca="1">IF($I97=5, 0,VLOOKUP(Myリゾート!$C97,OFFSET(高速化データ!$A$6,0,0,高速化データ!$A$1,106), 27+(($I97+1)*14), TRUE))</f>
        <v>0</v>
      </c>
      <c r="AW97" s="1075">
        <f ca="1">IF($I97=5, 0,VLOOKUP(Myリゾート!$C97,OFFSET(高速化データ!$A$6,0,0,高速化データ!$A$1,106), 28+(($I97+1)*14), TRUE))</f>
        <v>21.643771043771043</v>
      </c>
      <c r="AX97" s="1070">
        <f ca="1">IF($I97=5, 0,VLOOKUP(Myリゾート!$C97,OFFSET(高速化データ!$A$6,0,0,高速化データ!$A$1,106), 29+(($I97+1)*14), TRUE))</f>
        <v>55555</v>
      </c>
      <c r="AY97" s="1066">
        <f ca="1">IF($I97=5, 0, VLOOKUP(Myリゾート!$C97,OFFSET(高速化データ!$A$6,0,0,高速化データ!$A$1,106), 19+(($I97+1)*14), TRUE)-AJ97)</f>
        <v>396</v>
      </c>
      <c r="AZ97" s="1058">
        <f ca="1">IF($I97=5, 0, VLOOKUP(Myリゾート!$C97,OFFSET(高速化データ!$A$6,0,0,高速化データ!$A$1,106), 20+(($I97+1)*14), TRUE)-AK97)</f>
        <v>1980</v>
      </c>
      <c r="BA97" s="1076">
        <f ca="1">IF($I97=5, 0, VLOOKUP(Myリゾート!$C97,OFFSET(高速化データ!$A$6,0,0,高速化データ!$A$1,106), 17+(($I97+1)*14), TRUE)*$B$1/100-VLOOKUP(Myリゾート!$C97,OFFSET(高速化データ!$A$6,0,0,高速化データ!$A$1,106), 16+(($I97+1)*14),TRUE)-AH97)</f>
        <v>9.6949999999999932</v>
      </c>
      <c r="BB97" s="1056">
        <f t="shared" ca="1" si="6"/>
        <v>3146</v>
      </c>
      <c r="BC97" s="1057">
        <f t="shared" ca="1" si="6"/>
        <v>15730</v>
      </c>
      <c r="BD97" s="1068">
        <f t="shared" ca="1" si="7"/>
        <v>76.045000000000044</v>
      </c>
      <c r="BE97" s="9">
        <f t="shared" ca="1" si="8"/>
        <v>144</v>
      </c>
      <c r="BF97" s="7">
        <f t="shared" ca="1" si="8"/>
        <v>104</v>
      </c>
      <c r="BG97" s="7">
        <f t="shared" ca="1" si="9"/>
        <v>1584</v>
      </c>
      <c r="BH97" s="7">
        <f t="shared" ca="1" si="9"/>
        <v>7920</v>
      </c>
      <c r="BI97" s="7">
        <f t="shared" ca="1" si="9"/>
        <v>237</v>
      </c>
      <c r="BJ97" s="7">
        <f t="shared" ca="1" si="9"/>
        <v>1188</v>
      </c>
      <c r="BK97" s="8">
        <f t="shared" ca="1" si="10"/>
        <v>144</v>
      </c>
    </row>
    <row r="98" spans="2:63">
      <c r="B98" s="1125" t="s">
        <v>738</v>
      </c>
      <c r="C98" s="1055">
        <f ca="1">VLOOKUP(Myリゾート!$B98,OFFSET(高速化データ!$DD$6,0,0,高速化データ!$A$1,2), 2, FALSE)</f>
        <v>6042</v>
      </c>
      <c r="D98" s="59" t="str">
        <f ca="1">LEFT(VLOOKUP(Myリゾート!$C98,OFFSET(高速化データ!$A$6,0,0,高速化データ!$A$1,106), 3, TRUE),2)</f>
        <v>ショ</v>
      </c>
      <c r="E98" s="1063" t="str">
        <f ca="1">VLOOKUP(Myリゾート!$C98,OFFSET(高速化データ!$A$6,0,0,高速化データ!$A$1,106), 4, TRUE)&amp;""</f>
        <v/>
      </c>
      <c r="F98" s="1064" t="str">
        <f ca="1">VLOOKUP(Myリゾート!$C98,OFFSET(高速化データ!$A$6,0,0,高速化データ!$A$1,106), 5, TRUE)&amp;""</f>
        <v>○</v>
      </c>
      <c r="G98" s="1064" t="str">
        <f ca="1">VLOOKUP(Myリゾート!$C98,OFFSET(高速化データ!$A$6,0,0,高速化データ!$A$1,106), 6, TRUE)&amp;""</f>
        <v/>
      </c>
      <c r="H98" s="1065" t="str">
        <f ca="1">VLOOKUP(Myリゾート!$C98,OFFSET(高速化データ!$A$6,0,0,高速化データ!$A$1,106), 7, TRUE)&amp;""</f>
        <v/>
      </c>
      <c r="I98" s="1131">
        <v>1</v>
      </c>
      <c r="J98" s="1134"/>
      <c r="K98" s="1061">
        <f ca="1">VLOOKUP(Myリゾート!$C98,OFFSET(高速化データ!$A$6,0,0,高速化データ!$A$1,106), 10, TRUE)</f>
        <v>6</v>
      </c>
      <c r="L98" s="1062">
        <f ca="1">VLOOKUP(Myリゾート!$C98,OFFSET(高速化データ!$A$6,0,0,高速化データ!$A$1,106), 12, TRUE)</f>
        <v>1.3713405238828968</v>
      </c>
      <c r="M98" s="1066">
        <f ca="1">VLOOKUP(Myリゾート!$C98,OFFSET(高速化データ!$A$6,0,0,高速化データ!$A$1,106), 86, TRUE)</f>
        <v>890</v>
      </c>
      <c r="N98" s="1058">
        <f ca="1">VLOOKUP(Myリゾート!$C98,OFFSET(高速化データ!$A$6,0,0,高速化データ!$A$1,106), 87, TRUE)</f>
        <v>649</v>
      </c>
      <c r="O98" s="1058">
        <f t="shared" ca="1" si="0"/>
        <v>1140.6175000000001</v>
      </c>
      <c r="P98" s="1059">
        <f t="shared" ca="1" si="3"/>
        <v>250.61750000000006</v>
      </c>
      <c r="Q98" s="1061">
        <f ca="1">VLOOKUP(Myリゾート!$C98,OFFSET(高速化データ!$A$6,0,0,高速化データ!$A$1,106), 88, TRUE)</f>
        <v>10</v>
      </c>
      <c r="R98" s="1060">
        <f ca="1">VLOOKUP(Myリゾート!$C98,OFFSET(高速化データ!$A$6,0,0,高速化データ!$A$1,106), 89, TRUE)</f>
        <v>8900</v>
      </c>
      <c r="S98" s="1060">
        <f ca="1">VLOOKUP(Myリゾート!$C98,OFFSET(高速化データ!$A$6,0,0,高速化データ!$A$1,106), 90, TRUE)</f>
        <v>53400</v>
      </c>
      <c r="T98" s="1060">
        <f ca="1">VLOOKUP(Myリゾート!$C98,OFFSET(高速化データ!$A$6,0,0,高速化データ!$A$1,106), 91, TRUE)</f>
        <v>1335</v>
      </c>
      <c r="U98" s="1067">
        <f ca="1">VLOOKUP(Myリゾート!$C98,OFFSET(高速化データ!$A$6,0,0,高速化データ!$A$1,106), 92, TRUE)</f>
        <v>8010</v>
      </c>
      <c r="V98" s="1066">
        <f ca="1">VLOOKUP(Myリゾート!$C98,OFFSET(高速化データ!$A$6,0,0,高速化データ!$A$1,106), 30, TRUE)</f>
        <v>297</v>
      </c>
      <c r="W98" s="1058">
        <f ca="1">VLOOKUP(Myリゾート!$C98,OFFSET(高速化データ!$A$6,0,0,高速化データ!$A$1,106), 31, TRUE)</f>
        <v>217</v>
      </c>
      <c r="X98" s="1058">
        <f t="shared" ca="1" si="1"/>
        <v>381.3775</v>
      </c>
      <c r="Y98" s="1068">
        <f t="shared" ca="1" si="4"/>
        <v>84.377499999999998</v>
      </c>
      <c r="Z98" s="1061">
        <f ca="1">VLOOKUP(Myリゾート!$C98,OFFSET(高速化データ!$A$6,0,0,高速化データ!$A$1,106), 32, TRUE)</f>
        <v>10</v>
      </c>
      <c r="AA98" s="1060">
        <f ca="1">VLOOKUP(Myリゾート!$C98,OFFSET(高速化データ!$A$6,0,0,高速化データ!$A$1,106), 33, TRUE)</f>
        <v>2970</v>
      </c>
      <c r="AB98" s="1060">
        <f ca="1">VLOOKUP(Myリゾート!$C98,OFFSET(高速化データ!$A$6,0,0,高速化データ!$A$1,106), 34, TRUE)</f>
        <v>17820</v>
      </c>
      <c r="AC98" s="1060">
        <f ca="1">VLOOKUP(Myリゾート!$C98,OFFSET(高速化データ!$A$6,0,0,高速化データ!$A$1,106), 35, TRUE)</f>
        <v>445</v>
      </c>
      <c r="AD98" s="1069">
        <f ca="1">VLOOKUP(Myリゾート!$C98,OFFSET(高速化データ!$A$6,0,0,高速化データ!$A$1,106), 36, TRUE)</f>
        <v>2673</v>
      </c>
      <c r="AE98" s="1066">
        <f ca="1">VLOOKUP(Myリゾート!$C98,OFFSET(高速化データ!$A$6,0,0,高速化データ!$A$1,106), 16+($I98*14), TRUE)</f>
        <v>297</v>
      </c>
      <c r="AF98" s="1058">
        <f ca="1">VLOOKUP(Myリゾート!$C98,OFFSET(高速化データ!$A$6,0,0,高速化データ!$A$1,106), 17+($I98*14), TRUE)</f>
        <v>217</v>
      </c>
      <c r="AG98" s="1058">
        <f t="shared" ca="1" si="2"/>
        <v>381.3775</v>
      </c>
      <c r="AH98" s="1068">
        <f t="shared" ca="1" si="5"/>
        <v>84.377499999999998</v>
      </c>
      <c r="AI98" s="1061">
        <f ca="1">VLOOKUP(Myリゾート!$C98,OFFSET(高速化データ!$A$6,0,0,高速化データ!$A$1,106), 18+($I98*14), TRUE)</f>
        <v>10</v>
      </c>
      <c r="AJ98" s="1058">
        <f ca="1">VLOOKUP(Myリゾート!$C98,OFFSET(高速化データ!$A$6,0,0,高速化データ!$A$1,106), 19+($I98*14), TRUE)</f>
        <v>2970</v>
      </c>
      <c r="AK98" s="1058">
        <f ca="1">VLOOKUP(Myリゾート!$C98,OFFSET(高速化データ!$A$6,0,0,高速化データ!$A$1,106), 20+($I98*14), TRUE)</f>
        <v>17820</v>
      </c>
      <c r="AL98" s="1058">
        <f ca="1">VLOOKUP(Myリゾート!$C98,OFFSET(高速化データ!$A$6,0,0,高速化データ!$A$1,106), 21+($I98*14), TRUE)</f>
        <v>445</v>
      </c>
      <c r="AM98" s="1070">
        <f ca="1">VLOOKUP(Myリゾート!$C98,OFFSET(高速化データ!$A$6,0,0,高速化データ!$A$1,106), 22+($I98*14), TRUE)</f>
        <v>2673</v>
      </c>
      <c r="AN98" s="1072">
        <f ca="1">VLOOKUP(Myリゾート!$C98,OFFSET(高速化データ!$A$6,0,0,高速化データ!$A$1,106), 11, TRUE)</f>
        <v>0.15</v>
      </c>
      <c r="AO98" s="1110">
        <f ca="1">VLOOKUP(Myリゾート!$C98,OFFSET(高速化データ!$A$6,0,0,高速化データ!$A$1,106), 13, TRUE)</f>
        <v>30</v>
      </c>
      <c r="AP98" s="1073" t="str">
        <f ca="1">VLOOKUP(Myリゾート!$C98,OFFSET(高速化データ!$A$6,0,0,高速化データ!$A$1,106), 15, TRUE)</f>
        <v>B</v>
      </c>
      <c r="AQ98" s="1071" t="str">
        <f ca="1">VLOOKUP(Myリゾート!$C98,OFFSET(高速化データ!$A$6,0,0,高速化データ!$A$1,106), 9, TRUE)</f>
        <v>24限定</v>
      </c>
      <c r="AR98" s="1112">
        <f ca="1">IF($I98=5, 0,VLOOKUP(Myリゾート!$C98,OFFSET(高速化データ!$A$6,0,0,高速化データ!$A$1,106), 23+(($I98+1)*14), TRUE))</f>
        <v>36</v>
      </c>
      <c r="AS98" s="1058">
        <f ca="1">IF($I98=5, 0,VLOOKUP(Myリゾート!$C98,OFFSET(高速化データ!$A$6,0,0,高速化データ!$A$1,106), 24+(($I98+1)*14), TRUE))</f>
        <v>2600000</v>
      </c>
      <c r="AT98" s="1074">
        <f ca="1">IF($I98=5, 0,VLOOKUP(Myリゾート!$C98,OFFSET(高速化データ!$A$6,0,0,高速化データ!$A$1,106), 25+(($I98+1)*14), TRUE))</f>
        <v>0</v>
      </c>
      <c r="AU98" s="1074">
        <f ca="1">IF($I98=5, 0,VLOOKUP(Myリゾート!$C98,OFFSET(高速化データ!$A$6,0,0,高速化データ!$A$1,106), 26+(($I98+1)*14), TRUE))</f>
        <v>6</v>
      </c>
      <c r="AV98" s="1074">
        <f ca="1">IF($I98=5, 0,VLOOKUP(Myリゾート!$C98,OFFSET(高速化データ!$A$6,0,0,高速化データ!$A$1,106), 27+(($I98+1)*14), TRUE))</f>
        <v>0</v>
      </c>
      <c r="AW98" s="1075">
        <f ca="1">IF($I98=5, 0,VLOOKUP(Myリゾート!$C98,OFFSET(高速化データ!$A$6,0,0,高速化データ!$A$1,106), 28+(($I98+1)*14), TRUE))</f>
        <v>30.40116801437556</v>
      </c>
      <c r="AX98" s="1070">
        <f ca="1">IF($I98=5, 0,VLOOKUP(Myリゾート!$C98,OFFSET(高速化データ!$A$6,0,0,高速化データ!$A$1,106), 29+(($I98+1)*14), TRUE))</f>
        <v>72222</v>
      </c>
      <c r="AY98" s="1066">
        <f ca="1">IF($I98=5, 0, VLOOKUP(Myリゾート!$C98,OFFSET(高速化データ!$A$6,0,0,高速化データ!$A$1,106), 19+(($I98+1)*14), TRUE)-AJ98)</f>
        <v>740</v>
      </c>
      <c r="AZ98" s="1058">
        <f ca="1">IF($I98=5, 0, VLOOKUP(Myリゾート!$C98,OFFSET(高速化データ!$A$6,0,0,高速化データ!$A$1,106), 20+(($I98+1)*14), TRUE)-AK98)</f>
        <v>4440</v>
      </c>
      <c r="BA98" s="1076">
        <f ca="1">IF($I98=5, 0, VLOOKUP(Myリゾート!$C98,OFFSET(高速化データ!$A$6,0,0,高速化データ!$A$1,106), 17+(($I98+1)*14), TRUE)*$B$1/100-VLOOKUP(Myリゾート!$C98,OFFSET(高速化データ!$A$6,0,0,高速化データ!$A$1,106), 16+(($I98+1)*14),TRUE)-AH98)</f>
        <v>20.90500000000003</v>
      </c>
      <c r="BB98" s="1056">
        <f t="shared" ca="1" si="6"/>
        <v>5930</v>
      </c>
      <c r="BC98" s="1057">
        <f t="shared" ca="1" si="6"/>
        <v>35580</v>
      </c>
      <c r="BD98" s="1068">
        <f t="shared" ca="1" si="7"/>
        <v>166.24000000000007</v>
      </c>
      <c r="BE98" s="9">
        <f t="shared" ca="1" si="8"/>
        <v>297</v>
      </c>
      <c r="BF98" s="7">
        <f t="shared" ca="1" si="8"/>
        <v>217</v>
      </c>
      <c r="BG98" s="7">
        <f t="shared" ca="1" si="9"/>
        <v>2970</v>
      </c>
      <c r="BH98" s="7">
        <f t="shared" ca="1" si="9"/>
        <v>17820</v>
      </c>
      <c r="BI98" s="7">
        <f t="shared" ca="1" si="9"/>
        <v>445</v>
      </c>
      <c r="BJ98" s="7">
        <f t="shared" ca="1" si="9"/>
        <v>2673</v>
      </c>
      <c r="BK98" s="8">
        <f t="shared" ca="1" si="10"/>
        <v>297</v>
      </c>
    </row>
    <row r="99" spans="2:63">
      <c r="B99" s="1125" t="s">
        <v>738</v>
      </c>
      <c r="C99" s="1055">
        <f ca="1">VLOOKUP(Myリゾート!$B99,OFFSET(高速化データ!$DD$6,0,0,高速化データ!$A$1,2), 2, FALSE)</f>
        <v>6042</v>
      </c>
      <c r="D99" s="59" t="str">
        <f ca="1">LEFT(VLOOKUP(Myリゾート!$C99,OFFSET(高速化データ!$A$6,0,0,高速化データ!$A$1,106), 3, TRUE),2)</f>
        <v>ショ</v>
      </c>
      <c r="E99" s="1063" t="str">
        <f ca="1">VLOOKUP(Myリゾート!$C99,OFFSET(高速化データ!$A$6,0,0,高速化データ!$A$1,106), 4, TRUE)&amp;""</f>
        <v/>
      </c>
      <c r="F99" s="1064" t="str">
        <f ca="1">VLOOKUP(Myリゾート!$C99,OFFSET(高速化データ!$A$6,0,0,高速化データ!$A$1,106), 5, TRUE)&amp;""</f>
        <v>○</v>
      </c>
      <c r="G99" s="1064" t="str">
        <f ca="1">VLOOKUP(Myリゾート!$C99,OFFSET(高速化データ!$A$6,0,0,高速化データ!$A$1,106), 6, TRUE)&amp;""</f>
        <v/>
      </c>
      <c r="H99" s="1065" t="str">
        <f ca="1">VLOOKUP(Myリゾート!$C99,OFFSET(高速化データ!$A$6,0,0,高速化データ!$A$1,106), 7, TRUE)&amp;""</f>
        <v/>
      </c>
      <c r="I99" s="1131">
        <v>2</v>
      </c>
      <c r="J99" s="1134" t="s">
        <v>43</v>
      </c>
      <c r="K99" s="1061">
        <f ca="1">VLOOKUP(Myリゾート!$C99,OFFSET(高速化データ!$A$6,0,0,高速化データ!$A$1,106), 10, TRUE)</f>
        <v>6</v>
      </c>
      <c r="L99" s="1062">
        <f ca="1">VLOOKUP(Myリゾート!$C99,OFFSET(高速化データ!$A$6,0,0,高速化データ!$A$1,106), 12, TRUE)</f>
        <v>1.3713405238828968</v>
      </c>
      <c r="M99" s="1066">
        <f ca="1">VLOOKUP(Myリゾート!$C99,OFFSET(高速化データ!$A$6,0,0,高速化データ!$A$1,106), 86, TRUE)</f>
        <v>890</v>
      </c>
      <c r="N99" s="1058">
        <f ca="1">VLOOKUP(Myリゾート!$C99,OFFSET(高速化データ!$A$6,0,0,高速化データ!$A$1,106), 87, TRUE)</f>
        <v>649</v>
      </c>
      <c r="O99" s="1058">
        <f t="shared" ca="1" si="0"/>
        <v>1140.6175000000001</v>
      </c>
      <c r="P99" s="1059">
        <f t="shared" ca="1" si="3"/>
        <v>250.61750000000006</v>
      </c>
      <c r="Q99" s="1061">
        <f ca="1">VLOOKUP(Myリゾート!$C99,OFFSET(高速化データ!$A$6,0,0,高速化データ!$A$1,106), 88, TRUE)</f>
        <v>10</v>
      </c>
      <c r="R99" s="1060">
        <f ca="1">VLOOKUP(Myリゾート!$C99,OFFSET(高速化データ!$A$6,0,0,高速化データ!$A$1,106), 89, TRUE)</f>
        <v>8900</v>
      </c>
      <c r="S99" s="1060">
        <f ca="1">VLOOKUP(Myリゾート!$C99,OFFSET(高速化データ!$A$6,0,0,高速化データ!$A$1,106), 90, TRUE)</f>
        <v>53400</v>
      </c>
      <c r="T99" s="1060">
        <f ca="1">VLOOKUP(Myリゾート!$C99,OFFSET(高速化データ!$A$6,0,0,高速化データ!$A$1,106), 91, TRUE)</f>
        <v>1335</v>
      </c>
      <c r="U99" s="1067">
        <f ca="1">VLOOKUP(Myリゾート!$C99,OFFSET(高速化データ!$A$6,0,0,高速化データ!$A$1,106), 92, TRUE)</f>
        <v>8010</v>
      </c>
      <c r="V99" s="1066">
        <f ca="1">VLOOKUP(Myリゾート!$C99,OFFSET(高速化データ!$A$6,0,0,高速化データ!$A$1,106), 30, TRUE)</f>
        <v>297</v>
      </c>
      <c r="W99" s="1058">
        <f ca="1">VLOOKUP(Myリゾート!$C99,OFFSET(高速化データ!$A$6,0,0,高速化データ!$A$1,106), 31, TRUE)</f>
        <v>217</v>
      </c>
      <c r="X99" s="1058">
        <f t="shared" ca="1" si="1"/>
        <v>381.3775</v>
      </c>
      <c r="Y99" s="1068">
        <f t="shared" ca="1" si="4"/>
        <v>84.377499999999998</v>
      </c>
      <c r="Z99" s="1061">
        <f ca="1">VLOOKUP(Myリゾート!$C99,OFFSET(高速化データ!$A$6,0,0,高速化データ!$A$1,106), 32, TRUE)</f>
        <v>10</v>
      </c>
      <c r="AA99" s="1060">
        <f ca="1">VLOOKUP(Myリゾート!$C99,OFFSET(高速化データ!$A$6,0,0,高速化データ!$A$1,106), 33, TRUE)</f>
        <v>2970</v>
      </c>
      <c r="AB99" s="1060">
        <f ca="1">VLOOKUP(Myリゾート!$C99,OFFSET(高速化データ!$A$6,0,0,高速化データ!$A$1,106), 34, TRUE)</f>
        <v>17820</v>
      </c>
      <c r="AC99" s="1060">
        <f ca="1">VLOOKUP(Myリゾート!$C99,OFFSET(高速化データ!$A$6,0,0,高速化データ!$A$1,106), 35, TRUE)</f>
        <v>445</v>
      </c>
      <c r="AD99" s="1069">
        <f ca="1">VLOOKUP(Myリゾート!$C99,OFFSET(高速化データ!$A$6,0,0,高速化データ!$A$1,106), 36, TRUE)</f>
        <v>2673</v>
      </c>
      <c r="AE99" s="1066">
        <f ca="1">VLOOKUP(Myリゾート!$C99,OFFSET(高速化データ!$A$6,0,0,高速化データ!$A$1,106), 16+($I99*14), TRUE)</f>
        <v>371</v>
      </c>
      <c r="AF99" s="1058">
        <f ca="1">VLOOKUP(Myリゾート!$C99,OFFSET(高速化データ!$A$6,0,0,高速化データ!$A$1,106), 17+($I99*14), TRUE)</f>
        <v>271</v>
      </c>
      <c r="AG99" s="1058">
        <f t="shared" ca="1" si="2"/>
        <v>476.28250000000003</v>
      </c>
      <c r="AH99" s="1068">
        <f t="shared" ca="1" si="5"/>
        <v>105.28250000000003</v>
      </c>
      <c r="AI99" s="1061">
        <f ca="1">VLOOKUP(Myリゾート!$C99,OFFSET(高速化データ!$A$6,0,0,高速化データ!$A$1,106), 18+($I99*14), TRUE)</f>
        <v>10</v>
      </c>
      <c r="AJ99" s="1058">
        <f ca="1">VLOOKUP(Myリゾート!$C99,OFFSET(高速化データ!$A$6,0,0,高速化データ!$A$1,106), 19+($I99*14), TRUE)</f>
        <v>3710</v>
      </c>
      <c r="AK99" s="1058">
        <f ca="1">VLOOKUP(Myリゾート!$C99,OFFSET(高速化データ!$A$6,0,0,高速化データ!$A$1,106), 20+($I99*14), TRUE)</f>
        <v>22260</v>
      </c>
      <c r="AL99" s="1058">
        <f ca="1">VLOOKUP(Myリゾート!$C99,OFFSET(高速化データ!$A$6,0,0,高速化データ!$A$1,106), 21+($I99*14), TRUE)</f>
        <v>556</v>
      </c>
      <c r="AM99" s="1070">
        <f ca="1">VLOOKUP(Myリゾート!$C99,OFFSET(高速化データ!$A$6,0,0,高速化データ!$A$1,106), 22+($I99*14), TRUE)</f>
        <v>3339</v>
      </c>
      <c r="AN99" s="1072">
        <f ca="1">VLOOKUP(Myリゾート!$C99,OFFSET(高速化データ!$A$6,0,0,高速化データ!$A$1,106), 11, TRUE)</f>
        <v>0.15</v>
      </c>
      <c r="AO99" s="1110">
        <f ca="1">VLOOKUP(Myリゾート!$C99,OFFSET(高速化データ!$A$6,0,0,高速化データ!$A$1,106), 13, TRUE)</f>
        <v>30</v>
      </c>
      <c r="AP99" s="1073" t="str">
        <f ca="1">VLOOKUP(Myリゾート!$C99,OFFSET(高速化データ!$A$6,0,0,高速化データ!$A$1,106), 15, TRUE)</f>
        <v>B</v>
      </c>
      <c r="AQ99" s="1071" t="str">
        <f ca="1">VLOOKUP(Myリゾート!$C99,OFFSET(高速化データ!$A$6,0,0,高速化データ!$A$1,106), 9, TRUE)</f>
        <v>24限定</v>
      </c>
      <c r="AR99" s="1112">
        <f ca="1">IF($I99=5, 0,VLOOKUP(Myリゾート!$C99,OFFSET(高速化データ!$A$6,0,0,高速化データ!$A$1,106), 23+(($I99+1)*14), TRUE))</f>
        <v>96</v>
      </c>
      <c r="AS99" s="1058">
        <f ca="1">IF($I99=5, 0,VLOOKUP(Myリゾート!$C99,OFFSET(高速化データ!$A$6,0,0,高速化データ!$A$1,106), 24+(($I99+1)*14), TRUE))</f>
        <v>3900000</v>
      </c>
      <c r="AT99" s="1074">
        <f ca="1">IF($I99=5, 0,VLOOKUP(Myリゾート!$C99,OFFSET(高速化データ!$A$6,0,0,高速化データ!$A$1,106), 25+(($I99+1)*14), TRUE))</f>
        <v>0</v>
      </c>
      <c r="AU99" s="1074">
        <f ca="1">IF($I99=5, 0,VLOOKUP(Myリゾート!$C99,OFFSET(高速化データ!$A$6,0,0,高速化データ!$A$1,106), 26+(($I99+1)*14), TRUE))</f>
        <v>9</v>
      </c>
      <c r="AV99" s="1074">
        <f ca="1">IF($I99=5, 0,VLOOKUP(Myリゾート!$C99,OFFSET(高速化データ!$A$6,0,0,高速化データ!$A$1,106), 27+(($I99+1)*14), TRUE))</f>
        <v>0</v>
      </c>
      <c r="AW99" s="1075">
        <f ca="1">IF($I99=5, 0,VLOOKUP(Myリゾート!$C99,OFFSET(高速化データ!$A$6,0,0,高速化データ!$A$1,106), 28+(($I99+1)*14), TRUE))</f>
        <v>39.851685393258428</v>
      </c>
      <c r="AX99" s="1070">
        <f ca="1">IF($I99=5, 0,VLOOKUP(Myリゾート!$C99,OFFSET(高速化データ!$A$6,0,0,高速化データ!$A$1,106), 29+(($I99+1)*14), TRUE))</f>
        <v>40625</v>
      </c>
      <c r="AY99" s="1066">
        <f ca="1">IF($I99=5, 0, VLOOKUP(Myリゾート!$C99,OFFSET(高速化データ!$A$6,0,0,高速化データ!$A$1,106), 19+(($I99+1)*14), TRUE)-AJ99)</f>
        <v>740</v>
      </c>
      <c r="AZ99" s="1058">
        <f ca="1">IF($I99=5, 0, VLOOKUP(Myリゾート!$C99,OFFSET(高速化データ!$A$6,0,0,高速化データ!$A$1,106), 20+(($I99+1)*14), TRUE)-AK99)</f>
        <v>4440</v>
      </c>
      <c r="BA99" s="1076">
        <f ca="1">IF($I99=5, 0, VLOOKUP(Myリゾート!$C99,OFFSET(高速化データ!$A$6,0,0,高速化データ!$A$1,106), 17+(($I99+1)*14), TRUE)*$B$1/100-VLOOKUP(Myリゾート!$C99,OFFSET(高速化データ!$A$6,0,0,高速化データ!$A$1,106), 16+(($I99+1)*14),TRUE)-AH99)</f>
        <v>20.904999999999973</v>
      </c>
      <c r="BB99" s="1056">
        <f t="shared" ca="1" si="6"/>
        <v>5190</v>
      </c>
      <c r="BC99" s="1057">
        <f t="shared" ca="1" si="6"/>
        <v>31140</v>
      </c>
      <c r="BD99" s="1068">
        <f t="shared" ca="1" si="7"/>
        <v>145.33500000000004</v>
      </c>
      <c r="BE99" s="9">
        <f t="shared" si="8"/>
        <v>0</v>
      </c>
      <c r="BF99" s="7">
        <f t="shared" si="8"/>
        <v>0</v>
      </c>
      <c r="BG99" s="7">
        <f t="shared" si="9"/>
        <v>0</v>
      </c>
      <c r="BH99" s="7">
        <f t="shared" si="9"/>
        <v>0</v>
      </c>
      <c r="BI99" s="7">
        <f t="shared" si="9"/>
        <v>0</v>
      </c>
      <c r="BJ99" s="7">
        <f t="shared" si="9"/>
        <v>0</v>
      </c>
      <c r="BK99" s="8">
        <f t="shared" ca="1" si="10"/>
        <v>371</v>
      </c>
    </row>
    <row r="100" spans="2:63">
      <c r="B100" s="1125" t="s">
        <v>738</v>
      </c>
      <c r="C100" s="1055">
        <f ca="1">VLOOKUP(Myリゾート!$B100,OFFSET(高速化データ!$DD$6,0,0,高速化データ!$A$1,2), 2, FALSE)</f>
        <v>6042</v>
      </c>
      <c r="D100" s="59" t="str">
        <f ca="1">LEFT(VLOOKUP(Myリゾート!$C100,OFFSET(高速化データ!$A$6,0,0,高速化データ!$A$1,106), 3, TRUE),2)</f>
        <v>ショ</v>
      </c>
      <c r="E100" s="1063" t="str">
        <f ca="1">VLOOKUP(Myリゾート!$C100,OFFSET(高速化データ!$A$6,0,0,高速化データ!$A$1,106), 4, TRUE)&amp;""</f>
        <v/>
      </c>
      <c r="F100" s="1064" t="str">
        <f ca="1">VLOOKUP(Myリゾート!$C100,OFFSET(高速化データ!$A$6,0,0,高速化データ!$A$1,106), 5, TRUE)&amp;""</f>
        <v>○</v>
      </c>
      <c r="G100" s="1064" t="str">
        <f ca="1">VLOOKUP(Myリゾート!$C100,OFFSET(高速化データ!$A$6,0,0,高速化データ!$A$1,106), 6, TRUE)&amp;""</f>
        <v/>
      </c>
      <c r="H100" s="1065" t="str">
        <f ca="1">VLOOKUP(Myリゾート!$C100,OFFSET(高速化データ!$A$6,0,0,高速化データ!$A$1,106), 7, TRUE)&amp;""</f>
        <v/>
      </c>
      <c r="I100" s="1131">
        <v>3</v>
      </c>
      <c r="J100" s="1134"/>
      <c r="K100" s="1061">
        <f ca="1">VLOOKUP(Myリゾート!$C100,OFFSET(高速化データ!$A$6,0,0,高速化データ!$A$1,106), 10, TRUE)</f>
        <v>6</v>
      </c>
      <c r="L100" s="1062">
        <f ca="1">VLOOKUP(Myリゾート!$C100,OFFSET(高速化データ!$A$6,0,0,高速化データ!$A$1,106), 12, TRUE)</f>
        <v>1.3713405238828968</v>
      </c>
      <c r="M100" s="1066">
        <f ca="1">VLOOKUP(Myリゾート!$C100,OFFSET(高速化データ!$A$6,0,0,高速化データ!$A$1,106), 86, TRUE)</f>
        <v>890</v>
      </c>
      <c r="N100" s="1058">
        <f ca="1">VLOOKUP(Myリゾート!$C100,OFFSET(高速化データ!$A$6,0,0,高速化データ!$A$1,106), 87, TRUE)</f>
        <v>649</v>
      </c>
      <c r="O100" s="1058">
        <f t="shared" ca="1" si="0"/>
        <v>1140.6175000000001</v>
      </c>
      <c r="P100" s="1059">
        <f t="shared" ca="1" si="3"/>
        <v>250.61750000000006</v>
      </c>
      <c r="Q100" s="1061">
        <f ca="1">VLOOKUP(Myリゾート!$C100,OFFSET(高速化データ!$A$6,0,0,高速化データ!$A$1,106), 88, TRUE)</f>
        <v>10</v>
      </c>
      <c r="R100" s="1060">
        <f ca="1">VLOOKUP(Myリゾート!$C100,OFFSET(高速化データ!$A$6,0,0,高速化データ!$A$1,106), 89, TRUE)</f>
        <v>8900</v>
      </c>
      <c r="S100" s="1060">
        <f ca="1">VLOOKUP(Myリゾート!$C100,OFFSET(高速化データ!$A$6,0,0,高速化データ!$A$1,106), 90, TRUE)</f>
        <v>53400</v>
      </c>
      <c r="T100" s="1060">
        <f ca="1">VLOOKUP(Myリゾート!$C100,OFFSET(高速化データ!$A$6,0,0,高速化データ!$A$1,106), 91, TRUE)</f>
        <v>1335</v>
      </c>
      <c r="U100" s="1067">
        <f ca="1">VLOOKUP(Myリゾート!$C100,OFFSET(高速化データ!$A$6,0,0,高速化データ!$A$1,106), 92, TRUE)</f>
        <v>8010</v>
      </c>
      <c r="V100" s="1066">
        <f ca="1">VLOOKUP(Myリゾート!$C100,OFFSET(高速化データ!$A$6,0,0,高速化データ!$A$1,106), 30, TRUE)</f>
        <v>297</v>
      </c>
      <c r="W100" s="1058">
        <f ca="1">VLOOKUP(Myリゾート!$C100,OFFSET(高速化データ!$A$6,0,0,高速化データ!$A$1,106), 31, TRUE)</f>
        <v>217</v>
      </c>
      <c r="X100" s="1058">
        <f t="shared" ca="1" si="1"/>
        <v>381.3775</v>
      </c>
      <c r="Y100" s="1068">
        <f t="shared" ca="1" si="4"/>
        <v>84.377499999999998</v>
      </c>
      <c r="Z100" s="1061">
        <f ca="1">VLOOKUP(Myリゾート!$C100,OFFSET(高速化データ!$A$6,0,0,高速化データ!$A$1,106), 32, TRUE)</f>
        <v>10</v>
      </c>
      <c r="AA100" s="1060">
        <f ca="1">VLOOKUP(Myリゾート!$C100,OFFSET(高速化データ!$A$6,0,0,高速化データ!$A$1,106), 33, TRUE)</f>
        <v>2970</v>
      </c>
      <c r="AB100" s="1060">
        <f ca="1">VLOOKUP(Myリゾート!$C100,OFFSET(高速化データ!$A$6,0,0,高速化データ!$A$1,106), 34, TRUE)</f>
        <v>17820</v>
      </c>
      <c r="AC100" s="1060">
        <f ca="1">VLOOKUP(Myリゾート!$C100,OFFSET(高速化データ!$A$6,0,0,高速化データ!$A$1,106), 35, TRUE)</f>
        <v>445</v>
      </c>
      <c r="AD100" s="1069">
        <f ca="1">VLOOKUP(Myリゾート!$C100,OFFSET(高速化データ!$A$6,0,0,高速化データ!$A$1,106), 36, TRUE)</f>
        <v>2673</v>
      </c>
      <c r="AE100" s="1066">
        <f ca="1">VLOOKUP(Myリゾート!$C100,OFFSET(高速化データ!$A$6,0,0,高速化データ!$A$1,106), 16+($I100*14), TRUE)</f>
        <v>445</v>
      </c>
      <c r="AF100" s="1058">
        <f ca="1">VLOOKUP(Myリゾート!$C100,OFFSET(高速化データ!$A$6,0,0,高速化データ!$A$1,106), 17+($I100*14), TRUE)</f>
        <v>325</v>
      </c>
      <c r="AG100" s="1058">
        <f t="shared" ca="1" si="2"/>
        <v>571.1875</v>
      </c>
      <c r="AH100" s="1068">
        <f t="shared" ca="1" si="5"/>
        <v>126.1875</v>
      </c>
      <c r="AI100" s="1061">
        <f ca="1">VLOOKUP(Myリゾート!$C100,OFFSET(高速化データ!$A$6,0,0,高速化データ!$A$1,106), 18+($I100*14), TRUE)</f>
        <v>10</v>
      </c>
      <c r="AJ100" s="1058">
        <f ca="1">VLOOKUP(Myリゾート!$C100,OFFSET(高速化データ!$A$6,0,0,高速化データ!$A$1,106), 19+($I100*14), TRUE)</f>
        <v>4450</v>
      </c>
      <c r="AK100" s="1058">
        <f ca="1">VLOOKUP(Myリゾート!$C100,OFFSET(高速化データ!$A$6,0,0,高速化データ!$A$1,106), 20+($I100*14), TRUE)</f>
        <v>26700</v>
      </c>
      <c r="AL100" s="1058">
        <f ca="1">VLOOKUP(Myリゾート!$C100,OFFSET(高速化データ!$A$6,0,0,高速化データ!$A$1,106), 21+($I100*14), TRUE)</f>
        <v>667</v>
      </c>
      <c r="AM100" s="1070">
        <f ca="1">VLOOKUP(Myリゾート!$C100,OFFSET(高速化データ!$A$6,0,0,高速化データ!$A$1,106), 22+($I100*14), TRUE)</f>
        <v>4005</v>
      </c>
      <c r="AN100" s="1072">
        <f ca="1">VLOOKUP(Myリゾート!$C100,OFFSET(高速化データ!$A$6,0,0,高速化データ!$A$1,106), 11, TRUE)</f>
        <v>0.15</v>
      </c>
      <c r="AO100" s="1110">
        <f ca="1">VLOOKUP(Myリゾート!$C100,OFFSET(高速化データ!$A$6,0,0,高速化データ!$A$1,106), 13, TRUE)</f>
        <v>30</v>
      </c>
      <c r="AP100" s="1073" t="str">
        <f ca="1">VLOOKUP(Myリゾート!$C100,OFFSET(高速化データ!$A$6,0,0,高速化データ!$A$1,106), 15, TRUE)</f>
        <v>B</v>
      </c>
      <c r="AQ100" s="1071" t="str">
        <f ca="1">VLOOKUP(Myリゾート!$C100,OFFSET(高速化データ!$A$6,0,0,高速化データ!$A$1,106), 9, TRUE)</f>
        <v>24限定</v>
      </c>
      <c r="AR100" s="1112">
        <f ca="1">IF($I100=5, 0,VLOOKUP(Myリゾート!$C100,OFFSET(高速化データ!$A$6,0,0,高速化データ!$A$1,106), 23+(($I100+1)*14), TRUE))</f>
        <v>0</v>
      </c>
      <c r="AS100" s="1058">
        <f ca="1">IF($I100=5, 0,VLOOKUP(Myリゾート!$C100,OFFSET(高速化データ!$A$6,0,0,高速化データ!$A$1,106), 24+(($I100+1)*14), TRUE))</f>
        <v>0</v>
      </c>
      <c r="AT100" s="1074">
        <f ca="1">IF($I100=5, 0,VLOOKUP(Myリゾート!$C100,OFFSET(高速化データ!$A$6,0,0,高速化データ!$A$1,106), 25+(($I100+1)*14), TRUE))</f>
        <v>0</v>
      </c>
      <c r="AU100" s="1074">
        <f ca="1">IF($I100=5, 0,VLOOKUP(Myリゾート!$C100,OFFSET(高速化データ!$A$6,0,0,高速化データ!$A$1,106), 26+(($I100+1)*14), TRUE))</f>
        <v>0</v>
      </c>
      <c r="AV100" s="1074">
        <f ca="1">IF($I100=5, 0,VLOOKUP(Myリゾート!$C100,OFFSET(高速化データ!$A$6,0,0,高速化データ!$A$1,106), 27+(($I100+1)*14), TRUE))</f>
        <v>0</v>
      </c>
      <c r="AW100" s="1075">
        <f ca="1">IF($I100=5, 0,VLOOKUP(Myリゾート!$C100,OFFSET(高速化データ!$A$6,0,0,高速化データ!$A$1,106), 28+(($I100+1)*14), TRUE))</f>
        <v>0</v>
      </c>
      <c r="AX100" s="1070">
        <f ca="1">IF($I100=5, 0,VLOOKUP(Myリゾート!$C100,OFFSET(高速化データ!$A$6,0,0,高速化データ!$A$1,106), 29+(($I100+1)*14), TRUE))</f>
        <v>0</v>
      </c>
      <c r="AY100" s="1066">
        <f ca="1">IF($I100=5, 0, VLOOKUP(Myリゾート!$C100,OFFSET(高速化データ!$A$6,0,0,高速化データ!$A$1,106), 19+(($I100+1)*14), TRUE)-AJ100)</f>
        <v>1490</v>
      </c>
      <c r="AZ100" s="1058">
        <f ca="1">IF($I100=5, 0, VLOOKUP(Myリゾート!$C100,OFFSET(高速化データ!$A$6,0,0,高速化データ!$A$1,106), 20+(($I100+1)*14), TRUE)-AK100)</f>
        <v>8940</v>
      </c>
      <c r="BA100" s="1076">
        <f ca="1">IF($I100=5, 0, VLOOKUP(Myリゾート!$C100,OFFSET(高速化データ!$A$6,0,0,高速化データ!$A$1,106), 17+(($I100+1)*14), TRUE)*$B$1/100-VLOOKUP(Myリゾート!$C100,OFFSET(高速化データ!$A$6,0,0,高速化データ!$A$1,106), 16+(($I100+1)*14),TRUE)-AH100)</f>
        <v>40.809999999999945</v>
      </c>
      <c r="BB100" s="1056">
        <f t="shared" ca="1" si="6"/>
        <v>4450</v>
      </c>
      <c r="BC100" s="1057">
        <f t="shared" ca="1" si="6"/>
        <v>26700</v>
      </c>
      <c r="BD100" s="1068">
        <f t="shared" ca="1" si="7"/>
        <v>124.43000000000006</v>
      </c>
      <c r="BE100" s="9">
        <f t="shared" ca="1" si="8"/>
        <v>445</v>
      </c>
      <c r="BF100" s="7">
        <f t="shared" ca="1" si="8"/>
        <v>325</v>
      </c>
      <c r="BG100" s="7">
        <f t="shared" ca="1" si="9"/>
        <v>4450</v>
      </c>
      <c r="BH100" s="7">
        <f t="shared" ca="1" si="9"/>
        <v>26700</v>
      </c>
      <c r="BI100" s="7">
        <f t="shared" ca="1" si="9"/>
        <v>667</v>
      </c>
      <c r="BJ100" s="7">
        <f t="shared" ca="1" si="9"/>
        <v>4005</v>
      </c>
      <c r="BK100" s="8">
        <f t="shared" ca="1" si="10"/>
        <v>445</v>
      </c>
    </row>
    <row r="101" spans="2:63">
      <c r="B101" s="1124" t="s">
        <v>87</v>
      </c>
      <c r="C101" s="1055">
        <f ca="1">VLOOKUP(Myリゾート!$B101,OFFSET(高速化データ!$DD$6,0,0,高速化データ!$A$1,2), 2, FALSE)</f>
        <v>7</v>
      </c>
      <c r="D101" s="59" t="str">
        <f ca="1">LEFT(VLOOKUP(Myリゾート!$C101,OFFSET(高速化データ!$A$6,0,0,高速化データ!$A$1,106), 3, TRUE),2)</f>
        <v>フー</v>
      </c>
      <c r="E101" s="1063" t="str">
        <f ca="1">VLOOKUP(Myリゾート!$C101,OFFSET(高速化データ!$A$6,0,0,高速化データ!$A$1,106), 4, TRUE)&amp;""</f>
        <v/>
      </c>
      <c r="F101" s="1064" t="str">
        <f ca="1">VLOOKUP(Myリゾート!$C101,OFFSET(高速化データ!$A$6,0,0,高速化データ!$A$1,106), 5, TRUE)&amp;""</f>
        <v>○</v>
      </c>
      <c r="G101" s="1064" t="str">
        <f ca="1">VLOOKUP(Myリゾート!$C101,OFFSET(高速化データ!$A$6,0,0,高速化データ!$A$1,106), 6, TRUE)&amp;""</f>
        <v/>
      </c>
      <c r="H101" s="1065" t="str">
        <f ca="1">VLOOKUP(Myリゾート!$C101,OFFSET(高速化データ!$A$6,0,0,高速化データ!$A$1,106), 7, TRUE)&amp;""</f>
        <v/>
      </c>
      <c r="I101" s="1131">
        <v>4</v>
      </c>
      <c r="J101" s="1134"/>
      <c r="K101" s="1061">
        <f ca="1">VLOOKUP(Myリゾート!$C101,OFFSET(高速化データ!$A$6,0,0,高速化データ!$A$1,106), 10, TRUE)</f>
        <v>1.5</v>
      </c>
      <c r="L101" s="1062">
        <f ca="1">VLOOKUP(Myリゾート!$C101,OFFSET(高速化データ!$A$6,0,0,高速化データ!$A$1,106), 12, TRUE)</f>
        <v>0.4854368932038835</v>
      </c>
      <c r="M101" s="1066">
        <f ca="1">VLOOKUP(Myリゾート!$C101,OFFSET(高速化データ!$A$6,0,0,高速化データ!$A$1,106), 86, TRUE)</f>
        <v>100</v>
      </c>
      <c r="N101" s="1058">
        <f ca="1">VLOOKUP(Myリゾート!$C101,OFFSET(高速化データ!$A$6,0,0,高速化データ!$A$1,106), 87, TRUE)</f>
        <v>206</v>
      </c>
      <c r="O101" s="1058">
        <f t="shared" ca="1" si="0"/>
        <v>362.04500000000002</v>
      </c>
      <c r="P101" s="1059">
        <f t="shared" ca="1" si="3"/>
        <v>262.04500000000002</v>
      </c>
      <c r="Q101" s="1061">
        <f ca="1">VLOOKUP(Myリゾート!$C101,OFFSET(高速化データ!$A$6,0,0,高速化データ!$A$1,106), 88, TRUE)</f>
        <v>3</v>
      </c>
      <c r="R101" s="1060">
        <f ca="1">VLOOKUP(Myリゾート!$C101,OFFSET(高速化データ!$A$6,0,0,高速化データ!$A$1,106), 89, TRUE)</f>
        <v>300</v>
      </c>
      <c r="S101" s="1060">
        <f ca="1">VLOOKUP(Myリゾート!$C101,OFFSET(高速化データ!$A$6,0,0,高速化データ!$A$1,106), 90, TRUE)</f>
        <v>450</v>
      </c>
      <c r="T101" s="1060">
        <f ca="1">VLOOKUP(Myリゾート!$C101,OFFSET(高速化データ!$A$6,0,0,高速化データ!$A$1,106), 91, TRUE)</f>
        <v>67</v>
      </c>
      <c r="U101" s="1067">
        <f ca="1">VLOOKUP(Myリゾート!$C101,OFFSET(高速化データ!$A$6,0,0,高速化データ!$A$1,106), 92, TRUE)</f>
        <v>101</v>
      </c>
      <c r="V101" s="1066">
        <f ca="1">VLOOKUP(Myリゾート!$C101,OFFSET(高速化データ!$A$6,0,0,高速化データ!$A$1,106), 30, TRUE)</f>
        <v>50</v>
      </c>
      <c r="W101" s="1058">
        <f ca="1">VLOOKUP(Myリゾート!$C101,OFFSET(高速化データ!$A$6,0,0,高速化データ!$A$1,106), 31, TRUE)</f>
        <v>103</v>
      </c>
      <c r="X101" s="1058">
        <f t="shared" ca="1" si="1"/>
        <v>181.02250000000001</v>
      </c>
      <c r="Y101" s="1068">
        <f t="shared" ca="1" si="4"/>
        <v>131.02250000000001</v>
      </c>
      <c r="Z101" s="1061">
        <f ca="1">VLOOKUP(Myリゾート!$C101,OFFSET(高速化データ!$A$6,0,0,高速化データ!$A$1,106), 32, TRUE)</f>
        <v>3</v>
      </c>
      <c r="AA101" s="1060">
        <f ca="1">VLOOKUP(Myリゾート!$C101,OFFSET(高速化データ!$A$6,0,0,高速化データ!$A$1,106), 33, TRUE)</f>
        <v>150</v>
      </c>
      <c r="AB101" s="1060">
        <f ca="1">VLOOKUP(Myリゾート!$C101,OFFSET(高速化データ!$A$6,0,0,高速化データ!$A$1,106), 34, TRUE)</f>
        <v>225</v>
      </c>
      <c r="AC101" s="1060">
        <f ca="1">VLOOKUP(Myリゾート!$C101,OFFSET(高速化データ!$A$6,0,0,高速化データ!$A$1,106), 35, TRUE)</f>
        <v>33</v>
      </c>
      <c r="AD101" s="1069">
        <f ca="1">VLOOKUP(Myリゾート!$C101,OFFSET(高速化データ!$A$6,0,0,高速化データ!$A$1,106), 36, TRUE)</f>
        <v>50</v>
      </c>
      <c r="AE101" s="1066">
        <f ca="1">VLOOKUP(Myリゾート!$C101,OFFSET(高速化データ!$A$6,0,0,高速化データ!$A$1,106), 16+($I101*14), TRUE)</f>
        <v>95</v>
      </c>
      <c r="AF101" s="1058">
        <f ca="1">VLOOKUP(Myリゾート!$C101,OFFSET(高速化データ!$A$6,0,0,高速化データ!$A$1,106), 17+($I101*14), TRUE)</f>
        <v>195</v>
      </c>
      <c r="AG101" s="1058">
        <f t="shared" ca="1" si="2"/>
        <v>342.71249999999998</v>
      </c>
      <c r="AH101" s="1068">
        <f t="shared" ca="1" si="5"/>
        <v>247.71249999999998</v>
      </c>
      <c r="AI101" s="1061">
        <f ca="1">VLOOKUP(Myリゾート!$C101,OFFSET(高速化データ!$A$6,0,0,高速化データ!$A$1,106), 18+($I101*14), TRUE)</f>
        <v>3</v>
      </c>
      <c r="AJ101" s="1058">
        <f ca="1">VLOOKUP(Myリゾート!$C101,OFFSET(高速化データ!$A$6,0,0,高速化データ!$A$1,106), 19+($I101*14), TRUE)</f>
        <v>285</v>
      </c>
      <c r="AK101" s="1058">
        <f ca="1">VLOOKUP(Myリゾート!$C101,OFFSET(高速化データ!$A$6,0,0,高速化データ!$A$1,106), 20+($I101*14), TRUE)</f>
        <v>427</v>
      </c>
      <c r="AL101" s="1058">
        <f ca="1">VLOOKUP(Myリゾート!$C101,OFFSET(高速化データ!$A$6,0,0,高速化データ!$A$1,106), 21+($I101*14), TRUE)</f>
        <v>64</v>
      </c>
      <c r="AM101" s="1070">
        <f ca="1">VLOOKUP(Myリゾート!$C101,OFFSET(高速化データ!$A$6,0,0,高速化データ!$A$1,106), 22+($I101*14), TRUE)</f>
        <v>96</v>
      </c>
      <c r="AN101" s="1072">
        <f ca="1">VLOOKUP(Myリゾート!$C101,OFFSET(高速化データ!$A$6,0,0,高速化データ!$A$1,106), 11, TRUE)</f>
        <v>0.22500000000000001</v>
      </c>
      <c r="AO101" s="1110">
        <f ca="1">VLOOKUP(Myリゾート!$C101,OFFSET(高速化データ!$A$6,0,0,高速化データ!$A$1,106), 13, TRUE)</f>
        <v>30</v>
      </c>
      <c r="AP101" s="1073" t="str">
        <f ca="1">VLOOKUP(Myリゾート!$C101,OFFSET(高速化データ!$A$6,0,0,高速化データ!$A$1,106), 15, TRUE)</f>
        <v>A</v>
      </c>
      <c r="AQ101" s="1071" t="str">
        <f ca="1">VLOOKUP(Myリゾート!$C101,OFFSET(高速化データ!$A$6,0,0,高速化データ!$A$1,106), 9, TRUE)</f>
        <v>レベル</v>
      </c>
      <c r="AR101" s="1112">
        <f ca="1">IF($I101=5, 0,VLOOKUP(Myリゾート!$C101,OFFSET(高速化データ!$A$6,0,0,高速化データ!$A$1,106), 23+(($I101+1)*14), TRUE))</f>
        <v>2</v>
      </c>
      <c r="AS101" s="1058">
        <f ca="1">IF($I101=5, 0,VLOOKUP(Myリゾート!$C101,OFFSET(高速化データ!$A$6,0,0,高速化データ!$A$1,106), 24+(($I101+1)*14), TRUE))</f>
        <v>12000</v>
      </c>
      <c r="AT101" s="1074">
        <f ca="1">IF($I101=5, 0,VLOOKUP(Myリゾート!$C101,OFFSET(高速化データ!$A$6,0,0,高速化データ!$A$1,106), 25+(($I101+1)*14), TRUE))</f>
        <v>0</v>
      </c>
      <c r="AU101" s="1074">
        <f ca="1">IF($I101=5, 0,VLOOKUP(Myリゾート!$C101,OFFSET(高速化データ!$A$6,0,0,高速化データ!$A$1,106), 26+(($I101+1)*14), TRUE))</f>
        <v>1</v>
      </c>
      <c r="AV101" s="1074">
        <f ca="1">IF($I101=5, 0,VLOOKUP(Myリゾート!$C101,OFFSET(高速化データ!$A$6,0,0,高速化データ!$A$1,106), 27+(($I101+1)*14), TRUE))</f>
        <v>0</v>
      </c>
      <c r="AW101" s="1075">
        <f ca="1">IF($I101=5, 0,VLOOKUP(Myリゾート!$C101,OFFSET(高速化データ!$A$6,0,0,高速化データ!$A$1,106), 28+(($I101+1)*14), TRUE))</f>
        <v>1.7458333333333333</v>
      </c>
      <c r="AX101" s="1070">
        <f ca="1">IF($I101=5, 0,VLOOKUP(Myリゾート!$C101,OFFSET(高速化データ!$A$6,0,0,高速化データ!$A$1,106), 29+(($I101+1)*14), TRUE))</f>
        <v>6000</v>
      </c>
      <c r="AY101" s="1066">
        <f ca="1">IF($I101=5, 0, VLOOKUP(Myリゾート!$C101,OFFSET(高速化データ!$A$6,0,0,高速化データ!$A$1,106), 19+(($I101+1)*14), TRUE)-AJ101)</f>
        <v>15</v>
      </c>
      <c r="AZ101" s="1058">
        <f ca="1">IF($I101=5, 0, VLOOKUP(Myリゾート!$C101,OFFSET(高速化データ!$A$6,0,0,高速化データ!$A$1,106), 20+(($I101+1)*14), TRUE)-AK101)</f>
        <v>23</v>
      </c>
      <c r="BA101" s="1076">
        <f ca="1">IF($I101=5, 0, VLOOKUP(Myリゾート!$C101,OFFSET(高速化データ!$A$6,0,0,高速化データ!$A$1,106), 17+(($I101+1)*14), TRUE)*$B$1/100-VLOOKUP(Myリゾート!$C101,OFFSET(高速化データ!$A$6,0,0,高速化データ!$A$1,106), 16+(($I101+1)*14),TRUE)-AH101)</f>
        <v>14.332500000000039</v>
      </c>
      <c r="BB101" s="1056">
        <f t="shared" ca="1" si="6"/>
        <v>15</v>
      </c>
      <c r="BC101" s="1057">
        <f t="shared" ca="1" si="6"/>
        <v>23</v>
      </c>
      <c r="BD101" s="1068">
        <f t="shared" ca="1" si="7"/>
        <v>14.332500000000039</v>
      </c>
      <c r="BE101" s="9">
        <f t="shared" ca="1" si="8"/>
        <v>95</v>
      </c>
      <c r="BF101" s="7">
        <f t="shared" ca="1" si="8"/>
        <v>195</v>
      </c>
      <c r="BG101" s="7">
        <f t="shared" ca="1" si="9"/>
        <v>285</v>
      </c>
      <c r="BH101" s="7">
        <f t="shared" ca="1" si="9"/>
        <v>427</v>
      </c>
      <c r="BI101" s="7">
        <f t="shared" ca="1" si="9"/>
        <v>64</v>
      </c>
      <c r="BJ101" s="7">
        <f t="shared" ca="1" si="9"/>
        <v>96</v>
      </c>
      <c r="BK101" s="8">
        <f t="shared" ca="1" si="10"/>
        <v>95</v>
      </c>
    </row>
    <row r="102" spans="2:63">
      <c r="B102" s="1124" t="s">
        <v>103</v>
      </c>
      <c r="C102" s="1055">
        <f ca="1">VLOOKUP(Myリゾート!$B102,OFFSET(高速化データ!$DD$6,0,0,高速化データ!$A$1,2), 2, FALSE)</f>
        <v>13</v>
      </c>
      <c r="D102" s="59" t="str">
        <f ca="1">LEFT(VLOOKUP(Myリゾート!$C102,OFFSET(高速化データ!$A$6,0,0,高速化データ!$A$1,106), 3, TRUE),2)</f>
        <v>フー</v>
      </c>
      <c r="E102" s="1063" t="str">
        <f ca="1">VLOOKUP(Myリゾート!$C102,OFFSET(高速化データ!$A$6,0,0,高速化データ!$A$1,106), 4, TRUE)&amp;""</f>
        <v/>
      </c>
      <c r="F102" s="1064" t="str">
        <f ca="1">VLOOKUP(Myリゾート!$C102,OFFSET(高速化データ!$A$6,0,0,高速化データ!$A$1,106), 5, TRUE)&amp;""</f>
        <v>○</v>
      </c>
      <c r="G102" s="1064" t="str">
        <f ca="1">VLOOKUP(Myリゾート!$C102,OFFSET(高速化データ!$A$6,0,0,高速化データ!$A$1,106), 6, TRUE)&amp;""</f>
        <v>○</v>
      </c>
      <c r="H102" s="1065" t="str">
        <f ca="1">VLOOKUP(Myリゾート!$C102,OFFSET(高速化データ!$A$6,0,0,高速化データ!$A$1,106), 7, TRUE)&amp;""</f>
        <v/>
      </c>
      <c r="I102" s="1131">
        <v>5</v>
      </c>
      <c r="J102" s="1134"/>
      <c r="K102" s="1061">
        <f ca="1">VLOOKUP(Myリゾート!$C102,OFFSET(高速化データ!$A$6,0,0,高速化データ!$A$1,106), 10, TRUE)</f>
        <v>1.5</v>
      </c>
      <c r="L102" s="1062">
        <f ca="1">VLOOKUP(Myリゾート!$C102,OFFSET(高速化データ!$A$6,0,0,高速化データ!$A$1,106), 12, TRUE)</f>
        <v>0.49180327868852458</v>
      </c>
      <c r="M102" s="1066">
        <f ca="1">VLOOKUP(Myリゾート!$C102,OFFSET(高速化データ!$A$6,0,0,高速化データ!$A$1,106), 86, TRUE)</f>
        <v>120</v>
      </c>
      <c r="N102" s="1058">
        <f ca="1">VLOOKUP(Myリゾート!$C102,OFFSET(高速化データ!$A$6,0,0,高速化データ!$A$1,106), 87, TRUE)</f>
        <v>244</v>
      </c>
      <c r="O102" s="1058">
        <f t="shared" ca="1" si="0"/>
        <v>428.83</v>
      </c>
      <c r="P102" s="1059">
        <f t="shared" ca="1" si="3"/>
        <v>308.83</v>
      </c>
      <c r="Q102" s="1061">
        <f ca="1">VLOOKUP(Myリゾート!$C102,OFFSET(高速化データ!$A$6,0,0,高速化データ!$A$1,106), 88, TRUE)</f>
        <v>3</v>
      </c>
      <c r="R102" s="1060">
        <f ca="1">VLOOKUP(Myリゾート!$C102,OFFSET(高速化データ!$A$6,0,0,高速化データ!$A$1,106), 89, TRUE)</f>
        <v>360</v>
      </c>
      <c r="S102" s="1060">
        <f ca="1">VLOOKUP(Myリゾート!$C102,OFFSET(高速化データ!$A$6,0,0,高速化データ!$A$1,106), 90, TRUE)</f>
        <v>540</v>
      </c>
      <c r="T102" s="1060">
        <f ca="1">VLOOKUP(Myリゾート!$C102,OFFSET(高速化データ!$A$6,0,0,高速化データ!$A$1,106), 91, TRUE)</f>
        <v>81</v>
      </c>
      <c r="U102" s="1067">
        <f ca="1">VLOOKUP(Myリゾート!$C102,OFFSET(高速化データ!$A$6,0,0,高速化データ!$A$1,106), 92, TRUE)</f>
        <v>121</v>
      </c>
      <c r="V102" s="1066">
        <f ca="1">VLOOKUP(Myリゾート!$C102,OFFSET(高速化データ!$A$6,0,0,高速化データ!$A$1,106), 30, TRUE)</f>
        <v>60</v>
      </c>
      <c r="W102" s="1058">
        <f ca="1">VLOOKUP(Myリゾート!$C102,OFFSET(高速化データ!$A$6,0,0,高速化データ!$A$1,106), 31, TRUE)</f>
        <v>122</v>
      </c>
      <c r="X102" s="1058">
        <f t="shared" ca="1" si="1"/>
        <v>214.41499999999999</v>
      </c>
      <c r="Y102" s="1068">
        <f t="shared" ca="1" si="4"/>
        <v>154.41499999999999</v>
      </c>
      <c r="Z102" s="1061">
        <f ca="1">VLOOKUP(Myリゾート!$C102,OFFSET(高速化データ!$A$6,0,0,高速化データ!$A$1,106), 32, TRUE)</f>
        <v>3</v>
      </c>
      <c r="AA102" s="1060">
        <f ca="1">VLOOKUP(Myリゾート!$C102,OFFSET(高速化データ!$A$6,0,0,高速化データ!$A$1,106), 33, TRUE)</f>
        <v>180</v>
      </c>
      <c r="AB102" s="1060">
        <f ca="1">VLOOKUP(Myリゾート!$C102,OFFSET(高速化データ!$A$6,0,0,高速化データ!$A$1,106), 34, TRUE)</f>
        <v>270</v>
      </c>
      <c r="AC102" s="1060">
        <f ca="1">VLOOKUP(Myリゾート!$C102,OFFSET(高速化データ!$A$6,0,0,高速化データ!$A$1,106), 35, TRUE)</f>
        <v>40</v>
      </c>
      <c r="AD102" s="1069">
        <f ca="1">VLOOKUP(Myリゾート!$C102,OFFSET(高速化データ!$A$6,0,0,高速化データ!$A$1,106), 36, TRUE)</f>
        <v>60</v>
      </c>
      <c r="AE102" s="1066">
        <f ca="1">VLOOKUP(Myリゾート!$C102,OFFSET(高速化データ!$A$6,0,0,高速化データ!$A$1,106), 16+($I102*14), TRUE)</f>
        <v>120</v>
      </c>
      <c r="AF102" s="1058">
        <f ca="1">VLOOKUP(Myリゾート!$C102,OFFSET(高速化データ!$A$6,0,0,高速化データ!$A$1,106), 17+($I102*14), TRUE)</f>
        <v>244</v>
      </c>
      <c r="AG102" s="1058">
        <f t="shared" ca="1" si="2"/>
        <v>428.83</v>
      </c>
      <c r="AH102" s="1068">
        <f t="shared" ca="1" si="5"/>
        <v>308.83</v>
      </c>
      <c r="AI102" s="1061">
        <f ca="1">VLOOKUP(Myリゾート!$C102,OFFSET(高速化データ!$A$6,0,0,高速化データ!$A$1,106), 18+($I102*14), TRUE)</f>
        <v>3</v>
      </c>
      <c r="AJ102" s="1058">
        <f ca="1">VLOOKUP(Myリゾート!$C102,OFFSET(高速化データ!$A$6,0,0,高速化データ!$A$1,106), 19+($I102*14), TRUE)</f>
        <v>360</v>
      </c>
      <c r="AK102" s="1058">
        <f ca="1">VLOOKUP(Myリゾート!$C102,OFFSET(高速化データ!$A$6,0,0,高速化データ!$A$1,106), 20+($I102*14), TRUE)</f>
        <v>540</v>
      </c>
      <c r="AL102" s="1058">
        <f ca="1">VLOOKUP(Myリゾート!$C102,OFFSET(高速化データ!$A$6,0,0,高速化データ!$A$1,106), 21+($I102*14), TRUE)</f>
        <v>81</v>
      </c>
      <c r="AM102" s="1070">
        <f ca="1">VLOOKUP(Myリゾート!$C102,OFFSET(高速化データ!$A$6,0,0,高速化データ!$A$1,106), 22+($I102*14), TRUE)</f>
        <v>121</v>
      </c>
      <c r="AN102" s="1072">
        <f ca="1">VLOOKUP(Myリゾート!$C102,OFFSET(高速化データ!$A$6,0,0,高速化データ!$A$1,106), 11, TRUE)</f>
        <v>0.22500000000000001</v>
      </c>
      <c r="AO102" s="1110">
        <f ca="1">VLOOKUP(Myリゾート!$C102,OFFSET(高速化データ!$A$6,0,0,高速化データ!$A$1,106), 13, TRUE)</f>
        <v>30</v>
      </c>
      <c r="AP102" s="1073" t="str">
        <f ca="1">VLOOKUP(Myリゾート!$C102,OFFSET(高速化データ!$A$6,0,0,高速化データ!$A$1,106), 15, TRUE)</f>
        <v>A</v>
      </c>
      <c r="AQ102" s="1071" t="str">
        <f ca="1">VLOOKUP(Myリゾート!$C102,OFFSET(高速化データ!$A$6,0,0,高速化データ!$A$1,106), 9, TRUE)</f>
        <v>レベル</v>
      </c>
      <c r="AR102" s="1112">
        <f ca="1">IF($I102=5, 0,VLOOKUP(Myリゾート!$C102,OFFSET(高速化データ!$A$6,0,0,高速化データ!$A$1,106), 23+(($I102+1)*14), TRUE))</f>
        <v>0</v>
      </c>
      <c r="AS102" s="1058">
        <f ca="1">IF($I102=5, 0,VLOOKUP(Myリゾート!$C102,OFFSET(高速化データ!$A$6,0,0,高速化データ!$A$1,106), 24+(($I102+1)*14), TRUE))</f>
        <v>0</v>
      </c>
      <c r="AT102" s="1074">
        <f ca="1">IF($I102=5, 0,VLOOKUP(Myリゾート!$C102,OFFSET(高速化データ!$A$6,0,0,高速化データ!$A$1,106), 25+(($I102+1)*14), TRUE))</f>
        <v>0</v>
      </c>
      <c r="AU102" s="1074">
        <f ca="1">IF($I102=5, 0,VLOOKUP(Myリゾート!$C102,OFFSET(高速化データ!$A$6,0,0,高速化データ!$A$1,106), 26+(($I102+1)*14), TRUE))</f>
        <v>0</v>
      </c>
      <c r="AV102" s="1074">
        <f ca="1">IF($I102=5, 0,VLOOKUP(Myリゾート!$C102,OFFSET(高速化データ!$A$6,0,0,高速化データ!$A$1,106), 27+(($I102+1)*14), TRUE))</f>
        <v>0</v>
      </c>
      <c r="AW102" s="1075">
        <f ca="1">IF($I102=5, 0,VLOOKUP(Myリゾート!$C102,OFFSET(高速化データ!$A$6,0,0,高速化データ!$A$1,106), 28+(($I102+1)*14), TRUE))</f>
        <v>0</v>
      </c>
      <c r="AX102" s="1070">
        <f ca="1">IF($I102=5, 0,VLOOKUP(Myリゾート!$C102,OFFSET(高速化データ!$A$6,0,0,高速化データ!$A$1,106), 29+(($I102+1)*14), TRUE))</f>
        <v>0</v>
      </c>
      <c r="AY102" s="1066">
        <f ca="1">IF($I102=5, 0, VLOOKUP(Myリゾート!$C102,OFFSET(高速化データ!$A$6,0,0,高速化データ!$A$1,106), 19+(($I102+1)*14), TRUE)-AJ102)</f>
        <v>0</v>
      </c>
      <c r="AZ102" s="1058">
        <f ca="1">IF($I102=5, 0, VLOOKUP(Myリゾート!$C102,OFFSET(高速化データ!$A$6,0,0,高速化データ!$A$1,106), 20+(($I102+1)*14), TRUE)-AK102)</f>
        <v>0</v>
      </c>
      <c r="BA102" s="1076">
        <f ca="1">IF($I102=5, 0, VLOOKUP(Myリゾート!$C102,OFFSET(高速化データ!$A$6,0,0,高速化データ!$A$1,106), 17+(($I102+1)*14), TRUE)*$B$1/100-VLOOKUP(Myリゾート!$C102,OFFSET(高速化データ!$A$6,0,0,高速化データ!$A$1,106), 16+(($I102+1)*14),TRUE)-AH102)</f>
        <v>0</v>
      </c>
      <c r="BB102" s="1056">
        <f t="shared" ca="1" si="6"/>
        <v>0</v>
      </c>
      <c r="BC102" s="1057">
        <f t="shared" ca="1" si="6"/>
        <v>0</v>
      </c>
      <c r="BD102" s="1068">
        <f t="shared" ca="1" si="7"/>
        <v>0</v>
      </c>
      <c r="BE102" s="9">
        <f t="shared" ca="1" si="8"/>
        <v>120</v>
      </c>
      <c r="BF102" s="7">
        <f t="shared" ca="1" si="8"/>
        <v>244</v>
      </c>
      <c r="BG102" s="7">
        <f t="shared" ca="1" si="9"/>
        <v>360</v>
      </c>
      <c r="BH102" s="7">
        <f t="shared" ca="1" si="9"/>
        <v>540</v>
      </c>
      <c r="BI102" s="7">
        <f t="shared" ca="1" si="9"/>
        <v>81</v>
      </c>
      <c r="BJ102" s="7">
        <f t="shared" ca="1" si="9"/>
        <v>121</v>
      </c>
      <c r="BK102" s="8">
        <f t="shared" ca="1" si="10"/>
        <v>120</v>
      </c>
    </row>
    <row r="103" spans="2:63">
      <c r="B103" s="1124" t="s">
        <v>64</v>
      </c>
      <c r="C103" s="1055">
        <f ca="1">VLOOKUP(Myリゾート!$B103,OFFSET(高速化データ!$DD$6,0,0,高速化データ!$A$1,2), 2, FALSE)</f>
        <v>23</v>
      </c>
      <c r="D103" s="59" t="str">
        <f ca="1">LEFT(VLOOKUP(Myリゾート!$C103,OFFSET(高速化データ!$A$6,0,0,高速化データ!$A$1,106), 3, TRUE),2)</f>
        <v>フー</v>
      </c>
      <c r="E103" s="1063" t="str">
        <f ca="1">VLOOKUP(Myリゾート!$C103,OFFSET(高速化データ!$A$6,0,0,高速化データ!$A$1,106), 4, TRUE)&amp;""</f>
        <v/>
      </c>
      <c r="F103" s="1064" t="str">
        <f ca="1">VLOOKUP(Myリゾート!$C103,OFFSET(高速化データ!$A$6,0,0,高速化データ!$A$1,106), 5, TRUE)&amp;""</f>
        <v>○</v>
      </c>
      <c r="G103" s="1064" t="str">
        <f ca="1">VLOOKUP(Myリゾート!$C103,OFFSET(高速化データ!$A$6,0,0,高速化データ!$A$1,106), 6, TRUE)&amp;""</f>
        <v/>
      </c>
      <c r="H103" s="1065" t="str">
        <f ca="1">VLOOKUP(Myリゾート!$C103,OFFSET(高速化データ!$A$6,0,0,高速化データ!$A$1,106), 7, TRUE)&amp;""</f>
        <v/>
      </c>
      <c r="I103" s="1131">
        <v>5</v>
      </c>
      <c r="J103" s="1134"/>
      <c r="K103" s="1061">
        <f ca="1">VLOOKUP(Myリゾート!$C103,OFFSET(高速化データ!$A$6,0,0,高速化データ!$A$1,106), 10, TRUE)</f>
        <v>1.5</v>
      </c>
      <c r="L103" s="1062">
        <f ca="1">VLOOKUP(Myリゾート!$C103,OFFSET(高速化データ!$A$6,0,0,高速化データ!$A$1,106), 12, TRUE)</f>
        <v>0.50359712230215825</v>
      </c>
      <c r="M103" s="1066">
        <f ca="1">VLOOKUP(Myリゾート!$C103,OFFSET(高速化データ!$A$6,0,0,高速化データ!$A$1,106), 86, TRUE)</f>
        <v>140</v>
      </c>
      <c r="N103" s="1058">
        <f ca="1">VLOOKUP(Myリゾート!$C103,OFFSET(高速化データ!$A$6,0,0,高速化データ!$A$1,106), 87, TRUE)</f>
        <v>278</v>
      </c>
      <c r="O103" s="1058">
        <f t="shared" ca="1" si="0"/>
        <v>488.58499999999998</v>
      </c>
      <c r="P103" s="1059">
        <f t="shared" ca="1" si="3"/>
        <v>348.58499999999998</v>
      </c>
      <c r="Q103" s="1061">
        <f ca="1">VLOOKUP(Myリゾート!$C103,OFFSET(高速化データ!$A$6,0,0,高速化データ!$A$1,106), 88, TRUE)</f>
        <v>3</v>
      </c>
      <c r="R103" s="1060">
        <f ca="1">VLOOKUP(Myリゾート!$C103,OFFSET(高速化データ!$A$6,0,0,高速化データ!$A$1,106), 89, TRUE)</f>
        <v>420</v>
      </c>
      <c r="S103" s="1060">
        <f ca="1">VLOOKUP(Myリゾート!$C103,OFFSET(高速化データ!$A$6,0,0,高速化データ!$A$1,106), 90, TRUE)</f>
        <v>630</v>
      </c>
      <c r="T103" s="1060">
        <f ca="1">VLOOKUP(Myリゾート!$C103,OFFSET(高速化データ!$A$6,0,0,高速化データ!$A$1,106), 91, TRUE)</f>
        <v>94</v>
      </c>
      <c r="U103" s="1067">
        <f ca="1">VLOOKUP(Myリゾート!$C103,OFFSET(高速化データ!$A$6,0,0,高速化データ!$A$1,106), 92, TRUE)</f>
        <v>141</v>
      </c>
      <c r="V103" s="1066">
        <f ca="1">VLOOKUP(Myリゾート!$C103,OFFSET(高速化データ!$A$6,0,0,高速化データ!$A$1,106), 30, TRUE)</f>
        <v>70</v>
      </c>
      <c r="W103" s="1058">
        <f ca="1">VLOOKUP(Myリゾート!$C103,OFFSET(高速化データ!$A$6,0,0,高速化データ!$A$1,106), 31, TRUE)</f>
        <v>139</v>
      </c>
      <c r="X103" s="1058">
        <f t="shared" ca="1" si="1"/>
        <v>244.29249999999999</v>
      </c>
      <c r="Y103" s="1068">
        <f t="shared" ca="1" si="4"/>
        <v>174.29249999999999</v>
      </c>
      <c r="Z103" s="1061">
        <f ca="1">VLOOKUP(Myリゾート!$C103,OFFSET(高速化データ!$A$6,0,0,高速化データ!$A$1,106), 32, TRUE)</f>
        <v>3</v>
      </c>
      <c r="AA103" s="1060">
        <f ca="1">VLOOKUP(Myリゾート!$C103,OFFSET(高速化データ!$A$6,0,0,高速化データ!$A$1,106), 33, TRUE)</f>
        <v>210</v>
      </c>
      <c r="AB103" s="1060">
        <f ca="1">VLOOKUP(Myリゾート!$C103,OFFSET(高速化データ!$A$6,0,0,高速化データ!$A$1,106), 34, TRUE)</f>
        <v>315</v>
      </c>
      <c r="AC103" s="1060">
        <f ca="1">VLOOKUP(Myリゾート!$C103,OFFSET(高速化データ!$A$6,0,0,高速化データ!$A$1,106), 35, TRUE)</f>
        <v>47</v>
      </c>
      <c r="AD103" s="1069">
        <f ca="1">VLOOKUP(Myリゾート!$C103,OFFSET(高速化データ!$A$6,0,0,高速化データ!$A$1,106), 36, TRUE)</f>
        <v>70</v>
      </c>
      <c r="AE103" s="1066">
        <f ca="1">VLOOKUP(Myリゾート!$C103,OFFSET(高速化データ!$A$6,0,0,高速化データ!$A$1,106), 16+($I103*14), TRUE)</f>
        <v>140</v>
      </c>
      <c r="AF103" s="1058">
        <f ca="1">VLOOKUP(Myリゾート!$C103,OFFSET(高速化データ!$A$6,0,0,高速化データ!$A$1,106), 17+($I103*14), TRUE)</f>
        <v>278</v>
      </c>
      <c r="AG103" s="1058">
        <f t="shared" ca="1" si="2"/>
        <v>488.58499999999998</v>
      </c>
      <c r="AH103" s="1068">
        <f t="shared" ca="1" si="5"/>
        <v>348.58499999999998</v>
      </c>
      <c r="AI103" s="1061">
        <f ca="1">VLOOKUP(Myリゾート!$C103,OFFSET(高速化データ!$A$6,0,0,高速化データ!$A$1,106), 18+($I103*14), TRUE)</f>
        <v>3</v>
      </c>
      <c r="AJ103" s="1058">
        <f ca="1">VLOOKUP(Myリゾート!$C103,OFFSET(高速化データ!$A$6,0,0,高速化データ!$A$1,106), 19+($I103*14), TRUE)</f>
        <v>420</v>
      </c>
      <c r="AK103" s="1058">
        <f ca="1">VLOOKUP(Myリゾート!$C103,OFFSET(高速化データ!$A$6,0,0,高速化データ!$A$1,106), 20+($I103*14), TRUE)</f>
        <v>630</v>
      </c>
      <c r="AL103" s="1058">
        <f ca="1">VLOOKUP(Myリゾート!$C103,OFFSET(高速化データ!$A$6,0,0,高速化データ!$A$1,106), 21+($I103*14), TRUE)</f>
        <v>94</v>
      </c>
      <c r="AM103" s="1070">
        <f ca="1">VLOOKUP(Myリゾート!$C103,OFFSET(高速化データ!$A$6,0,0,高速化データ!$A$1,106), 22+($I103*14), TRUE)</f>
        <v>141</v>
      </c>
      <c r="AN103" s="1072">
        <f ca="1">VLOOKUP(Myリゾート!$C103,OFFSET(高速化データ!$A$6,0,0,高速化データ!$A$1,106), 11, TRUE)</f>
        <v>0.22500000000000001</v>
      </c>
      <c r="AO103" s="1110">
        <f ca="1">VLOOKUP(Myリゾート!$C103,OFFSET(高速化データ!$A$6,0,0,高速化データ!$A$1,106), 13, TRUE)</f>
        <v>30</v>
      </c>
      <c r="AP103" s="1073" t="str">
        <f ca="1">VLOOKUP(Myリゾート!$C103,OFFSET(高速化データ!$A$6,0,0,高速化データ!$A$1,106), 15, TRUE)</f>
        <v>A</v>
      </c>
      <c r="AQ103" s="1071" t="str">
        <f ca="1">VLOOKUP(Myリゾート!$C103,OFFSET(高速化データ!$A$6,0,0,高速化データ!$A$1,106), 9, TRUE)</f>
        <v>レベル</v>
      </c>
      <c r="AR103" s="1112">
        <f ca="1">IF($I103=5, 0,VLOOKUP(Myリゾート!$C103,OFFSET(高速化データ!$A$6,0,0,高速化データ!$A$1,106), 23+(($I103+1)*14), TRUE))</f>
        <v>0</v>
      </c>
      <c r="AS103" s="1058">
        <f ca="1">IF($I103=5, 0,VLOOKUP(Myリゾート!$C103,OFFSET(高速化データ!$A$6,0,0,高速化データ!$A$1,106), 24+(($I103+1)*14), TRUE))</f>
        <v>0</v>
      </c>
      <c r="AT103" s="1074">
        <f ca="1">IF($I103=5, 0,VLOOKUP(Myリゾート!$C103,OFFSET(高速化データ!$A$6,0,0,高速化データ!$A$1,106), 25+(($I103+1)*14), TRUE))</f>
        <v>0</v>
      </c>
      <c r="AU103" s="1074">
        <f ca="1">IF($I103=5, 0,VLOOKUP(Myリゾート!$C103,OFFSET(高速化データ!$A$6,0,0,高速化データ!$A$1,106), 26+(($I103+1)*14), TRUE))</f>
        <v>0</v>
      </c>
      <c r="AV103" s="1074">
        <f ca="1">IF($I103=5, 0,VLOOKUP(Myリゾート!$C103,OFFSET(高速化データ!$A$6,0,0,高速化データ!$A$1,106), 27+(($I103+1)*14), TRUE))</f>
        <v>0</v>
      </c>
      <c r="AW103" s="1075">
        <f ca="1">IF($I103=5, 0,VLOOKUP(Myリゾート!$C103,OFFSET(高速化データ!$A$6,0,0,高速化データ!$A$1,106), 28+(($I103+1)*14), TRUE))</f>
        <v>0</v>
      </c>
      <c r="AX103" s="1070">
        <f ca="1">IF($I103=5, 0,VLOOKUP(Myリゾート!$C103,OFFSET(高速化データ!$A$6,0,0,高速化データ!$A$1,106), 29+(($I103+1)*14), TRUE))</f>
        <v>0</v>
      </c>
      <c r="AY103" s="1066">
        <f ca="1">IF($I103=5, 0, VLOOKUP(Myリゾート!$C103,OFFSET(高速化データ!$A$6,0,0,高速化データ!$A$1,106), 19+(($I103+1)*14), TRUE)-AJ103)</f>
        <v>0</v>
      </c>
      <c r="AZ103" s="1058">
        <f ca="1">IF($I103=5, 0, VLOOKUP(Myリゾート!$C103,OFFSET(高速化データ!$A$6,0,0,高速化データ!$A$1,106), 20+(($I103+1)*14), TRUE)-AK103)</f>
        <v>0</v>
      </c>
      <c r="BA103" s="1076">
        <f ca="1">IF($I103=5, 0, VLOOKUP(Myリゾート!$C103,OFFSET(高速化データ!$A$6,0,0,高速化データ!$A$1,106), 17+(($I103+1)*14), TRUE)*$B$1/100-VLOOKUP(Myリゾート!$C103,OFFSET(高速化データ!$A$6,0,0,高速化データ!$A$1,106), 16+(($I103+1)*14),TRUE)-AH103)</f>
        <v>0</v>
      </c>
      <c r="BB103" s="1056">
        <f t="shared" ca="1" si="6"/>
        <v>0</v>
      </c>
      <c r="BC103" s="1057">
        <f t="shared" ca="1" si="6"/>
        <v>0</v>
      </c>
      <c r="BD103" s="1068">
        <f t="shared" ca="1" si="7"/>
        <v>0</v>
      </c>
      <c r="BE103" s="9">
        <f t="shared" ca="1" si="8"/>
        <v>140</v>
      </c>
      <c r="BF103" s="7">
        <f t="shared" ca="1" si="8"/>
        <v>278</v>
      </c>
      <c r="BG103" s="7">
        <f t="shared" ca="1" si="9"/>
        <v>420</v>
      </c>
      <c r="BH103" s="7">
        <f t="shared" ca="1" si="9"/>
        <v>630</v>
      </c>
      <c r="BI103" s="7">
        <f t="shared" ca="1" si="9"/>
        <v>94</v>
      </c>
      <c r="BJ103" s="7">
        <f t="shared" ca="1" si="9"/>
        <v>141</v>
      </c>
      <c r="BK103" s="8">
        <f t="shared" ca="1" si="10"/>
        <v>140</v>
      </c>
    </row>
    <row r="104" spans="2:63">
      <c r="B104" s="1124" t="s">
        <v>88</v>
      </c>
      <c r="C104" s="1055">
        <f ca="1">VLOOKUP(Myリゾート!$B104,OFFSET(高速化データ!$DD$6,0,0,高速化データ!$A$1,2), 2, FALSE)</f>
        <v>30</v>
      </c>
      <c r="D104" s="59" t="str">
        <f ca="1">LEFT(VLOOKUP(Myリゾート!$C104,OFFSET(高速化データ!$A$6,0,0,高速化データ!$A$1,106), 3, TRUE),2)</f>
        <v>フー</v>
      </c>
      <c r="E104" s="1063" t="str">
        <f ca="1">VLOOKUP(Myリゾート!$C104,OFFSET(高速化データ!$A$6,0,0,高速化データ!$A$1,106), 4, TRUE)&amp;""</f>
        <v/>
      </c>
      <c r="F104" s="1064" t="str">
        <f ca="1">VLOOKUP(Myリゾート!$C104,OFFSET(高速化データ!$A$6,0,0,高速化データ!$A$1,106), 5, TRUE)&amp;""</f>
        <v>○</v>
      </c>
      <c r="G104" s="1064" t="str">
        <f ca="1">VLOOKUP(Myリゾート!$C104,OFFSET(高速化データ!$A$6,0,0,高速化データ!$A$1,106), 6, TRUE)&amp;""</f>
        <v/>
      </c>
      <c r="H104" s="1065" t="str">
        <f ca="1">VLOOKUP(Myリゾート!$C104,OFFSET(高速化データ!$A$6,0,0,高速化データ!$A$1,106), 7, TRUE)&amp;""</f>
        <v/>
      </c>
      <c r="I104" s="1131">
        <v>4</v>
      </c>
      <c r="J104" s="1134"/>
      <c r="K104" s="1061">
        <f ca="1">VLOOKUP(Myリゾート!$C104,OFFSET(高速化データ!$A$6,0,0,高速化データ!$A$1,106), 10, TRUE)</f>
        <v>1.75</v>
      </c>
      <c r="L104" s="1062">
        <f ca="1">VLOOKUP(Myリゾート!$C104,OFFSET(高速化データ!$A$6,0,0,高速化データ!$A$1,106), 12, TRUE)</f>
        <v>0.51948051948051943</v>
      </c>
      <c r="M104" s="1066">
        <f ca="1">VLOOKUP(Myリゾート!$C104,OFFSET(高速化データ!$A$6,0,0,高速化データ!$A$1,106), 86, TRUE)</f>
        <v>160</v>
      </c>
      <c r="N104" s="1058">
        <f ca="1">VLOOKUP(Myリゾート!$C104,OFFSET(高速化データ!$A$6,0,0,高速化データ!$A$1,106), 87, TRUE)</f>
        <v>308</v>
      </c>
      <c r="O104" s="1058">
        <f t="shared" ca="1" si="0"/>
        <v>541.30999999999995</v>
      </c>
      <c r="P104" s="1059">
        <f t="shared" ca="1" si="3"/>
        <v>381.30999999999995</v>
      </c>
      <c r="Q104" s="1061">
        <f ca="1">VLOOKUP(Myリゾート!$C104,OFFSET(高速化データ!$A$6,0,0,高速化データ!$A$1,106), 88, TRUE)</f>
        <v>4</v>
      </c>
      <c r="R104" s="1060">
        <f ca="1">VLOOKUP(Myリゾート!$C104,OFFSET(高速化データ!$A$6,0,0,高速化データ!$A$1,106), 89, TRUE)</f>
        <v>640</v>
      </c>
      <c r="S104" s="1060">
        <f ca="1">VLOOKUP(Myリゾート!$C104,OFFSET(高速化データ!$A$6,0,0,高速化データ!$A$1,106), 90, TRUE)</f>
        <v>1120</v>
      </c>
      <c r="T104" s="1060">
        <f ca="1">VLOOKUP(Myリゾート!$C104,OFFSET(高速化データ!$A$6,0,0,高速化データ!$A$1,106), 91, TRUE)</f>
        <v>144</v>
      </c>
      <c r="U104" s="1067">
        <f ca="1">VLOOKUP(Myリゾート!$C104,OFFSET(高速化データ!$A$6,0,0,高速化データ!$A$1,106), 92, TRUE)</f>
        <v>252</v>
      </c>
      <c r="V104" s="1066">
        <f ca="1">VLOOKUP(Myリゾート!$C104,OFFSET(高速化データ!$A$6,0,0,高速化データ!$A$1,106), 30, TRUE)</f>
        <v>80</v>
      </c>
      <c r="W104" s="1058">
        <f ca="1">VLOOKUP(Myリゾート!$C104,OFFSET(高速化データ!$A$6,0,0,高速化データ!$A$1,106), 31, TRUE)</f>
        <v>154</v>
      </c>
      <c r="X104" s="1058">
        <f t="shared" ca="1" si="1"/>
        <v>270.65499999999997</v>
      </c>
      <c r="Y104" s="1068">
        <f t="shared" ca="1" si="4"/>
        <v>190.65499999999997</v>
      </c>
      <c r="Z104" s="1061">
        <f ca="1">VLOOKUP(Myリゾート!$C104,OFFSET(高速化データ!$A$6,0,0,高速化データ!$A$1,106), 32, TRUE)</f>
        <v>4</v>
      </c>
      <c r="AA104" s="1060">
        <f ca="1">VLOOKUP(Myリゾート!$C104,OFFSET(高速化データ!$A$6,0,0,高速化データ!$A$1,106), 33, TRUE)</f>
        <v>320</v>
      </c>
      <c r="AB104" s="1060">
        <f ca="1">VLOOKUP(Myリゾート!$C104,OFFSET(高速化データ!$A$6,0,0,高速化データ!$A$1,106), 34, TRUE)</f>
        <v>560</v>
      </c>
      <c r="AC104" s="1060">
        <f ca="1">VLOOKUP(Myリゾート!$C104,OFFSET(高速化データ!$A$6,0,0,高速化データ!$A$1,106), 35, TRUE)</f>
        <v>72</v>
      </c>
      <c r="AD104" s="1069">
        <f ca="1">VLOOKUP(Myリゾート!$C104,OFFSET(高速化データ!$A$6,0,0,高速化データ!$A$1,106), 36, TRUE)</f>
        <v>126</v>
      </c>
      <c r="AE104" s="1066">
        <f ca="1">VLOOKUP(Myリゾート!$C104,OFFSET(高速化データ!$A$6,0,0,高速化データ!$A$1,106), 16+($I104*14), TRUE)</f>
        <v>152</v>
      </c>
      <c r="AF104" s="1058">
        <f ca="1">VLOOKUP(Myリゾート!$C104,OFFSET(高速化データ!$A$6,0,0,高速化データ!$A$1,106), 17+($I104*14), TRUE)</f>
        <v>292</v>
      </c>
      <c r="AG104" s="1058">
        <f t="shared" ca="1" si="2"/>
        <v>513.19000000000005</v>
      </c>
      <c r="AH104" s="1068">
        <f t="shared" ca="1" si="5"/>
        <v>361.19000000000005</v>
      </c>
      <c r="AI104" s="1061">
        <f ca="1">VLOOKUP(Myリゾート!$C104,OFFSET(高速化データ!$A$6,0,0,高速化データ!$A$1,106), 18+($I104*14), TRUE)</f>
        <v>4</v>
      </c>
      <c r="AJ104" s="1058">
        <f ca="1">VLOOKUP(Myリゾート!$C104,OFFSET(高速化データ!$A$6,0,0,高速化データ!$A$1,106), 19+($I104*14), TRUE)</f>
        <v>608</v>
      </c>
      <c r="AK104" s="1058">
        <f ca="1">VLOOKUP(Myリゾート!$C104,OFFSET(高速化データ!$A$6,0,0,高速化データ!$A$1,106), 20+($I104*14), TRUE)</f>
        <v>1064</v>
      </c>
      <c r="AL104" s="1058">
        <f ca="1">VLOOKUP(Myリゾート!$C104,OFFSET(高速化データ!$A$6,0,0,高速化データ!$A$1,106), 21+($I104*14), TRUE)</f>
        <v>136</v>
      </c>
      <c r="AM104" s="1070">
        <f ca="1">VLOOKUP(Myリゾート!$C104,OFFSET(高速化データ!$A$6,0,0,高速化データ!$A$1,106), 22+($I104*14), TRUE)</f>
        <v>239</v>
      </c>
      <c r="AN104" s="1072">
        <f ca="1">VLOOKUP(Myリゾート!$C104,OFFSET(高速化データ!$A$6,0,0,高速化データ!$A$1,106), 11, TRUE)</f>
        <v>0.22500000000000001</v>
      </c>
      <c r="AO104" s="1110">
        <f ca="1">VLOOKUP(Myリゾート!$C104,OFFSET(高速化データ!$A$6,0,0,高速化データ!$A$1,106), 13, TRUE)</f>
        <v>30</v>
      </c>
      <c r="AP104" s="1073" t="str">
        <f ca="1">VLOOKUP(Myリゾート!$C104,OFFSET(高速化データ!$A$6,0,0,高速化データ!$A$1,106), 15, TRUE)</f>
        <v>A</v>
      </c>
      <c r="AQ104" s="1071" t="str">
        <f ca="1">VLOOKUP(Myリゾート!$C104,OFFSET(高速化データ!$A$6,0,0,高速化データ!$A$1,106), 9, TRUE)</f>
        <v>レベル</v>
      </c>
      <c r="AR104" s="1112">
        <f ca="1">IF($I104=5, 0,VLOOKUP(Myリゾート!$C104,OFFSET(高速化データ!$A$6,0,0,高速化データ!$A$1,106), 23+(($I104+1)*14), TRUE))</f>
        <v>16</v>
      </c>
      <c r="AS104" s="1058">
        <f ca="1">IF($I104=5, 0,VLOOKUP(Myリゾート!$C104,OFFSET(高速化データ!$A$6,0,0,高速化データ!$A$1,106), 24+(($I104+1)*14), TRUE))</f>
        <v>200000</v>
      </c>
      <c r="AT104" s="1074">
        <f ca="1">IF($I104=5, 0,VLOOKUP(Myリゾート!$C104,OFFSET(高速化データ!$A$6,0,0,高速化データ!$A$1,106), 25+(($I104+1)*14), TRUE))</f>
        <v>0</v>
      </c>
      <c r="AU104" s="1074">
        <f ca="1">IF($I104=5, 0,VLOOKUP(Myリゾート!$C104,OFFSET(高速化データ!$A$6,0,0,高速化データ!$A$1,106), 26+(($I104+1)*14), TRUE))</f>
        <v>1</v>
      </c>
      <c r="AV104" s="1074">
        <f ca="1">IF($I104=5, 0,VLOOKUP(Myリゾート!$C104,OFFSET(高速化データ!$A$6,0,0,高速化データ!$A$1,106), 27+(($I104+1)*14), TRUE))</f>
        <v>0</v>
      </c>
      <c r="AW104" s="1075">
        <f ca="1">IF($I104=5, 0,VLOOKUP(Myリゾート!$C104,OFFSET(高速化データ!$A$6,0,0,高速化データ!$A$1,106), 28+(($I104+1)*14), TRUE))</f>
        <v>13.654166666666667</v>
      </c>
      <c r="AX104" s="1070">
        <f ca="1">IF($I104=5, 0,VLOOKUP(Myリゾート!$C104,OFFSET(高速化データ!$A$6,0,0,高速化データ!$A$1,106), 29+(($I104+1)*14), TRUE))</f>
        <v>12500</v>
      </c>
      <c r="AY104" s="1066">
        <f ca="1">IF($I104=5, 0, VLOOKUP(Myリゾート!$C104,OFFSET(高速化データ!$A$6,0,0,高速化データ!$A$1,106), 19+(($I104+1)*14), TRUE)-AJ104)</f>
        <v>32</v>
      </c>
      <c r="AZ104" s="1058">
        <f ca="1">IF($I104=5, 0, VLOOKUP(Myリゾート!$C104,OFFSET(高速化データ!$A$6,0,0,高速化データ!$A$1,106), 20+(($I104+1)*14), TRUE)-AK104)</f>
        <v>56</v>
      </c>
      <c r="BA104" s="1076">
        <f ca="1">IF($I104=5, 0, VLOOKUP(Myリゾート!$C104,OFFSET(高速化データ!$A$6,0,0,高速化データ!$A$1,106), 17+(($I104+1)*14), TRUE)*$B$1/100-VLOOKUP(Myリゾート!$C104,OFFSET(高速化データ!$A$6,0,0,高速化データ!$A$1,106), 16+(($I104+1)*14),TRUE)-AH104)</f>
        <v>20.119999999999891</v>
      </c>
      <c r="BB104" s="1056">
        <f t="shared" ca="1" si="6"/>
        <v>32</v>
      </c>
      <c r="BC104" s="1057">
        <f t="shared" ca="1" si="6"/>
        <v>56</v>
      </c>
      <c r="BD104" s="1068">
        <f t="shared" ca="1" si="7"/>
        <v>20.119999999999891</v>
      </c>
      <c r="BE104" s="9">
        <f t="shared" ca="1" si="8"/>
        <v>152</v>
      </c>
      <c r="BF104" s="7">
        <f t="shared" ca="1" si="8"/>
        <v>292</v>
      </c>
      <c r="BG104" s="7">
        <f t="shared" ca="1" si="9"/>
        <v>608</v>
      </c>
      <c r="BH104" s="7">
        <f t="shared" ca="1" si="9"/>
        <v>1064</v>
      </c>
      <c r="BI104" s="7">
        <f t="shared" ca="1" si="9"/>
        <v>136</v>
      </c>
      <c r="BJ104" s="7">
        <f t="shared" ca="1" si="9"/>
        <v>239</v>
      </c>
      <c r="BK104" s="8">
        <f t="shared" ca="1" si="10"/>
        <v>152</v>
      </c>
    </row>
    <row r="105" spans="2:63">
      <c r="B105" s="1124" t="s">
        <v>66</v>
      </c>
      <c r="C105" s="1055">
        <f ca="1">VLOOKUP(Myリゾート!$B105,OFFSET(高速化データ!$DD$6,0,0,高速化データ!$A$1,2), 2, FALSE)</f>
        <v>32</v>
      </c>
      <c r="D105" s="59" t="str">
        <f ca="1">LEFT(VLOOKUP(Myリゾート!$C105,OFFSET(高速化データ!$A$6,0,0,高速化データ!$A$1,106), 3, TRUE),2)</f>
        <v>フー</v>
      </c>
      <c r="E105" s="1063" t="str">
        <f ca="1">VLOOKUP(Myリゾート!$C105,OFFSET(高速化データ!$A$6,0,0,高速化データ!$A$1,106), 4, TRUE)&amp;""</f>
        <v/>
      </c>
      <c r="F105" s="1064" t="str">
        <f ca="1">VLOOKUP(Myリゾート!$C105,OFFSET(高速化データ!$A$6,0,0,高速化データ!$A$1,106), 5, TRUE)&amp;""</f>
        <v>○</v>
      </c>
      <c r="G105" s="1064" t="str">
        <f ca="1">VLOOKUP(Myリゾート!$C105,OFFSET(高速化データ!$A$6,0,0,高速化データ!$A$1,106), 6, TRUE)&amp;""</f>
        <v>○</v>
      </c>
      <c r="H105" s="1065" t="str">
        <f ca="1">VLOOKUP(Myリゾート!$C105,OFFSET(高速化データ!$A$6,0,0,高速化データ!$A$1,106), 7, TRUE)&amp;""</f>
        <v/>
      </c>
      <c r="I105" s="1131">
        <v>3</v>
      </c>
      <c r="J105" s="1134"/>
      <c r="K105" s="1061">
        <f ca="1">VLOOKUP(Myリゾート!$C105,OFFSET(高速化データ!$A$6,0,0,高速化データ!$A$1,106), 10, TRUE)</f>
        <v>2</v>
      </c>
      <c r="L105" s="1062">
        <f ca="1">VLOOKUP(Myリゾート!$C105,OFFSET(高速化データ!$A$6,0,0,高速化データ!$A$1,106), 12, TRUE)</f>
        <v>0.60509554140127386</v>
      </c>
      <c r="M105" s="1066">
        <f ca="1">VLOOKUP(Myリゾート!$C105,OFFSET(高速化データ!$A$6,0,0,高速化データ!$A$1,106), 86, TRUE)</f>
        <v>190</v>
      </c>
      <c r="N105" s="1058">
        <f ca="1">VLOOKUP(Myリゾート!$C105,OFFSET(高速化データ!$A$6,0,0,高速化データ!$A$1,106), 87, TRUE)</f>
        <v>314</v>
      </c>
      <c r="O105" s="1058">
        <f t="shared" ca="1" si="0"/>
        <v>551.85500000000002</v>
      </c>
      <c r="P105" s="1059">
        <f t="shared" ca="1" si="3"/>
        <v>361.85500000000002</v>
      </c>
      <c r="Q105" s="1061">
        <f ca="1">VLOOKUP(Myリゾート!$C105,OFFSET(高速化データ!$A$6,0,0,高速化データ!$A$1,106), 88, TRUE)</f>
        <v>4</v>
      </c>
      <c r="R105" s="1060">
        <f ca="1">VLOOKUP(Myリゾート!$C105,OFFSET(高速化データ!$A$6,0,0,高速化データ!$A$1,106), 89, TRUE)</f>
        <v>760</v>
      </c>
      <c r="S105" s="1060">
        <f ca="1">VLOOKUP(Myリゾート!$C105,OFFSET(高速化データ!$A$6,0,0,高速化データ!$A$1,106), 90, TRUE)</f>
        <v>1520</v>
      </c>
      <c r="T105" s="1060">
        <f ca="1">VLOOKUP(Myリゾート!$C105,OFFSET(高速化データ!$A$6,0,0,高速化データ!$A$1,106), 91, TRUE)</f>
        <v>171</v>
      </c>
      <c r="U105" s="1067">
        <f ca="1">VLOOKUP(Myリゾート!$C105,OFFSET(高速化データ!$A$6,0,0,高速化データ!$A$1,106), 92, TRUE)</f>
        <v>342</v>
      </c>
      <c r="V105" s="1066">
        <f ca="1">VLOOKUP(Myリゾート!$C105,OFFSET(高速化データ!$A$6,0,0,高速化データ!$A$1,106), 30, TRUE)</f>
        <v>95</v>
      </c>
      <c r="W105" s="1058">
        <f ca="1">VLOOKUP(Myリゾート!$C105,OFFSET(高速化データ!$A$6,0,0,高速化データ!$A$1,106), 31, TRUE)</f>
        <v>157</v>
      </c>
      <c r="X105" s="1058">
        <f t="shared" ca="1" si="1"/>
        <v>275.92750000000001</v>
      </c>
      <c r="Y105" s="1068">
        <f t="shared" ca="1" si="4"/>
        <v>180.92750000000001</v>
      </c>
      <c r="Z105" s="1061">
        <f ca="1">VLOOKUP(Myリゾート!$C105,OFFSET(高速化データ!$A$6,0,0,高速化データ!$A$1,106), 32, TRUE)</f>
        <v>4</v>
      </c>
      <c r="AA105" s="1060">
        <f ca="1">VLOOKUP(Myリゾート!$C105,OFFSET(高速化データ!$A$6,0,0,高速化データ!$A$1,106), 33, TRUE)</f>
        <v>380</v>
      </c>
      <c r="AB105" s="1060">
        <f ca="1">VLOOKUP(Myリゾート!$C105,OFFSET(高速化データ!$A$6,0,0,高速化データ!$A$1,106), 34, TRUE)</f>
        <v>760</v>
      </c>
      <c r="AC105" s="1060">
        <f ca="1">VLOOKUP(Myリゾート!$C105,OFFSET(高速化データ!$A$6,0,0,高速化データ!$A$1,106), 35, TRUE)</f>
        <v>85</v>
      </c>
      <c r="AD105" s="1069">
        <f ca="1">VLOOKUP(Myリゾート!$C105,OFFSET(高速化データ!$A$6,0,0,高速化データ!$A$1,106), 36, TRUE)</f>
        <v>171</v>
      </c>
      <c r="AE105" s="1066">
        <f ca="1">VLOOKUP(Myリゾート!$C105,OFFSET(高速化データ!$A$6,0,0,高速化データ!$A$1,106), 16+($I105*14), TRUE)</f>
        <v>166</v>
      </c>
      <c r="AF105" s="1058">
        <f ca="1">VLOOKUP(Myリゾート!$C105,OFFSET(高速化データ!$A$6,0,0,高速化データ!$A$1,106), 17+($I105*14), TRUE)</f>
        <v>274</v>
      </c>
      <c r="AG105" s="1058">
        <f t="shared" ca="1" si="2"/>
        <v>481.55500000000001</v>
      </c>
      <c r="AH105" s="1068">
        <f t="shared" ca="1" si="5"/>
        <v>315.55500000000001</v>
      </c>
      <c r="AI105" s="1061">
        <f ca="1">VLOOKUP(Myリゾート!$C105,OFFSET(高速化データ!$A$6,0,0,高速化データ!$A$1,106), 18+($I105*14), TRUE)</f>
        <v>4</v>
      </c>
      <c r="AJ105" s="1058">
        <f ca="1">VLOOKUP(Myリゾート!$C105,OFFSET(高速化データ!$A$6,0,0,高速化データ!$A$1,106), 19+($I105*14), TRUE)</f>
        <v>664</v>
      </c>
      <c r="AK105" s="1058">
        <f ca="1">VLOOKUP(Myリゾート!$C105,OFFSET(高速化データ!$A$6,0,0,高速化データ!$A$1,106), 20+($I105*14), TRUE)</f>
        <v>1328</v>
      </c>
      <c r="AL105" s="1058">
        <f ca="1">VLOOKUP(Myリゾート!$C105,OFFSET(高速化データ!$A$6,0,0,高速化データ!$A$1,106), 21+($I105*14), TRUE)</f>
        <v>149</v>
      </c>
      <c r="AM105" s="1070">
        <f ca="1">VLOOKUP(Myリゾート!$C105,OFFSET(高速化データ!$A$6,0,0,高速化データ!$A$1,106), 22+($I105*14), TRUE)</f>
        <v>298</v>
      </c>
      <c r="AN105" s="1072">
        <f ca="1">VLOOKUP(Myリゾート!$C105,OFFSET(高速化データ!$A$6,0,0,高速化データ!$A$1,106), 11, TRUE)</f>
        <v>0.22500000000000001</v>
      </c>
      <c r="AO105" s="1110">
        <f ca="1">VLOOKUP(Myリゾート!$C105,OFFSET(高速化データ!$A$6,0,0,高速化データ!$A$1,106), 13, TRUE)</f>
        <v>30</v>
      </c>
      <c r="AP105" s="1073" t="str">
        <f ca="1">VLOOKUP(Myリゾート!$C105,OFFSET(高速化データ!$A$6,0,0,高速化データ!$A$1,106), 15, TRUE)</f>
        <v>A</v>
      </c>
      <c r="AQ105" s="1071" t="str">
        <f ca="1">VLOOKUP(Myリゾート!$C105,OFFSET(高速化データ!$A$6,0,0,高速化データ!$A$1,106), 9, TRUE)</f>
        <v>レベル</v>
      </c>
      <c r="AR105" s="1112">
        <f ca="1">IF($I105=5, 0,VLOOKUP(Myリゾート!$C105,OFFSET(高速化データ!$A$6,0,0,高速化データ!$A$1,106), 23+(($I105+1)*14), TRUE))</f>
        <v>15</v>
      </c>
      <c r="AS105" s="1058">
        <f ca="1">IF($I105=5, 0,VLOOKUP(Myリゾート!$C105,OFFSET(高速化データ!$A$6,0,0,高速化データ!$A$1,106), 24+(($I105+1)*14), TRUE))</f>
        <v>240000</v>
      </c>
      <c r="AT105" s="1074">
        <f ca="1">IF($I105=5, 0,VLOOKUP(Myリゾート!$C105,OFFSET(高速化データ!$A$6,0,0,高速化データ!$A$1,106), 25+(($I105+1)*14), TRUE))</f>
        <v>0</v>
      </c>
      <c r="AU105" s="1074">
        <f ca="1">IF($I105=5, 0,VLOOKUP(Myリゾート!$C105,OFFSET(高速化データ!$A$6,0,0,高速化データ!$A$1,106), 26+(($I105+1)*14), TRUE))</f>
        <v>0</v>
      </c>
      <c r="AV105" s="1074">
        <f ca="1">IF($I105=5, 0,VLOOKUP(Myリゾート!$C105,OFFSET(高速化データ!$A$6,0,0,高速化データ!$A$1,106), 27+(($I105+1)*14), TRUE))</f>
        <v>0</v>
      </c>
      <c r="AW105" s="1075">
        <f ca="1">IF($I105=5, 0,VLOOKUP(Myリゾート!$C105,OFFSET(高速化データ!$A$6,0,0,高速化データ!$A$1,106), 28+(($I105+1)*14), TRUE))</f>
        <v>14.465277777777779</v>
      </c>
      <c r="AX105" s="1070">
        <f ca="1">IF($I105=5, 0,VLOOKUP(Myリゾート!$C105,OFFSET(高速化データ!$A$6,0,0,高速化データ!$A$1,106), 29+(($I105+1)*14), TRUE))</f>
        <v>16000</v>
      </c>
      <c r="AY105" s="1066">
        <f ca="1">IF($I105=5, 0, VLOOKUP(Myリゾート!$C105,OFFSET(高速化データ!$A$6,0,0,高速化データ!$A$1,106), 19+(($I105+1)*14), TRUE)-AJ105)</f>
        <v>56</v>
      </c>
      <c r="AZ105" s="1058">
        <f ca="1">IF($I105=5, 0, VLOOKUP(Myリゾート!$C105,OFFSET(高速化データ!$A$6,0,0,高速化データ!$A$1,106), 20+(($I105+1)*14), TRUE)-AK105)</f>
        <v>112</v>
      </c>
      <c r="BA105" s="1076">
        <f ca="1">IF($I105=5, 0, VLOOKUP(Myリゾート!$C105,OFFSET(高速化データ!$A$6,0,0,高速化データ!$A$1,106), 17+(($I105+1)*14), TRUE)*$B$1/100-VLOOKUP(Myリゾート!$C105,OFFSET(高速化データ!$A$6,0,0,高速化データ!$A$1,106), 16+(($I105+1)*14),TRUE)-AH105)</f>
        <v>28.180000000000007</v>
      </c>
      <c r="BB105" s="1056">
        <f t="shared" ca="1" si="6"/>
        <v>96</v>
      </c>
      <c r="BC105" s="1057">
        <f t="shared" ca="1" si="6"/>
        <v>192</v>
      </c>
      <c r="BD105" s="1068">
        <f t="shared" ca="1" si="7"/>
        <v>46.300000000000011</v>
      </c>
      <c r="BE105" s="9">
        <f t="shared" ca="1" si="8"/>
        <v>166</v>
      </c>
      <c r="BF105" s="7">
        <f t="shared" ca="1" si="8"/>
        <v>274</v>
      </c>
      <c r="BG105" s="7">
        <f t="shared" ca="1" si="9"/>
        <v>664</v>
      </c>
      <c r="BH105" s="7">
        <f t="shared" ca="1" si="9"/>
        <v>1328</v>
      </c>
      <c r="BI105" s="7">
        <f t="shared" ca="1" si="9"/>
        <v>149</v>
      </c>
      <c r="BJ105" s="7">
        <f t="shared" ca="1" si="9"/>
        <v>298</v>
      </c>
      <c r="BK105" s="8">
        <f t="shared" ca="1" si="10"/>
        <v>166</v>
      </c>
    </row>
    <row r="106" spans="2:63">
      <c r="B106" s="1124" t="s">
        <v>32</v>
      </c>
      <c r="C106" s="1055">
        <f ca="1">VLOOKUP(Myリゾート!$B106,OFFSET(高速化データ!$DD$6,0,0,高速化データ!$A$1,2), 2, FALSE)</f>
        <v>41</v>
      </c>
      <c r="D106" s="59" t="str">
        <f ca="1">LEFT(VLOOKUP(Myリゾート!$C106,OFFSET(高速化データ!$A$6,0,0,高速化データ!$A$1,106), 3, TRUE),2)</f>
        <v>フー</v>
      </c>
      <c r="E106" s="1063" t="str">
        <f ca="1">VLOOKUP(Myリゾート!$C106,OFFSET(高速化データ!$A$6,0,0,高速化データ!$A$1,106), 4, TRUE)&amp;""</f>
        <v/>
      </c>
      <c r="F106" s="1064" t="str">
        <f ca="1">VLOOKUP(Myリゾート!$C106,OFFSET(高速化データ!$A$6,0,0,高速化データ!$A$1,106), 5, TRUE)&amp;""</f>
        <v>○</v>
      </c>
      <c r="G106" s="1064" t="str">
        <f ca="1">VLOOKUP(Myリゾート!$C106,OFFSET(高速化データ!$A$6,0,0,高速化データ!$A$1,106), 6, TRUE)&amp;""</f>
        <v/>
      </c>
      <c r="H106" s="1065" t="str">
        <f ca="1">VLOOKUP(Myリゾート!$C106,OFFSET(高速化データ!$A$6,0,0,高速化データ!$A$1,106), 7, TRUE)&amp;""</f>
        <v/>
      </c>
      <c r="I106" s="1131">
        <v>2</v>
      </c>
      <c r="J106" s="1134"/>
      <c r="K106" s="1061">
        <f ca="1">VLOOKUP(Myリゾート!$C106,OFFSET(高速化データ!$A$6,0,0,高速化データ!$A$1,106), 10, TRUE)</f>
        <v>2.25</v>
      </c>
      <c r="L106" s="1062">
        <f ca="1">VLOOKUP(Myリゾート!$C106,OFFSET(高速化データ!$A$6,0,0,高速化データ!$A$1,106), 12, TRUE)</f>
        <v>0.6875</v>
      </c>
      <c r="M106" s="1066">
        <f ca="1">VLOOKUP(Myリゾート!$C106,OFFSET(高速化データ!$A$6,0,0,高速化データ!$A$1,106), 86, TRUE)</f>
        <v>220</v>
      </c>
      <c r="N106" s="1058">
        <f ca="1">VLOOKUP(Myリゾート!$C106,OFFSET(高速化データ!$A$6,0,0,高速化データ!$A$1,106), 87, TRUE)</f>
        <v>320</v>
      </c>
      <c r="O106" s="1058">
        <f t="shared" ca="1" si="0"/>
        <v>562.4</v>
      </c>
      <c r="P106" s="1059">
        <f t="shared" ca="1" si="3"/>
        <v>342.4</v>
      </c>
      <c r="Q106" s="1061">
        <f ca="1">VLOOKUP(Myリゾート!$C106,OFFSET(高速化データ!$A$6,0,0,高速化データ!$A$1,106), 88, TRUE)</f>
        <v>4</v>
      </c>
      <c r="R106" s="1060">
        <f ca="1">VLOOKUP(Myリゾート!$C106,OFFSET(高速化データ!$A$6,0,0,高速化データ!$A$1,106), 89, TRUE)</f>
        <v>880</v>
      </c>
      <c r="S106" s="1060">
        <f ca="1">VLOOKUP(Myリゾート!$C106,OFFSET(高速化データ!$A$6,0,0,高速化データ!$A$1,106), 90, TRUE)</f>
        <v>1980</v>
      </c>
      <c r="T106" s="1060">
        <f ca="1">VLOOKUP(Myリゾート!$C106,OFFSET(高速化データ!$A$6,0,0,高速化データ!$A$1,106), 91, TRUE)</f>
        <v>198</v>
      </c>
      <c r="U106" s="1067">
        <f ca="1">VLOOKUP(Myリゾート!$C106,OFFSET(高速化データ!$A$6,0,0,高速化データ!$A$1,106), 92, TRUE)</f>
        <v>445</v>
      </c>
      <c r="V106" s="1066">
        <f ca="1">VLOOKUP(Myリゾート!$C106,OFFSET(高速化データ!$A$6,0,0,高速化データ!$A$1,106), 30, TRUE)</f>
        <v>110</v>
      </c>
      <c r="W106" s="1058">
        <f ca="1">VLOOKUP(Myリゾート!$C106,OFFSET(高速化データ!$A$6,0,0,高速化データ!$A$1,106), 31, TRUE)</f>
        <v>160</v>
      </c>
      <c r="X106" s="1058">
        <f t="shared" ca="1" si="1"/>
        <v>281.2</v>
      </c>
      <c r="Y106" s="1068">
        <f t="shared" ca="1" si="4"/>
        <v>171.2</v>
      </c>
      <c r="Z106" s="1061">
        <f ca="1">VLOOKUP(Myリゾート!$C106,OFFSET(高速化データ!$A$6,0,0,高速化データ!$A$1,106), 32, TRUE)</f>
        <v>4</v>
      </c>
      <c r="AA106" s="1060">
        <f ca="1">VLOOKUP(Myリゾート!$C106,OFFSET(高速化データ!$A$6,0,0,高速化データ!$A$1,106), 33, TRUE)</f>
        <v>440</v>
      </c>
      <c r="AB106" s="1060">
        <f ca="1">VLOOKUP(Myリゾート!$C106,OFFSET(高速化データ!$A$6,0,0,高速化データ!$A$1,106), 34, TRUE)</f>
        <v>990</v>
      </c>
      <c r="AC106" s="1060">
        <f ca="1">VLOOKUP(Myリゾート!$C106,OFFSET(高速化データ!$A$6,0,0,高速化データ!$A$1,106), 35, TRUE)</f>
        <v>99</v>
      </c>
      <c r="AD106" s="1069">
        <f ca="1">VLOOKUP(Myリゾート!$C106,OFFSET(高速化データ!$A$6,0,0,高速化データ!$A$1,106), 36, TRUE)</f>
        <v>222</v>
      </c>
      <c r="AE106" s="1066">
        <f ca="1">VLOOKUP(Myリゾート!$C106,OFFSET(高速化データ!$A$6,0,0,高速化データ!$A$1,106), 16+($I106*14), TRUE)</f>
        <v>165</v>
      </c>
      <c r="AF106" s="1058">
        <f ca="1">VLOOKUP(Myリゾート!$C106,OFFSET(高速化データ!$A$6,0,0,高速化データ!$A$1,106), 17+($I106*14), TRUE)</f>
        <v>240</v>
      </c>
      <c r="AG106" s="1058">
        <f t="shared" ca="1" si="2"/>
        <v>421.8</v>
      </c>
      <c r="AH106" s="1068">
        <f t="shared" ca="1" si="5"/>
        <v>256.8</v>
      </c>
      <c r="AI106" s="1061">
        <f ca="1">VLOOKUP(Myリゾート!$C106,OFFSET(高速化データ!$A$6,0,0,高速化データ!$A$1,106), 18+($I106*14), TRUE)</f>
        <v>4</v>
      </c>
      <c r="AJ106" s="1058">
        <f ca="1">VLOOKUP(Myリゾート!$C106,OFFSET(高速化データ!$A$6,0,0,高速化データ!$A$1,106), 19+($I106*14), TRUE)</f>
        <v>660</v>
      </c>
      <c r="AK106" s="1058">
        <f ca="1">VLOOKUP(Myリゾート!$C106,OFFSET(高速化データ!$A$6,0,0,高速化データ!$A$1,106), 20+($I106*14), TRUE)</f>
        <v>1485</v>
      </c>
      <c r="AL106" s="1058">
        <f ca="1">VLOOKUP(Myリゾート!$C106,OFFSET(高速化データ!$A$6,0,0,高速化データ!$A$1,106), 21+($I106*14), TRUE)</f>
        <v>148</v>
      </c>
      <c r="AM106" s="1070">
        <f ca="1">VLOOKUP(Myリゾート!$C106,OFFSET(高速化データ!$A$6,0,0,高速化データ!$A$1,106), 22+($I106*14), TRUE)</f>
        <v>334</v>
      </c>
      <c r="AN106" s="1072">
        <f ca="1">VLOOKUP(Myリゾート!$C106,OFFSET(高速化データ!$A$6,0,0,高速化データ!$A$1,106), 11, TRUE)</f>
        <v>0.22500000000000001</v>
      </c>
      <c r="AO106" s="1110">
        <f ca="1">VLOOKUP(Myリゾート!$C106,OFFSET(高速化データ!$A$6,0,0,高速化データ!$A$1,106), 13, TRUE)</f>
        <v>30</v>
      </c>
      <c r="AP106" s="1073" t="str">
        <f ca="1">VLOOKUP(Myリゾート!$C106,OFFSET(高速化データ!$A$6,0,0,高速化データ!$A$1,106), 15, TRUE)</f>
        <v>A</v>
      </c>
      <c r="AQ106" s="1071" t="str">
        <f ca="1">VLOOKUP(Myリゾート!$C106,OFFSET(高速化データ!$A$6,0,0,高速化データ!$A$1,106), 9, TRUE)</f>
        <v>レベル</v>
      </c>
      <c r="AR106" s="1112">
        <f ca="1">IF($I106=5, 0,VLOOKUP(Myリゾート!$C106,OFFSET(高速化データ!$A$6,0,0,高速化データ!$A$1,106), 23+(($I106+1)*14), TRUE))</f>
        <v>36</v>
      </c>
      <c r="AS106" s="1058">
        <f ca="1">IF($I106=5, 0,VLOOKUP(Myリゾート!$C106,OFFSET(高速化データ!$A$6,0,0,高速化データ!$A$1,106), 24+(($I106+1)*14), TRUE))</f>
        <v>750000</v>
      </c>
      <c r="AT106" s="1074">
        <f ca="1">IF($I106=5, 0,VLOOKUP(Myリゾート!$C106,OFFSET(高速化データ!$A$6,0,0,高速化データ!$A$1,106), 25+(($I106+1)*14), TRUE))</f>
        <v>1</v>
      </c>
      <c r="AU106" s="1074">
        <f ca="1">IF($I106=5, 0,VLOOKUP(Myリゾート!$C106,OFFSET(高速化データ!$A$6,0,0,高速化データ!$A$1,106), 26+(($I106+1)*14), TRUE))</f>
        <v>0</v>
      </c>
      <c r="AV106" s="1074">
        <f ca="1">IF($I106=5, 0,VLOOKUP(Myリゾート!$C106,OFFSET(高速化データ!$A$6,0,0,高速化データ!$A$1,106), 27+(($I106+1)*14), TRUE))</f>
        <v>0</v>
      </c>
      <c r="AW106" s="1075">
        <f ca="1">IF($I106=5, 0,VLOOKUP(Myリゾート!$C106,OFFSET(高速化データ!$A$6,0,0,高速化データ!$A$1,106), 28+(($I106+1)*14), TRUE))</f>
        <v>41.979166666666664</v>
      </c>
      <c r="AX106" s="1070">
        <f ca="1">IF($I106=5, 0,VLOOKUP(Myリゾート!$C106,OFFSET(高速化データ!$A$6,0,0,高速化データ!$A$1,106), 29+(($I106+1)*14), TRUE))</f>
        <v>20833</v>
      </c>
      <c r="AY106" s="1066">
        <f ca="1">IF($I106=5, 0, VLOOKUP(Myリゾート!$C106,OFFSET(高速化データ!$A$6,0,0,高速化データ!$A$1,106), 19+(($I106+1)*14), TRUE)-AJ106)</f>
        <v>108</v>
      </c>
      <c r="AZ106" s="1058">
        <f ca="1">IF($I106=5, 0, VLOOKUP(Myリゾート!$C106,OFFSET(高速化データ!$A$6,0,0,高速化データ!$A$1,106), 20+(($I106+1)*14), TRUE)-AK106)</f>
        <v>243</v>
      </c>
      <c r="BA106" s="1076">
        <f ca="1">IF($I106=5, 0, VLOOKUP(Myリゾート!$C106,OFFSET(高速化データ!$A$6,0,0,高速化データ!$A$1,106), 17+(($I106+1)*14), TRUE)*$B$1/100-VLOOKUP(Myリゾート!$C106,OFFSET(高速化データ!$A$6,0,0,高速化データ!$A$1,106), 16+(($I106+1)*14),TRUE)-AH106)</f>
        <v>43.300000000000011</v>
      </c>
      <c r="BB106" s="1056">
        <f t="shared" ca="1" si="6"/>
        <v>220</v>
      </c>
      <c r="BC106" s="1057">
        <f t="shared" ca="1" si="6"/>
        <v>495</v>
      </c>
      <c r="BD106" s="1068">
        <f t="shared" ca="1" si="7"/>
        <v>85.599999999999966</v>
      </c>
      <c r="BE106" s="9">
        <f t="shared" ca="1" si="8"/>
        <v>165</v>
      </c>
      <c r="BF106" s="7">
        <f t="shared" ca="1" si="8"/>
        <v>240</v>
      </c>
      <c r="BG106" s="7">
        <f t="shared" ca="1" si="9"/>
        <v>660</v>
      </c>
      <c r="BH106" s="7">
        <f t="shared" ca="1" si="9"/>
        <v>1485</v>
      </c>
      <c r="BI106" s="7">
        <f t="shared" ca="1" si="9"/>
        <v>148</v>
      </c>
      <c r="BJ106" s="7">
        <f t="shared" ca="1" si="9"/>
        <v>334</v>
      </c>
      <c r="BK106" s="8">
        <f t="shared" ca="1" si="10"/>
        <v>165</v>
      </c>
    </row>
    <row r="107" spans="2:63">
      <c r="B107" s="1124" t="s">
        <v>111</v>
      </c>
      <c r="C107" s="1055">
        <f ca="1">VLOOKUP(Myリゾート!$B107,OFFSET(高速化データ!$DD$6,0,0,高速化データ!$A$1,2), 2, FALSE)</f>
        <v>76</v>
      </c>
      <c r="D107" s="59" t="str">
        <f ca="1">LEFT(VLOOKUP(Myリゾート!$C107,OFFSET(高速化データ!$A$6,0,0,高速化データ!$A$1,106), 3, TRUE),2)</f>
        <v>フー</v>
      </c>
      <c r="E107" s="1063" t="str">
        <f ca="1">VLOOKUP(Myリゾート!$C107,OFFSET(高速化データ!$A$6,0,0,高速化データ!$A$1,106), 4, TRUE)&amp;""</f>
        <v/>
      </c>
      <c r="F107" s="1064" t="str">
        <f ca="1">VLOOKUP(Myリゾート!$C107,OFFSET(高速化データ!$A$6,0,0,高速化データ!$A$1,106), 5, TRUE)&amp;""</f>
        <v>○</v>
      </c>
      <c r="G107" s="1064" t="str">
        <f ca="1">VLOOKUP(Myリゾート!$C107,OFFSET(高速化データ!$A$6,0,0,高速化データ!$A$1,106), 6, TRUE)&amp;""</f>
        <v/>
      </c>
      <c r="H107" s="1065" t="str">
        <f ca="1">VLOOKUP(Myリゾート!$C107,OFFSET(高速化データ!$A$6,0,0,高速化データ!$A$1,106), 7, TRUE)&amp;""</f>
        <v/>
      </c>
      <c r="I107" s="1131">
        <v>1</v>
      </c>
      <c r="J107" s="1134" t="s">
        <v>43</v>
      </c>
      <c r="K107" s="1061">
        <f ca="1">VLOOKUP(Myリゾート!$C107,OFFSET(高速化データ!$A$6,0,0,高速化データ!$A$1,106), 10, TRUE)</f>
        <v>3</v>
      </c>
      <c r="L107" s="1062">
        <f ca="1">VLOOKUP(Myリゾート!$C107,OFFSET(高速化データ!$A$6,0,0,高速化データ!$A$1,106), 12, TRUE)</f>
        <v>0.74712643678160917</v>
      </c>
      <c r="M107" s="1066">
        <f ca="1">VLOOKUP(Myリゾート!$C107,OFFSET(高速化データ!$A$6,0,0,高速化データ!$A$1,106), 86, TRUE)</f>
        <v>260</v>
      </c>
      <c r="N107" s="1058">
        <f ca="1">VLOOKUP(Myリゾート!$C107,OFFSET(高速化データ!$A$6,0,0,高速化データ!$A$1,106), 87, TRUE)</f>
        <v>348</v>
      </c>
      <c r="O107" s="1058">
        <f t="shared" ca="1" si="0"/>
        <v>611.61</v>
      </c>
      <c r="P107" s="1059">
        <f t="shared" ca="1" si="3"/>
        <v>351.61</v>
      </c>
      <c r="Q107" s="1061">
        <f ca="1">VLOOKUP(Myリゾート!$C107,OFFSET(高速化データ!$A$6,0,0,高速化データ!$A$1,106), 88, TRUE)</f>
        <v>4</v>
      </c>
      <c r="R107" s="1060">
        <f ca="1">VLOOKUP(Myリゾート!$C107,OFFSET(高速化データ!$A$6,0,0,高速化データ!$A$1,106), 89, TRUE)</f>
        <v>1040</v>
      </c>
      <c r="S107" s="1060">
        <f ca="1">VLOOKUP(Myリゾート!$C107,OFFSET(高速化データ!$A$6,0,0,高速化データ!$A$1,106), 90, TRUE)</f>
        <v>3120</v>
      </c>
      <c r="T107" s="1060">
        <f ca="1">VLOOKUP(Myリゾート!$C107,OFFSET(高速化データ!$A$6,0,0,高速化データ!$A$1,106), 91, TRUE)</f>
        <v>208</v>
      </c>
      <c r="U107" s="1067">
        <f ca="1">VLOOKUP(Myリゾート!$C107,OFFSET(高速化データ!$A$6,0,0,高速化データ!$A$1,106), 92, TRUE)</f>
        <v>624</v>
      </c>
      <c r="V107" s="1066">
        <f ca="1">VLOOKUP(Myリゾート!$C107,OFFSET(高速化データ!$A$6,0,0,高速化データ!$A$1,106), 30, TRUE)</f>
        <v>130</v>
      </c>
      <c r="W107" s="1058">
        <f ca="1">VLOOKUP(Myリゾート!$C107,OFFSET(高速化データ!$A$6,0,0,高速化データ!$A$1,106), 31, TRUE)</f>
        <v>174</v>
      </c>
      <c r="X107" s="1058">
        <f t="shared" ca="1" si="1"/>
        <v>305.80500000000001</v>
      </c>
      <c r="Y107" s="1068">
        <f t="shared" ca="1" si="4"/>
        <v>175.80500000000001</v>
      </c>
      <c r="Z107" s="1061">
        <f ca="1">VLOOKUP(Myリゾート!$C107,OFFSET(高速化データ!$A$6,0,0,高速化データ!$A$1,106), 32, TRUE)</f>
        <v>4</v>
      </c>
      <c r="AA107" s="1060">
        <f ca="1">VLOOKUP(Myリゾート!$C107,OFFSET(高速化データ!$A$6,0,0,高速化データ!$A$1,106), 33, TRUE)</f>
        <v>520</v>
      </c>
      <c r="AB107" s="1060">
        <f ca="1">VLOOKUP(Myリゾート!$C107,OFFSET(高速化データ!$A$6,0,0,高速化データ!$A$1,106), 34, TRUE)</f>
        <v>1560</v>
      </c>
      <c r="AC107" s="1060">
        <f ca="1">VLOOKUP(Myリゾート!$C107,OFFSET(高速化データ!$A$6,0,0,高速化データ!$A$1,106), 35, TRUE)</f>
        <v>104</v>
      </c>
      <c r="AD107" s="1069">
        <f ca="1">VLOOKUP(Myリゾート!$C107,OFFSET(高速化データ!$A$6,0,0,高速化データ!$A$1,106), 36, TRUE)</f>
        <v>312</v>
      </c>
      <c r="AE107" s="1066">
        <f ca="1">VLOOKUP(Myリゾート!$C107,OFFSET(高速化データ!$A$6,0,0,高速化データ!$A$1,106), 16+($I107*14), TRUE)</f>
        <v>130</v>
      </c>
      <c r="AF107" s="1058">
        <f ca="1">VLOOKUP(Myリゾート!$C107,OFFSET(高速化データ!$A$6,0,0,高速化データ!$A$1,106), 17+($I107*14), TRUE)</f>
        <v>174</v>
      </c>
      <c r="AG107" s="1058">
        <f t="shared" ca="1" si="2"/>
        <v>305.80500000000001</v>
      </c>
      <c r="AH107" s="1068">
        <f t="shared" ca="1" si="5"/>
        <v>175.80500000000001</v>
      </c>
      <c r="AI107" s="1061">
        <f ca="1">VLOOKUP(Myリゾート!$C107,OFFSET(高速化データ!$A$6,0,0,高速化データ!$A$1,106), 18+($I107*14), TRUE)</f>
        <v>4</v>
      </c>
      <c r="AJ107" s="1058">
        <f ca="1">VLOOKUP(Myリゾート!$C107,OFFSET(高速化データ!$A$6,0,0,高速化データ!$A$1,106), 19+($I107*14), TRUE)</f>
        <v>520</v>
      </c>
      <c r="AK107" s="1058">
        <f ca="1">VLOOKUP(Myリゾート!$C107,OFFSET(高速化データ!$A$6,0,0,高速化データ!$A$1,106), 20+($I107*14), TRUE)</f>
        <v>1560</v>
      </c>
      <c r="AL107" s="1058">
        <f ca="1">VLOOKUP(Myリゾート!$C107,OFFSET(高速化データ!$A$6,0,0,高速化データ!$A$1,106), 21+($I107*14), TRUE)</f>
        <v>104</v>
      </c>
      <c r="AM107" s="1070">
        <f ca="1">VLOOKUP(Myリゾート!$C107,OFFSET(高速化データ!$A$6,0,0,高速化データ!$A$1,106), 22+($I107*14), TRUE)</f>
        <v>312</v>
      </c>
      <c r="AN107" s="1072">
        <f ca="1">VLOOKUP(Myリゾート!$C107,OFFSET(高速化データ!$A$6,0,0,高速化データ!$A$1,106), 11, TRUE)</f>
        <v>0.2</v>
      </c>
      <c r="AO107" s="1110">
        <f ca="1">VLOOKUP(Myリゾート!$C107,OFFSET(高速化データ!$A$6,0,0,高速化データ!$A$1,106), 13, TRUE)</f>
        <v>100</v>
      </c>
      <c r="AP107" s="1073" t="str">
        <f ca="1">VLOOKUP(Myリゾート!$C107,OFFSET(高速化データ!$A$6,0,0,高速化データ!$A$1,106), 15, TRUE)</f>
        <v>A</v>
      </c>
      <c r="AQ107" s="1071" t="str">
        <f ca="1">VLOOKUP(Myリゾート!$C107,OFFSET(高速化データ!$A$6,0,0,高速化データ!$A$1,106), 9, TRUE)</f>
        <v>限定</v>
      </c>
      <c r="AR107" s="1112">
        <f ca="1">IF($I107=5, 0,VLOOKUP(Myリゾート!$C107,OFFSET(高速化データ!$A$6,0,0,高速化データ!$A$1,106), 23+(($I107+1)*14), TRUE))</f>
        <v>5</v>
      </c>
      <c r="AS107" s="1058">
        <f ca="1">IF($I107=5, 0,VLOOKUP(Myリゾート!$C107,OFFSET(高速化データ!$A$6,0,0,高速化データ!$A$1,106), 24+(($I107+1)*14), TRUE))</f>
        <v>240000</v>
      </c>
      <c r="AT107" s="1074">
        <f ca="1">IF($I107=5, 0,VLOOKUP(Myリゾート!$C107,OFFSET(高速化データ!$A$6,0,0,高速化データ!$A$1,106), 25+(($I107+1)*14), TRUE))</f>
        <v>0</v>
      </c>
      <c r="AU107" s="1074">
        <f ca="1">IF($I107=5, 0,VLOOKUP(Myリゾート!$C107,OFFSET(高速化データ!$A$6,0,0,高速化データ!$A$1,106), 26+(($I107+1)*14), TRUE))</f>
        <v>0</v>
      </c>
      <c r="AV107" s="1074">
        <f ca="1">IF($I107=5, 0,VLOOKUP(Myリゾート!$C107,OFFSET(高速化データ!$A$6,0,0,高速化データ!$A$1,106), 27+(($I107+1)*14), TRUE))</f>
        <v>0</v>
      </c>
      <c r="AW107" s="1075">
        <f ca="1">IF($I107=5, 0,VLOOKUP(Myリゾート!$C107,OFFSET(高速化データ!$A$6,0,0,高速化データ!$A$1,106), 28+(($I107+1)*14), TRUE))</f>
        <v>12.95940170940171</v>
      </c>
      <c r="AX107" s="1070">
        <f ca="1">IF($I107=5, 0,VLOOKUP(Myリゾート!$C107,OFFSET(高速化データ!$A$6,0,0,高速化データ!$A$1,106), 29+(($I107+1)*14), TRUE))</f>
        <v>48000</v>
      </c>
      <c r="AY107" s="1066">
        <f ca="1">IF($I107=5, 0, VLOOKUP(Myリゾート!$C107,OFFSET(高速化データ!$A$6,0,0,高速化データ!$A$1,106), 19+(($I107+1)*14), TRUE)-AJ107)</f>
        <v>260</v>
      </c>
      <c r="AZ107" s="1058">
        <f ca="1">IF($I107=5, 0, VLOOKUP(Myリゾート!$C107,OFFSET(高速化データ!$A$6,0,0,高速化データ!$A$1,106), 20+(($I107+1)*14), TRUE)-AK107)</f>
        <v>780</v>
      </c>
      <c r="BA107" s="1076">
        <f ca="1">IF($I107=5, 0, VLOOKUP(Myリゾート!$C107,OFFSET(高速化データ!$A$6,0,0,高速化データ!$A$1,106), 17+(($I107+1)*14), TRUE)*$B$1/100-VLOOKUP(Myリゾート!$C107,OFFSET(高速化データ!$A$6,0,0,高速化データ!$A$1,106), 16+(($I107+1)*14),TRUE)-AH107)</f>
        <v>87.902499999999975</v>
      </c>
      <c r="BB107" s="1056">
        <f t="shared" ca="1" si="6"/>
        <v>520</v>
      </c>
      <c r="BC107" s="1057">
        <f t="shared" ca="1" si="6"/>
        <v>1560</v>
      </c>
      <c r="BD107" s="1068">
        <f t="shared" ca="1" si="7"/>
        <v>175.80500000000001</v>
      </c>
      <c r="BE107" s="9">
        <f t="shared" si="8"/>
        <v>0</v>
      </c>
      <c r="BF107" s="7">
        <f t="shared" si="8"/>
        <v>0</v>
      </c>
      <c r="BG107" s="7">
        <f t="shared" si="9"/>
        <v>0</v>
      </c>
      <c r="BH107" s="7">
        <f t="shared" si="9"/>
        <v>0</v>
      </c>
      <c r="BI107" s="7">
        <f t="shared" si="9"/>
        <v>0</v>
      </c>
      <c r="BJ107" s="7">
        <f t="shared" si="9"/>
        <v>0</v>
      </c>
      <c r="BK107" s="8">
        <f t="shared" ca="1" si="10"/>
        <v>130</v>
      </c>
    </row>
    <row r="108" spans="2:63">
      <c r="B108" s="1124" t="s">
        <v>129</v>
      </c>
      <c r="C108" s="1055">
        <f ca="1">VLOOKUP(Myリゾート!$B108,OFFSET(高速化データ!$DD$6,0,0,高速化データ!$A$1,2), 2, FALSE)</f>
        <v>79</v>
      </c>
      <c r="D108" s="59" t="str">
        <f ca="1">LEFT(VLOOKUP(Myリゾート!$C108,OFFSET(高速化データ!$A$6,0,0,高速化データ!$A$1,106), 3, TRUE),2)</f>
        <v>フー</v>
      </c>
      <c r="E108" s="1063" t="str">
        <f ca="1">VLOOKUP(Myリゾート!$C108,OFFSET(高速化データ!$A$6,0,0,高速化データ!$A$1,106), 4, TRUE)&amp;""</f>
        <v/>
      </c>
      <c r="F108" s="1064" t="str">
        <f ca="1">VLOOKUP(Myリゾート!$C108,OFFSET(高速化データ!$A$6,0,0,高速化データ!$A$1,106), 5, TRUE)&amp;""</f>
        <v/>
      </c>
      <c r="G108" s="1064" t="str">
        <f ca="1">VLOOKUP(Myリゾート!$C108,OFFSET(高速化データ!$A$6,0,0,高速化データ!$A$1,106), 6, TRUE)&amp;""</f>
        <v/>
      </c>
      <c r="H108" s="1065" t="str">
        <f ca="1">VLOOKUP(Myリゾート!$C108,OFFSET(高速化データ!$A$6,0,0,高速化データ!$A$1,106), 7, TRUE)&amp;""</f>
        <v>○</v>
      </c>
      <c r="I108" s="1131">
        <v>1</v>
      </c>
      <c r="J108" s="1134"/>
      <c r="K108" s="1061">
        <f ca="1">VLOOKUP(Myリゾート!$C108,OFFSET(高速化データ!$A$6,0,0,高速化データ!$A$1,106), 10, TRUE)</f>
        <v>6</v>
      </c>
      <c r="L108" s="1062">
        <f ca="1">VLOOKUP(Myリゾート!$C108,OFFSET(高速化データ!$A$6,0,0,高速化データ!$A$1,106), 12, TRUE)</f>
        <v>0.94786729857819907</v>
      </c>
      <c r="M108" s="1066">
        <f ca="1">VLOOKUP(Myリゾート!$C108,OFFSET(高速化データ!$A$6,0,0,高速化データ!$A$1,106), 86, TRUE)</f>
        <v>400</v>
      </c>
      <c r="N108" s="1058">
        <f ca="1">VLOOKUP(Myリゾート!$C108,OFFSET(高速化データ!$A$6,0,0,高速化データ!$A$1,106), 87, TRUE)</f>
        <v>422</v>
      </c>
      <c r="O108" s="1058">
        <f t="shared" ca="1" si="0"/>
        <v>741.66499999999996</v>
      </c>
      <c r="P108" s="1059">
        <f t="shared" ca="1" si="3"/>
        <v>341.66499999999996</v>
      </c>
      <c r="Q108" s="1061">
        <f ca="1">VLOOKUP(Myリゾート!$C108,OFFSET(高速化データ!$A$6,0,0,高速化データ!$A$1,106), 88, TRUE)</f>
        <v>5</v>
      </c>
      <c r="R108" s="1060">
        <f ca="1">VLOOKUP(Myリゾート!$C108,OFFSET(高速化データ!$A$6,0,0,高速化データ!$A$1,106), 89, TRUE)</f>
        <v>2000</v>
      </c>
      <c r="S108" s="1060">
        <f ca="1">VLOOKUP(Myリゾート!$C108,OFFSET(高速化データ!$A$6,0,0,高速化データ!$A$1,106), 90, TRUE)</f>
        <v>12000</v>
      </c>
      <c r="T108" s="1060">
        <f ca="1">VLOOKUP(Myリゾート!$C108,OFFSET(高速化データ!$A$6,0,0,高速化データ!$A$1,106), 91, TRUE)</f>
        <v>450</v>
      </c>
      <c r="U108" s="1067">
        <f ca="1">VLOOKUP(Myリゾート!$C108,OFFSET(高速化データ!$A$6,0,0,高速化データ!$A$1,106), 92, TRUE)</f>
        <v>2700</v>
      </c>
      <c r="V108" s="1066">
        <f ca="1">VLOOKUP(Myリゾート!$C108,OFFSET(高速化データ!$A$6,0,0,高速化データ!$A$1,106), 30, TRUE)</f>
        <v>200</v>
      </c>
      <c r="W108" s="1058">
        <f ca="1">VLOOKUP(Myリゾート!$C108,OFFSET(高速化データ!$A$6,0,0,高速化データ!$A$1,106), 31, TRUE)</f>
        <v>211</v>
      </c>
      <c r="X108" s="1058">
        <f t="shared" ca="1" si="1"/>
        <v>370.83249999999998</v>
      </c>
      <c r="Y108" s="1068">
        <f t="shared" ca="1" si="4"/>
        <v>170.83249999999998</v>
      </c>
      <c r="Z108" s="1061">
        <f ca="1">VLOOKUP(Myリゾート!$C108,OFFSET(高速化データ!$A$6,0,0,高速化データ!$A$1,106), 32, TRUE)</f>
        <v>5</v>
      </c>
      <c r="AA108" s="1060">
        <f ca="1">VLOOKUP(Myリゾート!$C108,OFFSET(高速化データ!$A$6,0,0,高速化データ!$A$1,106), 33, TRUE)</f>
        <v>1000</v>
      </c>
      <c r="AB108" s="1060">
        <f ca="1">VLOOKUP(Myリゾート!$C108,OFFSET(高速化データ!$A$6,0,0,高速化データ!$A$1,106), 34, TRUE)</f>
        <v>6000</v>
      </c>
      <c r="AC108" s="1060">
        <f ca="1">VLOOKUP(Myリゾート!$C108,OFFSET(高速化データ!$A$6,0,0,高速化データ!$A$1,106), 35, TRUE)</f>
        <v>225</v>
      </c>
      <c r="AD108" s="1069">
        <f ca="1">VLOOKUP(Myリゾート!$C108,OFFSET(高速化データ!$A$6,0,0,高速化データ!$A$1,106), 36, TRUE)</f>
        <v>1350</v>
      </c>
      <c r="AE108" s="1066">
        <f ca="1">VLOOKUP(Myリゾート!$C108,OFFSET(高速化データ!$A$6,0,0,高速化データ!$A$1,106), 16+($I108*14), TRUE)</f>
        <v>200</v>
      </c>
      <c r="AF108" s="1058">
        <f ca="1">VLOOKUP(Myリゾート!$C108,OFFSET(高速化データ!$A$6,0,0,高速化データ!$A$1,106), 17+($I108*14), TRUE)</f>
        <v>211</v>
      </c>
      <c r="AG108" s="1058">
        <f t="shared" ca="1" si="2"/>
        <v>370.83249999999998</v>
      </c>
      <c r="AH108" s="1068">
        <f t="shared" ca="1" si="5"/>
        <v>170.83249999999998</v>
      </c>
      <c r="AI108" s="1061">
        <f ca="1">VLOOKUP(Myリゾート!$C108,OFFSET(高速化データ!$A$6,0,0,高速化データ!$A$1,106), 18+($I108*14), TRUE)</f>
        <v>5</v>
      </c>
      <c r="AJ108" s="1058">
        <f ca="1">VLOOKUP(Myリゾート!$C108,OFFSET(高速化データ!$A$6,0,0,高速化データ!$A$1,106), 19+($I108*14), TRUE)</f>
        <v>1000</v>
      </c>
      <c r="AK108" s="1058">
        <f ca="1">VLOOKUP(Myリゾート!$C108,OFFSET(高速化データ!$A$6,0,0,高速化データ!$A$1,106), 20+($I108*14), TRUE)</f>
        <v>6000</v>
      </c>
      <c r="AL108" s="1058">
        <f ca="1">VLOOKUP(Myリゾート!$C108,OFFSET(高速化データ!$A$6,0,0,高速化データ!$A$1,106), 21+($I108*14), TRUE)</f>
        <v>225</v>
      </c>
      <c r="AM108" s="1070">
        <f ca="1">VLOOKUP(Myリゾート!$C108,OFFSET(高速化データ!$A$6,0,0,高速化データ!$A$1,106), 22+($I108*14), TRUE)</f>
        <v>1350</v>
      </c>
      <c r="AN108" s="1072">
        <f ca="1">VLOOKUP(Myリゾート!$C108,OFFSET(高速化データ!$A$6,0,0,高速化データ!$A$1,106), 11, TRUE)</f>
        <v>0.22500000000000001</v>
      </c>
      <c r="AO108" s="1110">
        <f ca="1">VLOOKUP(Myリゾート!$C108,OFFSET(高速化データ!$A$6,0,0,高速化データ!$A$1,106), 13, TRUE)</f>
        <v>100</v>
      </c>
      <c r="AP108" s="1073" t="str">
        <f ca="1">VLOOKUP(Myリゾート!$C108,OFFSET(高速化データ!$A$6,0,0,高速化データ!$A$1,106), 15, TRUE)</f>
        <v>A</v>
      </c>
      <c r="AQ108" s="1071" t="str">
        <f ca="1">VLOOKUP(Myリゾート!$C108,OFFSET(高速化データ!$A$6,0,0,高速化データ!$A$1,106), 9, TRUE)</f>
        <v>限定</v>
      </c>
      <c r="AR108" s="1112">
        <f ca="1">IF($I108=5, 0,VLOOKUP(Myリゾート!$C108,OFFSET(高速化データ!$A$6,0,0,高速化データ!$A$1,106), 23+(($I108+1)*14), TRUE))</f>
        <v>7.5</v>
      </c>
      <c r="AS108" s="1058">
        <f ca="1">IF($I108=5, 0,VLOOKUP(Myリゾート!$C108,OFFSET(高速化データ!$A$6,0,0,高速化データ!$A$1,106), 24+(($I108+1)*14), TRUE))</f>
        <v>1000000</v>
      </c>
      <c r="AT108" s="1074">
        <f ca="1">IF($I108=5, 0,VLOOKUP(Myリゾート!$C108,OFFSET(高速化データ!$A$6,0,0,高速化データ!$A$1,106), 25+(($I108+1)*14), TRUE))</f>
        <v>0</v>
      </c>
      <c r="AU108" s="1074">
        <f ca="1">IF($I108=5, 0,VLOOKUP(Myリゾート!$C108,OFFSET(高速化データ!$A$6,0,0,高速化データ!$A$1,106), 26+(($I108+1)*14), TRUE))</f>
        <v>0</v>
      </c>
      <c r="AV108" s="1074">
        <f ca="1">IF($I108=5, 0,VLOOKUP(Myリゾート!$C108,OFFSET(高速化データ!$A$6,0,0,高速化データ!$A$1,106), 27+(($I108+1)*14), TRUE))</f>
        <v>0</v>
      </c>
      <c r="AW108" s="1075">
        <f ca="1">IF($I108=5, 0,VLOOKUP(Myリゾート!$C108,OFFSET(高速化データ!$A$6,0,0,高速化データ!$A$1,106), 28+(($I108+1)*14), TRUE))</f>
        <v>27.986111111111111</v>
      </c>
      <c r="AX108" s="1070">
        <f ca="1">IF($I108=5, 0,VLOOKUP(Myリゾート!$C108,OFFSET(高速化データ!$A$6,0,0,高速化データ!$A$1,106), 29+(($I108+1)*14), TRUE))</f>
        <v>133333</v>
      </c>
      <c r="AY108" s="1066">
        <f ca="1">IF($I108=5, 0, VLOOKUP(Myリゾート!$C108,OFFSET(高速化データ!$A$6,0,0,高速化データ!$A$1,106), 19+(($I108+1)*14), TRUE)-AJ108)</f>
        <v>500</v>
      </c>
      <c r="AZ108" s="1058">
        <f ca="1">IF($I108=5, 0, VLOOKUP(Myリゾート!$C108,OFFSET(高速化データ!$A$6,0,0,高速化データ!$A$1,106), 20+(($I108+1)*14), TRUE)-AK108)</f>
        <v>3000</v>
      </c>
      <c r="BA108" s="1076">
        <f ca="1">IF($I108=5, 0, VLOOKUP(Myリゾート!$C108,OFFSET(高速化データ!$A$6,0,0,高速化データ!$A$1,106), 17+(($I108+1)*14), TRUE)*$B$1/100-VLOOKUP(Myリゾート!$C108,OFFSET(高速化データ!$A$6,0,0,高速化データ!$A$1,106), 16+(($I108+1)*14),TRUE)-AH108)</f>
        <v>84.537500000000023</v>
      </c>
      <c r="BB108" s="1056">
        <f t="shared" ca="1" si="6"/>
        <v>1000</v>
      </c>
      <c r="BC108" s="1057">
        <f t="shared" ca="1" si="6"/>
        <v>6000</v>
      </c>
      <c r="BD108" s="1068">
        <f t="shared" ca="1" si="7"/>
        <v>170.83249999999998</v>
      </c>
      <c r="BE108" s="9">
        <f t="shared" ca="1" si="8"/>
        <v>200</v>
      </c>
      <c r="BF108" s="7">
        <f t="shared" ca="1" si="8"/>
        <v>211</v>
      </c>
      <c r="BG108" s="7">
        <f t="shared" ca="1" si="9"/>
        <v>1000</v>
      </c>
      <c r="BH108" s="7">
        <f t="shared" ca="1" si="9"/>
        <v>6000</v>
      </c>
      <c r="BI108" s="7">
        <f t="shared" ca="1" si="9"/>
        <v>225</v>
      </c>
      <c r="BJ108" s="7">
        <f t="shared" ca="1" si="9"/>
        <v>1350</v>
      </c>
      <c r="BK108" s="8">
        <f t="shared" ca="1" si="10"/>
        <v>200</v>
      </c>
    </row>
    <row r="109" spans="2:63">
      <c r="B109" s="1124" t="s">
        <v>153</v>
      </c>
      <c r="C109" s="1055">
        <f ca="1">VLOOKUP(Myリゾート!$B109,OFFSET(高速化データ!$DD$6,0,0,高速化データ!$A$1,2), 2, FALSE)</f>
        <v>85</v>
      </c>
      <c r="D109" s="59" t="str">
        <f ca="1">LEFT(VLOOKUP(Myリゾート!$C109,OFFSET(高速化データ!$A$6,0,0,高速化データ!$A$1,106), 3, TRUE),2)</f>
        <v>フー</v>
      </c>
      <c r="E109" s="1063" t="str">
        <f ca="1">VLOOKUP(Myリゾート!$C109,OFFSET(高速化データ!$A$6,0,0,高速化データ!$A$1,106), 4, TRUE)&amp;""</f>
        <v/>
      </c>
      <c r="F109" s="1064" t="str">
        <f ca="1">VLOOKUP(Myリゾート!$C109,OFFSET(高速化データ!$A$6,0,0,高速化データ!$A$1,106), 5, TRUE)&amp;""</f>
        <v>○</v>
      </c>
      <c r="G109" s="1064" t="str">
        <f ca="1">VLOOKUP(Myリゾート!$C109,OFFSET(高速化データ!$A$6,0,0,高速化データ!$A$1,106), 6, TRUE)&amp;""</f>
        <v/>
      </c>
      <c r="H109" s="1065" t="str">
        <f ca="1">VLOOKUP(Myリゾート!$C109,OFFSET(高速化データ!$A$6,0,0,高速化データ!$A$1,106), 7, TRUE)&amp;""</f>
        <v/>
      </c>
      <c r="I109" s="1131">
        <v>2</v>
      </c>
      <c r="J109" s="1134"/>
      <c r="K109" s="1061">
        <f ca="1">VLOOKUP(Myリゾート!$C109,OFFSET(高速化データ!$A$6,0,0,高速化データ!$A$1,106), 10, TRUE)</f>
        <v>9</v>
      </c>
      <c r="L109" s="1062">
        <f ca="1">VLOOKUP(Myリゾート!$C109,OFFSET(高速化データ!$A$6,0,0,高速化データ!$A$1,106), 12, TRUE)</f>
        <v>0.97560975609756095</v>
      </c>
      <c r="M109" s="1066">
        <f ca="1">VLOOKUP(Myリゾート!$C109,OFFSET(高速化データ!$A$6,0,0,高速化データ!$A$1,106), 86, TRUE)</f>
        <v>400</v>
      </c>
      <c r="N109" s="1058">
        <f ca="1">VLOOKUP(Myリゾート!$C109,OFFSET(高速化データ!$A$6,0,0,高速化データ!$A$1,106), 87, TRUE)</f>
        <v>410</v>
      </c>
      <c r="O109" s="1058">
        <f t="shared" ref="O109:O118" ca="1" si="11">N109*$B$1/100</f>
        <v>720.57500000000005</v>
      </c>
      <c r="P109" s="1059">
        <f t="shared" ca="1" si="3"/>
        <v>320.57500000000005</v>
      </c>
      <c r="Q109" s="1061">
        <f ca="1">VLOOKUP(Myリゾート!$C109,OFFSET(高速化データ!$A$6,0,0,高速化データ!$A$1,106), 88, TRUE)</f>
        <v>5</v>
      </c>
      <c r="R109" s="1060">
        <f ca="1">VLOOKUP(Myリゾート!$C109,OFFSET(高速化データ!$A$6,0,0,高速化データ!$A$1,106), 89, TRUE)</f>
        <v>2000</v>
      </c>
      <c r="S109" s="1060">
        <f ca="1">VLOOKUP(Myリゾート!$C109,OFFSET(高速化データ!$A$6,0,0,高速化データ!$A$1,106), 90, TRUE)</f>
        <v>18000</v>
      </c>
      <c r="T109" s="1060">
        <f ca="1">VLOOKUP(Myリゾート!$C109,OFFSET(高速化データ!$A$6,0,0,高速化データ!$A$1,106), 91, TRUE)</f>
        <v>400</v>
      </c>
      <c r="U109" s="1067">
        <f ca="1">VLOOKUP(Myリゾート!$C109,OFFSET(高速化データ!$A$6,0,0,高速化データ!$A$1,106), 92, TRUE)</f>
        <v>3600</v>
      </c>
      <c r="V109" s="1066">
        <f ca="1">VLOOKUP(Myリゾート!$C109,OFFSET(高速化データ!$A$6,0,0,高速化データ!$A$1,106), 30, TRUE)</f>
        <v>200</v>
      </c>
      <c r="W109" s="1058">
        <f ca="1">VLOOKUP(Myリゾート!$C109,OFFSET(高速化データ!$A$6,0,0,高速化データ!$A$1,106), 31, TRUE)</f>
        <v>205</v>
      </c>
      <c r="X109" s="1058">
        <f t="shared" ref="X109:X118" ca="1" si="12">W109*$B$1/100</f>
        <v>360.28750000000002</v>
      </c>
      <c r="Y109" s="1068">
        <f t="shared" ca="1" si="4"/>
        <v>160.28750000000002</v>
      </c>
      <c r="Z109" s="1061">
        <f ca="1">VLOOKUP(Myリゾート!$C109,OFFSET(高速化データ!$A$6,0,0,高速化データ!$A$1,106), 32, TRUE)</f>
        <v>4</v>
      </c>
      <c r="AA109" s="1060">
        <f ca="1">VLOOKUP(Myリゾート!$C109,OFFSET(高速化データ!$A$6,0,0,高速化データ!$A$1,106), 33, TRUE)</f>
        <v>800</v>
      </c>
      <c r="AB109" s="1060">
        <f ca="1">VLOOKUP(Myリゾート!$C109,OFFSET(高速化データ!$A$6,0,0,高速化データ!$A$1,106), 34, TRUE)</f>
        <v>7200</v>
      </c>
      <c r="AC109" s="1060">
        <f ca="1">VLOOKUP(Myリゾート!$C109,OFFSET(高速化データ!$A$6,0,0,高速化データ!$A$1,106), 35, TRUE)</f>
        <v>160</v>
      </c>
      <c r="AD109" s="1069">
        <f ca="1">VLOOKUP(Myリゾート!$C109,OFFSET(高速化データ!$A$6,0,0,高速化データ!$A$1,106), 36, TRUE)</f>
        <v>1440</v>
      </c>
      <c r="AE109" s="1066">
        <f ca="1">VLOOKUP(Myリゾート!$C109,OFFSET(高速化データ!$A$6,0,0,高速化データ!$A$1,106), 16+($I109*14), TRUE)</f>
        <v>300</v>
      </c>
      <c r="AF109" s="1058">
        <f ca="1">VLOOKUP(Myリゾート!$C109,OFFSET(高速化データ!$A$6,0,0,高速化データ!$A$1,106), 17+($I109*14), TRUE)</f>
        <v>307</v>
      </c>
      <c r="AG109" s="1058">
        <f t="shared" ref="AG109:AG118" ca="1" si="13">AF109*$B$1/100</f>
        <v>539.55250000000001</v>
      </c>
      <c r="AH109" s="1068">
        <f t="shared" ca="1" si="5"/>
        <v>239.55250000000001</v>
      </c>
      <c r="AI109" s="1061">
        <f ca="1">VLOOKUP(Myリゾート!$C109,OFFSET(高速化データ!$A$6,0,0,高速化データ!$A$1,106), 18+($I109*14), TRUE)</f>
        <v>4</v>
      </c>
      <c r="AJ109" s="1058">
        <f ca="1">VLOOKUP(Myリゾート!$C109,OFFSET(高速化データ!$A$6,0,0,高速化データ!$A$1,106), 19+($I109*14), TRUE)</f>
        <v>1200</v>
      </c>
      <c r="AK109" s="1058">
        <f ca="1">VLOOKUP(Myリゾート!$C109,OFFSET(高速化データ!$A$6,0,0,高速化データ!$A$1,106), 20+($I109*14), TRUE)</f>
        <v>10800</v>
      </c>
      <c r="AL109" s="1058">
        <f ca="1">VLOOKUP(Myリゾート!$C109,OFFSET(高速化データ!$A$6,0,0,高速化データ!$A$1,106), 21+($I109*14), TRUE)</f>
        <v>240</v>
      </c>
      <c r="AM109" s="1070">
        <f ca="1">VLOOKUP(Myリゾート!$C109,OFFSET(高速化データ!$A$6,0,0,高速化データ!$A$1,106), 22+($I109*14), TRUE)</f>
        <v>2160</v>
      </c>
      <c r="AN109" s="1072">
        <f ca="1">VLOOKUP(Myリゾート!$C109,OFFSET(高速化データ!$A$6,0,0,高速化データ!$A$1,106), 11, TRUE)</f>
        <v>0.2</v>
      </c>
      <c r="AO109" s="1110">
        <f ca="1">VLOOKUP(Myリゾート!$C109,OFFSET(高速化データ!$A$6,0,0,高速化データ!$A$1,106), 13, TRUE)</f>
        <v>100</v>
      </c>
      <c r="AP109" s="1073" t="str">
        <f ca="1">VLOOKUP(Myリゾート!$C109,OFFSET(高速化データ!$A$6,0,0,高速化データ!$A$1,106), 15, TRUE)</f>
        <v>A</v>
      </c>
      <c r="AQ109" s="1071" t="str">
        <f ca="1">VLOOKUP(Myリゾート!$C109,OFFSET(高速化データ!$A$6,0,0,高速化データ!$A$1,106), 9, TRUE)</f>
        <v>限定</v>
      </c>
      <c r="AR109" s="1112">
        <f ca="1">IF($I109=5, 0,VLOOKUP(Myリゾート!$C109,OFFSET(高速化データ!$A$6,0,0,高速化データ!$A$1,106), 23+(($I109+1)*14), TRUE))</f>
        <v>8</v>
      </c>
      <c r="AS109" s="1058">
        <f ca="1">IF($I109=5, 0,VLOOKUP(Myリゾート!$C109,OFFSET(高速化データ!$A$6,0,0,高速化データ!$A$1,106), 24+(($I109+1)*14), TRUE))</f>
        <v>1440000</v>
      </c>
      <c r="AT109" s="1074">
        <f ca="1">IF($I109=5, 0,VLOOKUP(Myリゾート!$C109,OFFSET(高速化データ!$A$6,0,0,高速化データ!$A$1,106), 25+(($I109+1)*14), TRUE))</f>
        <v>0</v>
      </c>
      <c r="AU109" s="1074">
        <f ca="1">IF($I109=5, 0,VLOOKUP(Myリゾート!$C109,OFFSET(高速化データ!$A$6,0,0,高速化データ!$A$1,106), 26+(($I109+1)*14), TRUE))</f>
        <v>2</v>
      </c>
      <c r="AV109" s="1074">
        <f ca="1">IF($I109=5, 0,VLOOKUP(Myリゾート!$C109,OFFSET(高速化データ!$A$6,0,0,高速化データ!$A$1,106), 27+(($I109+1)*14), TRUE))</f>
        <v>0</v>
      </c>
      <c r="AW109" s="1075">
        <f ca="1">IF($I109=5, 0,VLOOKUP(Myリゾート!$C109,OFFSET(高速化データ!$A$6,0,0,高速化データ!$A$1,106), 28+(($I109+1)*14), TRUE))</f>
        <v>43.142857142857139</v>
      </c>
      <c r="AX109" s="1070">
        <f ca="1">IF($I109=5, 0,VLOOKUP(Myリゾート!$C109,OFFSET(高速化データ!$A$6,0,0,高速化データ!$A$1,106), 29+(($I109+1)*14), TRUE))</f>
        <v>180000</v>
      </c>
      <c r="AY109" s="1066">
        <f ca="1">IF($I109=5, 0, VLOOKUP(Myリゾート!$C109,OFFSET(高速化データ!$A$6,0,0,高速化データ!$A$1,106), 19+(($I109+1)*14), TRUE)-AJ109)</f>
        <v>200</v>
      </c>
      <c r="AZ109" s="1058">
        <f ca="1">IF($I109=5, 0, VLOOKUP(Myリゾート!$C109,OFFSET(高速化データ!$A$6,0,0,高速化データ!$A$1,106), 20+(($I109+1)*14), TRUE)-AK109)</f>
        <v>1800</v>
      </c>
      <c r="BA109" s="1076">
        <f ca="1">IF($I109=5, 0, VLOOKUP(Myリゾート!$C109,OFFSET(高速化データ!$A$6,0,0,高速化データ!$A$1,106), 17+(($I109+1)*14), TRUE)*$B$1/100-VLOOKUP(Myリゾート!$C109,OFFSET(高速化データ!$A$6,0,0,高速化データ!$A$1,106), 16+(($I109+1)*14),TRUE)-AH109)</f>
        <v>37.875</v>
      </c>
      <c r="BB109" s="1056">
        <f t="shared" ref="BB109:BC118" ca="1" si="14">R109-AJ109</f>
        <v>800</v>
      </c>
      <c r="BC109" s="1057">
        <f t="shared" ca="1" si="14"/>
        <v>7200</v>
      </c>
      <c r="BD109" s="1068">
        <f t="shared" ca="1" si="7"/>
        <v>81.022500000000036</v>
      </c>
      <c r="BE109" s="9">
        <f t="shared" ref="BE109:BF118" ca="1" si="15">IF(ISBLANK($J109),AE109,0)</f>
        <v>300</v>
      </c>
      <c r="BF109" s="7">
        <f t="shared" ca="1" si="15"/>
        <v>307</v>
      </c>
      <c r="BG109" s="7">
        <f t="shared" ref="BG109:BJ118" ca="1" si="16">IF(ISBLANK($J109),AJ109,0)</f>
        <v>1200</v>
      </c>
      <c r="BH109" s="7">
        <f t="shared" ca="1" si="16"/>
        <v>10800</v>
      </c>
      <c r="BI109" s="7">
        <f t="shared" ca="1" si="16"/>
        <v>240</v>
      </c>
      <c r="BJ109" s="7">
        <f t="shared" ca="1" si="16"/>
        <v>2160</v>
      </c>
      <c r="BK109" s="8">
        <f t="shared" ca="1" si="10"/>
        <v>300</v>
      </c>
    </row>
    <row r="110" spans="2:63">
      <c r="B110" s="1124" t="s">
        <v>134</v>
      </c>
      <c r="C110" s="1055">
        <f ca="1">VLOOKUP(Myリゾート!$B110,OFFSET(高速化データ!$DD$6,0,0,高速化データ!$A$1,2), 2, FALSE)</f>
        <v>81</v>
      </c>
      <c r="D110" s="59" t="str">
        <f ca="1">LEFT(VLOOKUP(Myリゾート!$C110,OFFSET(高速化データ!$A$6,0,0,高速化データ!$A$1,106), 3, TRUE),2)</f>
        <v>フー</v>
      </c>
      <c r="E110" s="1063" t="str">
        <f ca="1">VLOOKUP(Myリゾート!$C110,OFFSET(高速化データ!$A$6,0,0,高速化データ!$A$1,106), 4, TRUE)&amp;""</f>
        <v/>
      </c>
      <c r="F110" s="1064" t="str">
        <f ca="1">VLOOKUP(Myリゾート!$C110,OFFSET(高速化データ!$A$6,0,0,高速化データ!$A$1,106), 5, TRUE)&amp;""</f>
        <v>○</v>
      </c>
      <c r="G110" s="1064" t="str">
        <f ca="1">VLOOKUP(Myリゾート!$C110,OFFSET(高速化データ!$A$6,0,0,高速化データ!$A$1,106), 6, TRUE)&amp;""</f>
        <v>○</v>
      </c>
      <c r="H110" s="1065" t="str">
        <f ca="1">VLOOKUP(Myリゾート!$C110,OFFSET(高速化データ!$A$6,0,0,高速化データ!$A$1,106), 7, TRUE)&amp;""</f>
        <v/>
      </c>
      <c r="I110" s="1131">
        <v>2</v>
      </c>
      <c r="J110" s="1134"/>
      <c r="K110" s="1061">
        <f ca="1">VLOOKUP(Myリゾート!$C110,OFFSET(高速化データ!$A$6,0,0,高速化データ!$A$1,106), 10, TRUE)</f>
        <v>4</v>
      </c>
      <c r="L110" s="1062">
        <f ca="1">VLOOKUP(Myリゾート!$C110,OFFSET(高速化データ!$A$6,0,0,高速化データ!$A$1,106), 12, TRUE)</f>
        <v>1</v>
      </c>
      <c r="M110" s="1066">
        <f ca="1">VLOOKUP(Myリゾート!$C110,OFFSET(高速化データ!$A$6,0,0,高速化データ!$A$1,106), 86, TRUE)</f>
        <v>500</v>
      </c>
      <c r="N110" s="1058">
        <f ca="1">VLOOKUP(Myリゾート!$C110,OFFSET(高速化データ!$A$6,0,0,高速化データ!$A$1,106), 87, TRUE)</f>
        <v>500</v>
      </c>
      <c r="O110" s="1058">
        <f t="shared" ca="1" si="11"/>
        <v>878.75</v>
      </c>
      <c r="P110" s="1059">
        <f t="shared" ref="P110:P118" ca="1" si="17">O110-M110</f>
        <v>378.75</v>
      </c>
      <c r="Q110" s="1061">
        <f ca="1">VLOOKUP(Myリゾート!$C110,OFFSET(高速化データ!$A$6,0,0,高速化データ!$A$1,106), 88, TRUE)</f>
        <v>7</v>
      </c>
      <c r="R110" s="1060">
        <f ca="1">VLOOKUP(Myリゾート!$C110,OFFSET(高速化データ!$A$6,0,0,高速化データ!$A$1,106), 89, TRUE)</f>
        <v>3500</v>
      </c>
      <c r="S110" s="1060">
        <f ca="1">VLOOKUP(Myリゾート!$C110,OFFSET(高速化データ!$A$6,0,0,高速化データ!$A$1,106), 90, TRUE)</f>
        <v>14000</v>
      </c>
      <c r="T110" s="1060">
        <f ca="1">VLOOKUP(Myリゾート!$C110,OFFSET(高速化データ!$A$6,0,0,高速化データ!$A$1,106), 91, TRUE)</f>
        <v>700</v>
      </c>
      <c r="U110" s="1067">
        <f ca="1">VLOOKUP(Myリゾート!$C110,OFFSET(高速化データ!$A$6,0,0,高速化データ!$A$1,106), 92, TRUE)</f>
        <v>2800</v>
      </c>
      <c r="V110" s="1066">
        <f ca="1">VLOOKUP(Myリゾート!$C110,OFFSET(高速化データ!$A$6,0,0,高速化データ!$A$1,106), 30, TRUE)</f>
        <v>250</v>
      </c>
      <c r="W110" s="1058">
        <f ca="1">VLOOKUP(Myリゾート!$C110,OFFSET(高速化データ!$A$6,0,0,高速化データ!$A$1,106), 31, TRUE)</f>
        <v>250</v>
      </c>
      <c r="X110" s="1058">
        <f t="shared" ca="1" si="12"/>
        <v>439.375</v>
      </c>
      <c r="Y110" s="1068">
        <f t="shared" ref="Y110:Y118" ca="1" si="18">X110-V110</f>
        <v>189.375</v>
      </c>
      <c r="Z110" s="1061">
        <f ca="1">VLOOKUP(Myリゾート!$C110,OFFSET(高速化データ!$A$6,0,0,高速化データ!$A$1,106), 32, TRUE)</f>
        <v>6</v>
      </c>
      <c r="AA110" s="1060">
        <f ca="1">VLOOKUP(Myリゾート!$C110,OFFSET(高速化データ!$A$6,0,0,高速化データ!$A$1,106), 33, TRUE)</f>
        <v>1500</v>
      </c>
      <c r="AB110" s="1060">
        <f ca="1">VLOOKUP(Myリゾート!$C110,OFFSET(高速化データ!$A$6,0,0,高速化データ!$A$1,106), 34, TRUE)</f>
        <v>6000</v>
      </c>
      <c r="AC110" s="1060">
        <f ca="1">VLOOKUP(Myリゾート!$C110,OFFSET(高速化データ!$A$6,0,0,高速化データ!$A$1,106), 35, TRUE)</f>
        <v>300</v>
      </c>
      <c r="AD110" s="1069">
        <f ca="1">VLOOKUP(Myリゾート!$C110,OFFSET(高速化データ!$A$6,0,0,高速化データ!$A$1,106), 36, TRUE)</f>
        <v>1200</v>
      </c>
      <c r="AE110" s="1066">
        <f ca="1">VLOOKUP(Myリゾート!$C110,OFFSET(高速化データ!$A$6,0,0,高速化データ!$A$1,106), 16+($I110*14), TRUE)</f>
        <v>375</v>
      </c>
      <c r="AF110" s="1058">
        <f ca="1">VLOOKUP(Myリゾート!$C110,OFFSET(高速化データ!$A$6,0,0,高速化データ!$A$1,106), 17+($I110*14), TRUE)</f>
        <v>375</v>
      </c>
      <c r="AG110" s="1058">
        <f t="shared" ca="1" si="13"/>
        <v>659.0625</v>
      </c>
      <c r="AH110" s="1068">
        <f t="shared" ref="AH110:AH118" ca="1" si="19">AG110-AE110</f>
        <v>284.0625</v>
      </c>
      <c r="AI110" s="1061">
        <f ca="1">VLOOKUP(Myリゾート!$C110,OFFSET(高速化データ!$A$6,0,0,高速化データ!$A$1,106), 18+($I110*14), TRUE)</f>
        <v>6</v>
      </c>
      <c r="AJ110" s="1058">
        <f ca="1">VLOOKUP(Myリゾート!$C110,OFFSET(高速化データ!$A$6,0,0,高速化データ!$A$1,106), 19+($I110*14), TRUE)</f>
        <v>2250</v>
      </c>
      <c r="AK110" s="1058">
        <f ca="1">VLOOKUP(Myリゾート!$C110,OFFSET(高速化データ!$A$6,0,0,高速化データ!$A$1,106), 20+($I110*14), TRUE)</f>
        <v>9000</v>
      </c>
      <c r="AL110" s="1058">
        <f ca="1">VLOOKUP(Myリゾート!$C110,OFFSET(高速化データ!$A$6,0,0,高速化データ!$A$1,106), 21+($I110*14), TRUE)</f>
        <v>450</v>
      </c>
      <c r="AM110" s="1070">
        <f ca="1">VLOOKUP(Myリゾート!$C110,OFFSET(高速化データ!$A$6,0,0,高速化データ!$A$1,106), 22+($I110*14), TRUE)</f>
        <v>1800</v>
      </c>
      <c r="AN110" s="1072">
        <f ca="1">VLOOKUP(Myリゾート!$C110,OFFSET(高速化データ!$A$6,0,0,高速化データ!$A$1,106), 11, TRUE)</f>
        <v>0.2</v>
      </c>
      <c r="AO110" s="1110">
        <f ca="1">VLOOKUP(Myリゾート!$C110,OFFSET(高速化データ!$A$6,0,0,高速化データ!$A$1,106), 13, TRUE)</f>
        <v>30</v>
      </c>
      <c r="AP110" s="1073" t="str">
        <f ca="1">VLOOKUP(Myリゾート!$C110,OFFSET(高速化データ!$A$6,0,0,高速化データ!$A$1,106), 15, TRUE)</f>
        <v>A</v>
      </c>
      <c r="AQ110" s="1071" t="str">
        <f ca="1">VLOOKUP(Myリゾート!$C110,OFFSET(高速化データ!$A$6,0,0,高速化データ!$A$1,106), 9, TRUE)</f>
        <v>24限定</v>
      </c>
      <c r="AR110" s="1112">
        <f ca="1">IF($I110=5, 0,VLOOKUP(Myリゾート!$C110,OFFSET(高速化データ!$A$6,0,0,高速化データ!$A$1,106), 23+(($I110+1)*14), TRUE))</f>
        <v>72</v>
      </c>
      <c r="AS110" s="1058">
        <f ca="1">IF($I110=5, 0,VLOOKUP(Myリゾート!$C110,OFFSET(高速化データ!$A$6,0,0,高速化データ!$A$1,106), 24+(($I110+1)*14), TRUE))</f>
        <v>5100000</v>
      </c>
      <c r="AT110" s="1074">
        <f ca="1">IF($I110=5, 0,VLOOKUP(Myリゾート!$C110,OFFSET(高速化データ!$A$6,0,0,高速化データ!$A$1,106), 25+(($I110+1)*14), TRUE))</f>
        <v>0</v>
      </c>
      <c r="AU110" s="1074">
        <f ca="1">IF($I110=5, 0,VLOOKUP(Myリゾート!$C110,OFFSET(高速化データ!$A$6,0,0,高速化データ!$A$1,106), 26+(($I110+1)*14), TRUE))</f>
        <v>10</v>
      </c>
      <c r="AV110" s="1074">
        <f ca="1">IF($I110=5, 0,VLOOKUP(Myリゾート!$C110,OFFSET(高速化データ!$A$6,0,0,高速化データ!$A$1,106), 27+(($I110+1)*14), TRUE))</f>
        <v>0</v>
      </c>
      <c r="AW110" s="1075">
        <f ca="1">IF($I110=5, 0,VLOOKUP(Myリゾート!$C110,OFFSET(高速化データ!$A$6,0,0,高速化データ!$A$1,106), 28+(($I110+1)*14), TRUE))</f>
        <v>83.619374523264682</v>
      </c>
      <c r="AX110" s="1070">
        <f ca="1">IF($I110=5, 0,VLOOKUP(Myリゾート!$C110,OFFSET(高速化データ!$A$6,0,0,高速化データ!$A$1,106), 29+(($I110+1)*14), TRUE))</f>
        <v>70833</v>
      </c>
      <c r="AY110" s="1066">
        <f ca="1">IF($I110=5, 0, VLOOKUP(Myリゾート!$C110,OFFSET(高速化データ!$A$6,0,0,高速化データ!$A$1,106), 19+(($I110+1)*14), TRUE)-AJ110)</f>
        <v>372</v>
      </c>
      <c r="AZ110" s="1058">
        <f ca="1">IF($I110=5, 0, VLOOKUP(Myリゾート!$C110,OFFSET(高速化データ!$A$6,0,0,高速化データ!$A$1,106), 20+(($I110+1)*14), TRUE)-AK110)</f>
        <v>1488</v>
      </c>
      <c r="BA110" s="1076">
        <f ca="1">IF($I110=5, 0, VLOOKUP(Myリゾート!$C110,OFFSET(高速化データ!$A$6,0,0,高速化データ!$A$1,106), 17+(($I110+1)*14), TRUE)*$B$1/100-VLOOKUP(Myリゾート!$C110,OFFSET(高速化データ!$A$6,0,0,高速化データ!$A$1,106), 16+(($I110+1)*14),TRUE)-AH110)</f>
        <v>46.965000000000032</v>
      </c>
      <c r="BB110" s="1056">
        <f t="shared" ca="1" si="14"/>
        <v>1250</v>
      </c>
      <c r="BC110" s="1057">
        <f t="shared" ca="1" si="14"/>
        <v>5000</v>
      </c>
      <c r="BD110" s="1068">
        <f t="shared" ref="BD110:BD118" ca="1" si="20">P110-AH110</f>
        <v>94.6875</v>
      </c>
      <c r="BE110" s="9">
        <f t="shared" ca="1" si="15"/>
        <v>375</v>
      </c>
      <c r="BF110" s="7">
        <f t="shared" ca="1" si="15"/>
        <v>375</v>
      </c>
      <c r="BG110" s="7">
        <f t="shared" ca="1" si="16"/>
        <v>2250</v>
      </c>
      <c r="BH110" s="7">
        <f t="shared" ca="1" si="16"/>
        <v>9000</v>
      </c>
      <c r="BI110" s="7">
        <f t="shared" ca="1" si="16"/>
        <v>450</v>
      </c>
      <c r="BJ110" s="7">
        <f t="shared" ca="1" si="16"/>
        <v>1800</v>
      </c>
      <c r="BK110" s="8">
        <f t="shared" ref="BK110:BK118" ca="1" si="21">IF(AND(I110=0, NOT(ISBLANK(J110))), V110,AE110)</f>
        <v>375</v>
      </c>
    </row>
    <row r="111" spans="2:63">
      <c r="B111" s="1127" t="s">
        <v>69</v>
      </c>
      <c r="C111" s="1055">
        <f ca="1">VLOOKUP(Myリゾート!$B111,OFFSET(高速化データ!$DD$6,0,0,高速化データ!$A$1,2), 2, FALSE)</f>
        <v>12</v>
      </c>
      <c r="D111" s="59" t="str">
        <f ca="1">LEFT(VLOOKUP(Myリゾート!$C111,OFFSET(高速化データ!$A$6,0,0,高速化データ!$A$1,106), 3, TRUE),2)</f>
        <v>エン</v>
      </c>
      <c r="E111" s="1063" t="str">
        <f ca="1">VLOOKUP(Myリゾート!$C111,OFFSET(高速化データ!$A$6,0,0,高速化データ!$A$1,106), 4, TRUE)&amp;""</f>
        <v/>
      </c>
      <c r="F111" s="1064" t="str">
        <f ca="1">VLOOKUP(Myリゾート!$C111,OFFSET(高速化データ!$A$6,0,0,高速化データ!$A$1,106), 5, TRUE)&amp;""</f>
        <v>○</v>
      </c>
      <c r="G111" s="1064" t="str">
        <f ca="1">VLOOKUP(Myリゾート!$C111,OFFSET(高速化データ!$A$6,0,0,高速化データ!$A$1,106), 6, TRUE)&amp;""</f>
        <v/>
      </c>
      <c r="H111" s="1065" t="str">
        <f ca="1">VLOOKUP(Myリゾート!$C111,OFFSET(高速化データ!$A$6,0,0,高速化データ!$A$1,106), 7, TRUE)&amp;""</f>
        <v/>
      </c>
      <c r="I111" s="1131">
        <v>3</v>
      </c>
      <c r="J111" s="1134"/>
      <c r="K111" s="1061">
        <f ca="1">VLOOKUP(Myリゾート!$C111,OFFSET(高速化データ!$A$6,0,0,高速化データ!$A$1,106), 10, TRUE)</f>
        <v>1</v>
      </c>
      <c r="L111" s="1062">
        <f ca="1">VLOOKUP(Myリゾート!$C111,OFFSET(高速化データ!$A$6,0,0,高速化データ!$A$1,106), 12, TRUE)</f>
        <v>0.57219251336898391</v>
      </c>
      <c r="M111" s="1066">
        <f ca="1">VLOOKUP(Myリゾート!$C111,OFFSET(高速化データ!$A$6,0,0,高速化データ!$A$1,106), 86, TRUE)</f>
        <v>214</v>
      </c>
      <c r="N111" s="1058">
        <f ca="1">VLOOKUP(Myリゾート!$C111,OFFSET(高速化データ!$A$6,0,0,高速化データ!$A$1,106), 87, TRUE)</f>
        <v>374</v>
      </c>
      <c r="O111" s="1058">
        <f t="shared" ca="1" si="11"/>
        <v>657.30499999999995</v>
      </c>
      <c r="P111" s="1059">
        <f t="shared" ca="1" si="17"/>
        <v>443.30499999999995</v>
      </c>
      <c r="Q111" s="1061">
        <f ca="1">VLOOKUP(Myリゾート!$C111,OFFSET(高速化データ!$A$6,0,0,高速化データ!$A$1,106), 88, TRUE)</f>
        <v>8</v>
      </c>
      <c r="R111" s="1060">
        <f ca="1">VLOOKUP(Myリゾート!$C111,OFFSET(高速化データ!$A$6,0,0,高速化データ!$A$1,106), 89, TRUE)</f>
        <v>1712</v>
      </c>
      <c r="S111" s="1060">
        <f ca="1">VLOOKUP(Myリゾート!$C111,OFFSET(高速化データ!$A$6,0,0,高速化データ!$A$1,106), 90, TRUE)</f>
        <v>1712</v>
      </c>
      <c r="T111" s="1060">
        <f ca="1">VLOOKUP(Myリゾート!$C111,OFFSET(高速化データ!$A$6,0,0,高速化データ!$A$1,106), 91, TRUE)</f>
        <v>171</v>
      </c>
      <c r="U111" s="1067">
        <f ca="1">VLOOKUP(Myリゾート!$C111,OFFSET(高速化データ!$A$6,0,0,高速化データ!$A$1,106), 92, TRUE)</f>
        <v>171</v>
      </c>
      <c r="V111" s="1066">
        <f ca="1">VLOOKUP(Myリゾート!$C111,OFFSET(高速化データ!$A$6,0,0,高速化データ!$A$1,106), 30, TRUE)</f>
        <v>107</v>
      </c>
      <c r="W111" s="1058">
        <f ca="1">VLOOKUP(Myリゾート!$C111,OFFSET(高速化データ!$A$6,0,0,高速化データ!$A$1,106), 31, TRUE)</f>
        <v>187</v>
      </c>
      <c r="X111" s="1058">
        <f t="shared" ca="1" si="12"/>
        <v>328.65249999999997</v>
      </c>
      <c r="Y111" s="1068">
        <f t="shared" ca="1" si="18"/>
        <v>221.65249999999997</v>
      </c>
      <c r="Z111" s="1061">
        <f ca="1">VLOOKUP(Myリゾート!$C111,OFFSET(高速化データ!$A$6,0,0,高速化データ!$A$1,106), 32, TRUE)</f>
        <v>7</v>
      </c>
      <c r="AA111" s="1060">
        <f ca="1">VLOOKUP(Myリゾート!$C111,OFFSET(高速化データ!$A$6,0,0,高速化データ!$A$1,106), 33, TRUE)</f>
        <v>749</v>
      </c>
      <c r="AB111" s="1060">
        <f ca="1">VLOOKUP(Myリゾート!$C111,OFFSET(高速化データ!$A$6,0,0,高速化データ!$A$1,106), 34, TRUE)</f>
        <v>749</v>
      </c>
      <c r="AC111" s="1060">
        <f ca="1">VLOOKUP(Myリゾート!$C111,OFFSET(高速化データ!$A$6,0,0,高速化データ!$A$1,106), 35, TRUE)</f>
        <v>74</v>
      </c>
      <c r="AD111" s="1069">
        <f ca="1">VLOOKUP(Myリゾート!$C111,OFFSET(高速化データ!$A$6,0,0,高速化データ!$A$1,106), 36, TRUE)</f>
        <v>74</v>
      </c>
      <c r="AE111" s="1066">
        <f ca="1">VLOOKUP(Myリゾート!$C111,OFFSET(高速化データ!$A$6,0,0,高速化データ!$A$1,106), 16+($I111*14), TRUE)</f>
        <v>187</v>
      </c>
      <c r="AF111" s="1058">
        <f ca="1">VLOOKUP(Myリゾート!$C111,OFFSET(高速化データ!$A$6,0,0,高速化データ!$A$1,106), 17+($I111*14), TRUE)</f>
        <v>327</v>
      </c>
      <c r="AG111" s="1058">
        <f t="shared" ca="1" si="13"/>
        <v>574.70249999999999</v>
      </c>
      <c r="AH111" s="1068">
        <f t="shared" ca="1" si="19"/>
        <v>387.70249999999999</v>
      </c>
      <c r="AI111" s="1061">
        <f ca="1">VLOOKUP(Myリゾート!$C111,OFFSET(高速化データ!$A$6,0,0,高速化データ!$A$1,106), 18+($I111*14), TRUE)</f>
        <v>8</v>
      </c>
      <c r="AJ111" s="1058">
        <f ca="1">VLOOKUP(Myリゾート!$C111,OFFSET(高速化データ!$A$6,0,0,高速化データ!$A$1,106), 19+($I111*14), TRUE)</f>
        <v>1496</v>
      </c>
      <c r="AK111" s="1058">
        <f ca="1">VLOOKUP(Myリゾート!$C111,OFFSET(高速化データ!$A$6,0,0,高速化データ!$A$1,106), 20+($I111*14), TRUE)</f>
        <v>1496</v>
      </c>
      <c r="AL111" s="1058">
        <f ca="1">VLOOKUP(Myリゾート!$C111,OFFSET(高速化データ!$A$6,0,0,高速化データ!$A$1,106), 21+($I111*14), TRUE)</f>
        <v>149</v>
      </c>
      <c r="AM111" s="1070">
        <f ca="1">VLOOKUP(Myリゾート!$C111,OFFSET(高速化データ!$A$6,0,0,高速化データ!$A$1,106), 22+($I111*14), TRUE)</f>
        <v>149</v>
      </c>
      <c r="AN111" s="1072">
        <f ca="1">VLOOKUP(Myリゾート!$C111,OFFSET(高速化データ!$A$6,0,0,高速化データ!$A$1,106), 11, TRUE)</f>
        <v>0.1</v>
      </c>
      <c r="AO111" s="1110">
        <f ca="1">VLOOKUP(Myリゾート!$C111,OFFSET(高速化データ!$A$6,0,0,高速化データ!$A$1,106), 13, TRUE)</f>
        <v>30</v>
      </c>
      <c r="AP111" s="1073" t="str">
        <f ca="1">VLOOKUP(Myリゾート!$C111,OFFSET(高速化データ!$A$6,0,0,高速化データ!$A$1,106), 15, TRUE)</f>
        <v>A</v>
      </c>
      <c r="AQ111" s="1071" t="str">
        <f ca="1">VLOOKUP(Myリゾート!$C111,OFFSET(高速化データ!$A$6,0,0,高速化データ!$A$1,106), 9, TRUE)</f>
        <v>景品</v>
      </c>
      <c r="AR111" s="1112">
        <f ca="1">IF($I111=5, 0,VLOOKUP(Myリゾート!$C111,OFFSET(高速化データ!$A$6,0,0,高速化データ!$A$1,106), 23+(($I111+1)*14), TRUE))</f>
        <v>0.75</v>
      </c>
      <c r="AS111" s="1058">
        <f ca="1">IF($I111=5, 0,VLOOKUP(Myリゾート!$C111,OFFSET(高速化データ!$A$6,0,0,高速化データ!$A$1,106), 24+(($I111+1)*14), TRUE))</f>
        <v>6000</v>
      </c>
      <c r="AT111" s="1074">
        <f ca="1">IF($I111=5, 0,VLOOKUP(Myリゾート!$C111,OFFSET(高速化データ!$A$6,0,0,高速化データ!$A$1,106), 25+(($I111+1)*14), TRUE))</f>
        <v>0</v>
      </c>
      <c r="AU111" s="1074">
        <f ca="1">IF($I111=5, 0,VLOOKUP(Myリゾート!$C111,OFFSET(高速化データ!$A$6,0,0,高速化データ!$A$1,106), 26+(($I111+1)*14), TRUE))</f>
        <v>0</v>
      </c>
      <c r="AV111" s="1074">
        <f ca="1">IF($I111=5, 0,VLOOKUP(Myリゾート!$C111,OFFSET(高速化データ!$A$6,0,0,高速化データ!$A$1,106), 27+(($I111+1)*14), TRUE))</f>
        <v>0</v>
      </c>
      <c r="AW111" s="1075">
        <f ca="1">IF($I111=5, 0,VLOOKUP(Myリゾート!$C111,OFFSET(高速化データ!$A$6,0,0,高速化データ!$A$1,106), 28+(($I111+1)*14), TRUE))</f>
        <v>0.18272783251231528</v>
      </c>
      <c r="AX111" s="1070">
        <f ca="1">IF($I111=5, 0,VLOOKUP(Myリゾート!$C111,OFFSET(高速化データ!$A$6,0,0,高速化データ!$A$1,106), 29+(($I111+1)*14), TRUE))</f>
        <v>8000</v>
      </c>
      <c r="AY111" s="1066">
        <f ca="1">IF($I111=5, 0, VLOOKUP(Myリゾート!$C111,OFFSET(高速化データ!$A$6,0,0,高速化データ!$A$1,106), 19+(($I111+1)*14), TRUE)-AJ111)</f>
        <v>128</v>
      </c>
      <c r="AZ111" s="1058">
        <f ca="1">IF($I111=5, 0, VLOOKUP(Myリゾート!$C111,OFFSET(高速化データ!$A$6,0,0,高速化データ!$A$1,106), 20+(($I111+1)*14), TRUE)-AK111)</f>
        <v>128</v>
      </c>
      <c r="BA111" s="1076">
        <f ca="1">IF($I111=5, 0, VLOOKUP(Myリゾート!$C111,OFFSET(高速化データ!$A$6,0,0,高速化データ!$A$1,106), 17+(($I111+1)*14), TRUE)*$B$1/100-VLOOKUP(Myリゾート!$C111,OFFSET(高速化データ!$A$6,0,0,高速化データ!$A$1,106), 16+(($I111+1)*14),TRUE)-AH111)</f>
        <v>33.210000000000036</v>
      </c>
      <c r="BB111" s="1056">
        <f t="shared" ca="1" si="14"/>
        <v>216</v>
      </c>
      <c r="BC111" s="1057">
        <f t="shared" ca="1" si="14"/>
        <v>216</v>
      </c>
      <c r="BD111" s="1068">
        <f t="shared" ca="1" si="20"/>
        <v>55.602499999999964</v>
      </c>
      <c r="BE111" s="9">
        <f t="shared" ca="1" si="15"/>
        <v>187</v>
      </c>
      <c r="BF111" s="7">
        <f t="shared" ca="1" si="15"/>
        <v>327</v>
      </c>
      <c r="BG111" s="7">
        <f t="shared" ca="1" si="16"/>
        <v>1496</v>
      </c>
      <c r="BH111" s="7">
        <f t="shared" ca="1" si="16"/>
        <v>1496</v>
      </c>
      <c r="BI111" s="7">
        <f t="shared" ca="1" si="16"/>
        <v>149</v>
      </c>
      <c r="BJ111" s="7">
        <f t="shared" ca="1" si="16"/>
        <v>149</v>
      </c>
      <c r="BK111" s="8">
        <f t="shared" ca="1" si="21"/>
        <v>187</v>
      </c>
    </row>
    <row r="112" spans="2:63">
      <c r="B112" s="1127" t="s">
        <v>69</v>
      </c>
      <c r="C112" s="1055">
        <f ca="1">VLOOKUP(Myリゾート!$B112,OFFSET(高速化データ!$DD$6,0,0,高速化データ!$A$1,2), 2, FALSE)</f>
        <v>12</v>
      </c>
      <c r="D112" s="59" t="str">
        <f ca="1">LEFT(VLOOKUP(Myリゾート!$C112,OFFSET(高速化データ!$A$6,0,0,高速化データ!$A$1,106), 3, TRUE),2)</f>
        <v>エン</v>
      </c>
      <c r="E112" s="1063" t="str">
        <f ca="1">VLOOKUP(Myリゾート!$C112,OFFSET(高速化データ!$A$6,0,0,高速化データ!$A$1,106), 4, TRUE)&amp;""</f>
        <v/>
      </c>
      <c r="F112" s="1064" t="str">
        <f ca="1">VLOOKUP(Myリゾート!$C112,OFFSET(高速化データ!$A$6,0,0,高速化データ!$A$1,106), 5, TRUE)&amp;""</f>
        <v>○</v>
      </c>
      <c r="G112" s="1064" t="str">
        <f ca="1">VLOOKUP(Myリゾート!$C112,OFFSET(高速化データ!$A$6,0,0,高速化データ!$A$1,106), 6, TRUE)&amp;""</f>
        <v/>
      </c>
      <c r="H112" s="1065" t="str">
        <f ca="1">VLOOKUP(Myリゾート!$C112,OFFSET(高速化データ!$A$6,0,0,高速化データ!$A$1,106), 7, TRUE)&amp;""</f>
        <v/>
      </c>
      <c r="I112" s="1131">
        <v>3</v>
      </c>
      <c r="J112" s="1134"/>
      <c r="K112" s="1061">
        <f ca="1">VLOOKUP(Myリゾート!$C112,OFFSET(高速化データ!$A$6,0,0,高速化データ!$A$1,106), 10, TRUE)</f>
        <v>1</v>
      </c>
      <c r="L112" s="1062">
        <f ca="1">VLOOKUP(Myリゾート!$C112,OFFSET(高速化データ!$A$6,0,0,高速化データ!$A$1,106), 12, TRUE)</f>
        <v>0.57219251336898391</v>
      </c>
      <c r="M112" s="1066">
        <f ca="1">VLOOKUP(Myリゾート!$C112,OFFSET(高速化データ!$A$6,0,0,高速化データ!$A$1,106), 86, TRUE)</f>
        <v>214</v>
      </c>
      <c r="N112" s="1058">
        <f ca="1">VLOOKUP(Myリゾート!$C112,OFFSET(高速化データ!$A$6,0,0,高速化データ!$A$1,106), 87, TRUE)</f>
        <v>374</v>
      </c>
      <c r="O112" s="1058">
        <f t="shared" ca="1" si="11"/>
        <v>657.30499999999995</v>
      </c>
      <c r="P112" s="1059">
        <f t="shared" ca="1" si="17"/>
        <v>443.30499999999995</v>
      </c>
      <c r="Q112" s="1061">
        <f ca="1">VLOOKUP(Myリゾート!$C112,OFFSET(高速化データ!$A$6,0,0,高速化データ!$A$1,106), 88, TRUE)</f>
        <v>8</v>
      </c>
      <c r="R112" s="1060">
        <f ca="1">VLOOKUP(Myリゾート!$C112,OFFSET(高速化データ!$A$6,0,0,高速化データ!$A$1,106), 89, TRUE)</f>
        <v>1712</v>
      </c>
      <c r="S112" s="1060">
        <f ca="1">VLOOKUP(Myリゾート!$C112,OFFSET(高速化データ!$A$6,0,0,高速化データ!$A$1,106), 90, TRUE)</f>
        <v>1712</v>
      </c>
      <c r="T112" s="1060">
        <f ca="1">VLOOKUP(Myリゾート!$C112,OFFSET(高速化データ!$A$6,0,0,高速化データ!$A$1,106), 91, TRUE)</f>
        <v>171</v>
      </c>
      <c r="U112" s="1067">
        <f ca="1">VLOOKUP(Myリゾート!$C112,OFFSET(高速化データ!$A$6,0,0,高速化データ!$A$1,106), 92, TRUE)</f>
        <v>171</v>
      </c>
      <c r="V112" s="1066">
        <f ca="1">VLOOKUP(Myリゾート!$C112,OFFSET(高速化データ!$A$6,0,0,高速化データ!$A$1,106), 30, TRUE)</f>
        <v>107</v>
      </c>
      <c r="W112" s="1058">
        <f ca="1">VLOOKUP(Myリゾート!$C112,OFFSET(高速化データ!$A$6,0,0,高速化データ!$A$1,106), 31, TRUE)</f>
        <v>187</v>
      </c>
      <c r="X112" s="1058">
        <f t="shared" ca="1" si="12"/>
        <v>328.65249999999997</v>
      </c>
      <c r="Y112" s="1068">
        <f t="shared" ca="1" si="18"/>
        <v>221.65249999999997</v>
      </c>
      <c r="Z112" s="1061">
        <f ca="1">VLOOKUP(Myリゾート!$C112,OFFSET(高速化データ!$A$6,0,0,高速化データ!$A$1,106), 32, TRUE)</f>
        <v>7</v>
      </c>
      <c r="AA112" s="1060">
        <f ca="1">VLOOKUP(Myリゾート!$C112,OFFSET(高速化データ!$A$6,0,0,高速化データ!$A$1,106), 33, TRUE)</f>
        <v>749</v>
      </c>
      <c r="AB112" s="1060">
        <f ca="1">VLOOKUP(Myリゾート!$C112,OFFSET(高速化データ!$A$6,0,0,高速化データ!$A$1,106), 34, TRUE)</f>
        <v>749</v>
      </c>
      <c r="AC112" s="1060">
        <f ca="1">VLOOKUP(Myリゾート!$C112,OFFSET(高速化データ!$A$6,0,0,高速化データ!$A$1,106), 35, TRUE)</f>
        <v>74</v>
      </c>
      <c r="AD112" s="1069">
        <f ca="1">VLOOKUP(Myリゾート!$C112,OFFSET(高速化データ!$A$6,0,0,高速化データ!$A$1,106), 36, TRUE)</f>
        <v>74</v>
      </c>
      <c r="AE112" s="1066">
        <f ca="1">VLOOKUP(Myリゾート!$C112,OFFSET(高速化データ!$A$6,0,0,高速化データ!$A$1,106), 16+($I112*14), TRUE)</f>
        <v>187</v>
      </c>
      <c r="AF112" s="1058">
        <f ca="1">VLOOKUP(Myリゾート!$C112,OFFSET(高速化データ!$A$6,0,0,高速化データ!$A$1,106), 17+($I112*14), TRUE)</f>
        <v>327</v>
      </c>
      <c r="AG112" s="1058">
        <f t="shared" ca="1" si="13"/>
        <v>574.70249999999999</v>
      </c>
      <c r="AH112" s="1068">
        <f t="shared" ca="1" si="19"/>
        <v>387.70249999999999</v>
      </c>
      <c r="AI112" s="1061">
        <f ca="1">VLOOKUP(Myリゾート!$C112,OFFSET(高速化データ!$A$6,0,0,高速化データ!$A$1,106), 18+($I112*14), TRUE)</f>
        <v>8</v>
      </c>
      <c r="AJ112" s="1058">
        <f ca="1">VLOOKUP(Myリゾート!$C112,OFFSET(高速化データ!$A$6,0,0,高速化データ!$A$1,106), 19+($I112*14), TRUE)</f>
        <v>1496</v>
      </c>
      <c r="AK112" s="1058">
        <f ca="1">VLOOKUP(Myリゾート!$C112,OFFSET(高速化データ!$A$6,0,0,高速化データ!$A$1,106), 20+($I112*14), TRUE)</f>
        <v>1496</v>
      </c>
      <c r="AL112" s="1058">
        <f ca="1">VLOOKUP(Myリゾート!$C112,OFFSET(高速化データ!$A$6,0,0,高速化データ!$A$1,106), 21+($I112*14), TRUE)</f>
        <v>149</v>
      </c>
      <c r="AM112" s="1070">
        <f ca="1">VLOOKUP(Myリゾート!$C112,OFFSET(高速化データ!$A$6,0,0,高速化データ!$A$1,106), 22+($I112*14), TRUE)</f>
        <v>149</v>
      </c>
      <c r="AN112" s="1072">
        <f ca="1">VLOOKUP(Myリゾート!$C112,OFFSET(高速化データ!$A$6,0,0,高速化データ!$A$1,106), 11, TRUE)</f>
        <v>0.1</v>
      </c>
      <c r="AO112" s="1110">
        <f ca="1">VLOOKUP(Myリゾート!$C112,OFFSET(高速化データ!$A$6,0,0,高速化データ!$A$1,106), 13, TRUE)</f>
        <v>30</v>
      </c>
      <c r="AP112" s="1073" t="str">
        <f ca="1">VLOOKUP(Myリゾート!$C112,OFFSET(高速化データ!$A$6,0,0,高速化データ!$A$1,106), 15, TRUE)</f>
        <v>A</v>
      </c>
      <c r="AQ112" s="1071" t="str">
        <f ca="1">VLOOKUP(Myリゾート!$C112,OFFSET(高速化データ!$A$6,0,0,高速化データ!$A$1,106), 9, TRUE)</f>
        <v>景品</v>
      </c>
      <c r="AR112" s="1112">
        <f ca="1">IF($I112=5, 0,VLOOKUP(Myリゾート!$C112,OFFSET(高速化データ!$A$6,0,0,高速化データ!$A$1,106), 23+(($I112+1)*14), TRUE))</f>
        <v>0.75</v>
      </c>
      <c r="AS112" s="1058">
        <f ca="1">IF($I112=5, 0,VLOOKUP(Myリゾート!$C112,OFFSET(高速化データ!$A$6,0,0,高速化データ!$A$1,106), 24+(($I112+1)*14), TRUE))</f>
        <v>6000</v>
      </c>
      <c r="AT112" s="1074">
        <f ca="1">IF($I112=5, 0,VLOOKUP(Myリゾート!$C112,OFFSET(高速化データ!$A$6,0,0,高速化データ!$A$1,106), 25+(($I112+1)*14), TRUE))</f>
        <v>0</v>
      </c>
      <c r="AU112" s="1074">
        <f ca="1">IF($I112=5, 0,VLOOKUP(Myリゾート!$C112,OFFSET(高速化データ!$A$6,0,0,高速化データ!$A$1,106), 26+(($I112+1)*14), TRUE))</f>
        <v>0</v>
      </c>
      <c r="AV112" s="1074">
        <f ca="1">IF($I112=5, 0,VLOOKUP(Myリゾート!$C112,OFFSET(高速化データ!$A$6,0,0,高速化データ!$A$1,106), 27+(($I112+1)*14), TRUE))</f>
        <v>0</v>
      </c>
      <c r="AW112" s="1075">
        <f ca="1">IF($I112=5, 0,VLOOKUP(Myリゾート!$C112,OFFSET(高速化データ!$A$6,0,0,高速化データ!$A$1,106), 28+(($I112+1)*14), TRUE))</f>
        <v>0.18272783251231528</v>
      </c>
      <c r="AX112" s="1070">
        <f ca="1">IF($I112=5, 0,VLOOKUP(Myリゾート!$C112,OFFSET(高速化データ!$A$6,0,0,高速化データ!$A$1,106), 29+(($I112+1)*14), TRUE))</f>
        <v>8000</v>
      </c>
      <c r="AY112" s="1066">
        <f ca="1">IF($I112=5, 0, VLOOKUP(Myリゾート!$C112,OFFSET(高速化データ!$A$6,0,0,高速化データ!$A$1,106), 19+(($I112+1)*14), TRUE)-AJ112)</f>
        <v>128</v>
      </c>
      <c r="AZ112" s="1058">
        <f ca="1">IF($I112=5, 0, VLOOKUP(Myリゾート!$C112,OFFSET(高速化データ!$A$6,0,0,高速化データ!$A$1,106), 20+(($I112+1)*14), TRUE)-AK112)</f>
        <v>128</v>
      </c>
      <c r="BA112" s="1076">
        <f ca="1">IF($I112=5, 0, VLOOKUP(Myリゾート!$C112,OFFSET(高速化データ!$A$6,0,0,高速化データ!$A$1,106), 17+(($I112+1)*14), TRUE)*$B$1/100-VLOOKUP(Myリゾート!$C112,OFFSET(高速化データ!$A$6,0,0,高速化データ!$A$1,106), 16+(($I112+1)*14),TRUE)-AH112)</f>
        <v>33.210000000000036</v>
      </c>
      <c r="BB112" s="1056">
        <f t="shared" ca="1" si="14"/>
        <v>216</v>
      </c>
      <c r="BC112" s="1057">
        <f t="shared" ca="1" si="14"/>
        <v>216</v>
      </c>
      <c r="BD112" s="1068">
        <f t="shared" ca="1" si="20"/>
        <v>55.602499999999964</v>
      </c>
      <c r="BE112" s="9">
        <f t="shared" ca="1" si="15"/>
        <v>187</v>
      </c>
      <c r="BF112" s="7">
        <f t="shared" ca="1" si="15"/>
        <v>327</v>
      </c>
      <c r="BG112" s="7">
        <f t="shared" ca="1" si="16"/>
        <v>1496</v>
      </c>
      <c r="BH112" s="7">
        <f t="shared" ca="1" si="16"/>
        <v>1496</v>
      </c>
      <c r="BI112" s="7">
        <f t="shared" ca="1" si="16"/>
        <v>149</v>
      </c>
      <c r="BJ112" s="7">
        <f t="shared" ca="1" si="16"/>
        <v>149</v>
      </c>
      <c r="BK112" s="8">
        <f t="shared" ca="1" si="21"/>
        <v>187</v>
      </c>
    </row>
    <row r="113" spans="2:63">
      <c r="B113" s="1127" t="s">
        <v>69</v>
      </c>
      <c r="C113" s="1055">
        <f ca="1">VLOOKUP(Myリゾート!$B113,OFFSET(高速化データ!$DD$6,0,0,高速化データ!$A$1,2), 2, FALSE)</f>
        <v>12</v>
      </c>
      <c r="D113" s="59" t="str">
        <f ca="1">LEFT(VLOOKUP(Myリゾート!$C113,OFFSET(高速化データ!$A$6,0,0,高速化データ!$A$1,106), 3, TRUE),2)</f>
        <v>エン</v>
      </c>
      <c r="E113" s="1063" t="str">
        <f ca="1">VLOOKUP(Myリゾート!$C113,OFFSET(高速化データ!$A$6,0,0,高速化データ!$A$1,106), 4, TRUE)&amp;""</f>
        <v/>
      </c>
      <c r="F113" s="1064" t="str">
        <f ca="1">VLOOKUP(Myリゾート!$C113,OFFSET(高速化データ!$A$6,0,0,高速化データ!$A$1,106), 5, TRUE)&amp;""</f>
        <v>○</v>
      </c>
      <c r="G113" s="1064" t="str">
        <f ca="1">VLOOKUP(Myリゾート!$C113,OFFSET(高速化データ!$A$6,0,0,高速化データ!$A$1,106), 6, TRUE)&amp;""</f>
        <v/>
      </c>
      <c r="H113" s="1065" t="str">
        <f ca="1">VLOOKUP(Myリゾート!$C113,OFFSET(高速化データ!$A$6,0,0,高速化データ!$A$1,106), 7, TRUE)&amp;""</f>
        <v/>
      </c>
      <c r="I113" s="1131">
        <v>5</v>
      </c>
      <c r="J113" s="1134"/>
      <c r="K113" s="1061">
        <f ca="1">VLOOKUP(Myリゾート!$C113,OFFSET(高速化データ!$A$6,0,0,高速化データ!$A$1,106), 10, TRUE)</f>
        <v>1</v>
      </c>
      <c r="L113" s="1062">
        <f ca="1">VLOOKUP(Myリゾート!$C113,OFFSET(高速化データ!$A$6,0,0,高速化データ!$A$1,106), 12, TRUE)</f>
        <v>0.57219251336898391</v>
      </c>
      <c r="M113" s="1066">
        <f ca="1">VLOOKUP(Myリゾート!$C113,OFFSET(高速化データ!$A$6,0,0,高速化データ!$A$1,106), 86, TRUE)</f>
        <v>214</v>
      </c>
      <c r="N113" s="1058">
        <f ca="1">VLOOKUP(Myリゾート!$C113,OFFSET(高速化データ!$A$6,0,0,高速化データ!$A$1,106), 87, TRUE)</f>
        <v>374</v>
      </c>
      <c r="O113" s="1058">
        <f t="shared" ca="1" si="11"/>
        <v>657.30499999999995</v>
      </c>
      <c r="P113" s="1059">
        <f t="shared" ca="1" si="17"/>
        <v>443.30499999999995</v>
      </c>
      <c r="Q113" s="1061">
        <f ca="1">VLOOKUP(Myリゾート!$C113,OFFSET(高速化データ!$A$6,0,0,高速化データ!$A$1,106), 88, TRUE)</f>
        <v>8</v>
      </c>
      <c r="R113" s="1060">
        <f ca="1">VLOOKUP(Myリゾート!$C113,OFFSET(高速化データ!$A$6,0,0,高速化データ!$A$1,106), 89, TRUE)</f>
        <v>1712</v>
      </c>
      <c r="S113" s="1060">
        <f ca="1">VLOOKUP(Myリゾート!$C113,OFFSET(高速化データ!$A$6,0,0,高速化データ!$A$1,106), 90, TRUE)</f>
        <v>1712</v>
      </c>
      <c r="T113" s="1060">
        <f ca="1">VLOOKUP(Myリゾート!$C113,OFFSET(高速化データ!$A$6,0,0,高速化データ!$A$1,106), 91, TRUE)</f>
        <v>171</v>
      </c>
      <c r="U113" s="1067">
        <f ca="1">VLOOKUP(Myリゾート!$C113,OFFSET(高速化データ!$A$6,0,0,高速化データ!$A$1,106), 92, TRUE)</f>
        <v>171</v>
      </c>
      <c r="V113" s="1066">
        <f ca="1">VLOOKUP(Myリゾート!$C113,OFFSET(高速化データ!$A$6,0,0,高速化データ!$A$1,106), 30, TRUE)</f>
        <v>107</v>
      </c>
      <c r="W113" s="1058">
        <f ca="1">VLOOKUP(Myリゾート!$C113,OFFSET(高速化データ!$A$6,0,0,高速化データ!$A$1,106), 31, TRUE)</f>
        <v>187</v>
      </c>
      <c r="X113" s="1058">
        <f t="shared" ca="1" si="12"/>
        <v>328.65249999999997</v>
      </c>
      <c r="Y113" s="1068">
        <f t="shared" ca="1" si="18"/>
        <v>221.65249999999997</v>
      </c>
      <c r="Z113" s="1061">
        <f ca="1">VLOOKUP(Myリゾート!$C113,OFFSET(高速化データ!$A$6,0,0,高速化データ!$A$1,106), 32, TRUE)</f>
        <v>7</v>
      </c>
      <c r="AA113" s="1060">
        <f ca="1">VLOOKUP(Myリゾート!$C113,OFFSET(高速化データ!$A$6,0,0,高速化データ!$A$1,106), 33, TRUE)</f>
        <v>749</v>
      </c>
      <c r="AB113" s="1060">
        <f ca="1">VLOOKUP(Myリゾート!$C113,OFFSET(高速化データ!$A$6,0,0,高速化データ!$A$1,106), 34, TRUE)</f>
        <v>749</v>
      </c>
      <c r="AC113" s="1060">
        <f ca="1">VLOOKUP(Myリゾート!$C113,OFFSET(高速化データ!$A$6,0,0,高速化データ!$A$1,106), 35, TRUE)</f>
        <v>74</v>
      </c>
      <c r="AD113" s="1069">
        <f ca="1">VLOOKUP(Myリゾート!$C113,OFFSET(高速化データ!$A$6,0,0,高速化データ!$A$1,106), 36, TRUE)</f>
        <v>74</v>
      </c>
      <c r="AE113" s="1066">
        <f ca="1">VLOOKUP(Myリゾート!$C113,OFFSET(高速化データ!$A$6,0,0,高速化データ!$A$1,106), 16+($I113*14), TRUE)</f>
        <v>214</v>
      </c>
      <c r="AF113" s="1058">
        <f ca="1">VLOOKUP(Myリゾート!$C113,OFFSET(高速化データ!$A$6,0,0,高速化データ!$A$1,106), 17+($I113*14), TRUE)</f>
        <v>374</v>
      </c>
      <c r="AG113" s="1058">
        <f t="shared" ca="1" si="13"/>
        <v>657.30499999999995</v>
      </c>
      <c r="AH113" s="1068">
        <f t="shared" ca="1" si="19"/>
        <v>443.30499999999995</v>
      </c>
      <c r="AI113" s="1061">
        <f ca="1">VLOOKUP(Myリゾート!$C113,OFFSET(高速化データ!$A$6,0,0,高速化データ!$A$1,106), 18+($I113*14), TRUE)</f>
        <v>8</v>
      </c>
      <c r="AJ113" s="1058">
        <f ca="1">VLOOKUP(Myリゾート!$C113,OFFSET(高速化データ!$A$6,0,0,高速化データ!$A$1,106), 19+($I113*14), TRUE)</f>
        <v>1712</v>
      </c>
      <c r="AK113" s="1058">
        <f ca="1">VLOOKUP(Myリゾート!$C113,OFFSET(高速化データ!$A$6,0,0,高速化データ!$A$1,106), 20+($I113*14), TRUE)</f>
        <v>1712</v>
      </c>
      <c r="AL113" s="1058">
        <f ca="1">VLOOKUP(Myリゾート!$C113,OFFSET(高速化データ!$A$6,0,0,高速化データ!$A$1,106), 21+($I113*14), TRUE)</f>
        <v>171</v>
      </c>
      <c r="AM113" s="1070">
        <f ca="1">VLOOKUP(Myリゾート!$C113,OFFSET(高速化データ!$A$6,0,0,高速化データ!$A$1,106), 22+($I113*14), TRUE)</f>
        <v>171</v>
      </c>
      <c r="AN113" s="1072">
        <f ca="1">VLOOKUP(Myリゾート!$C113,OFFSET(高速化データ!$A$6,0,0,高速化データ!$A$1,106), 11, TRUE)</f>
        <v>0.1</v>
      </c>
      <c r="AO113" s="1110">
        <f ca="1">VLOOKUP(Myリゾート!$C113,OFFSET(高速化データ!$A$6,0,0,高速化データ!$A$1,106), 13, TRUE)</f>
        <v>30</v>
      </c>
      <c r="AP113" s="1073" t="str">
        <f ca="1">VLOOKUP(Myリゾート!$C113,OFFSET(高速化データ!$A$6,0,0,高速化データ!$A$1,106), 15, TRUE)</f>
        <v>A</v>
      </c>
      <c r="AQ113" s="1071" t="str">
        <f ca="1">VLOOKUP(Myリゾート!$C113,OFFSET(高速化データ!$A$6,0,0,高速化データ!$A$1,106), 9, TRUE)</f>
        <v>景品</v>
      </c>
      <c r="AR113" s="1112">
        <f ca="1">IF($I113=5, 0,VLOOKUP(Myリゾート!$C113,OFFSET(高速化データ!$A$6,0,0,高速化データ!$A$1,106), 23+(($I113+1)*14), TRUE))</f>
        <v>0</v>
      </c>
      <c r="AS113" s="1058">
        <f ca="1">IF($I113=5, 0,VLOOKUP(Myリゾート!$C113,OFFSET(高速化データ!$A$6,0,0,高速化データ!$A$1,106), 24+(($I113+1)*14), TRUE))</f>
        <v>0</v>
      </c>
      <c r="AT113" s="1074">
        <f ca="1">IF($I113=5, 0,VLOOKUP(Myリゾート!$C113,OFFSET(高速化データ!$A$6,0,0,高速化データ!$A$1,106), 25+(($I113+1)*14), TRUE))</f>
        <v>0</v>
      </c>
      <c r="AU113" s="1074">
        <f ca="1">IF($I113=5, 0,VLOOKUP(Myリゾート!$C113,OFFSET(高速化データ!$A$6,0,0,高速化データ!$A$1,106), 26+(($I113+1)*14), TRUE))</f>
        <v>0</v>
      </c>
      <c r="AV113" s="1074">
        <f ca="1">IF($I113=5, 0,VLOOKUP(Myリゾート!$C113,OFFSET(高速化データ!$A$6,0,0,高速化データ!$A$1,106), 27+(($I113+1)*14), TRUE))</f>
        <v>0</v>
      </c>
      <c r="AW113" s="1075">
        <f ca="1">IF($I113=5, 0,VLOOKUP(Myリゾート!$C113,OFFSET(高速化データ!$A$6,0,0,高速化データ!$A$1,106), 28+(($I113+1)*14), TRUE))</f>
        <v>0</v>
      </c>
      <c r="AX113" s="1070">
        <f ca="1">IF($I113=5, 0,VLOOKUP(Myリゾート!$C113,OFFSET(高速化データ!$A$6,0,0,高速化データ!$A$1,106), 29+(($I113+1)*14), TRUE))</f>
        <v>0</v>
      </c>
      <c r="AY113" s="1066">
        <f ca="1">IF($I113=5, 0, VLOOKUP(Myリゾート!$C113,OFFSET(高速化データ!$A$6,0,0,高速化データ!$A$1,106), 19+(($I113+1)*14), TRUE)-AJ113)</f>
        <v>0</v>
      </c>
      <c r="AZ113" s="1058">
        <f ca="1">IF($I113=5, 0, VLOOKUP(Myリゾート!$C113,OFFSET(高速化データ!$A$6,0,0,高速化データ!$A$1,106), 20+(($I113+1)*14), TRUE)-AK113)</f>
        <v>0</v>
      </c>
      <c r="BA113" s="1076">
        <f ca="1">IF($I113=5, 0, VLOOKUP(Myリゾート!$C113,OFFSET(高速化データ!$A$6,0,0,高速化データ!$A$1,106), 17+(($I113+1)*14), TRUE)*$B$1/100-VLOOKUP(Myリゾート!$C113,OFFSET(高速化データ!$A$6,0,0,高速化データ!$A$1,106), 16+(($I113+1)*14),TRUE)-AH113)</f>
        <v>0</v>
      </c>
      <c r="BB113" s="1056">
        <f t="shared" ca="1" si="14"/>
        <v>0</v>
      </c>
      <c r="BC113" s="1057">
        <f t="shared" ca="1" si="14"/>
        <v>0</v>
      </c>
      <c r="BD113" s="1068">
        <f t="shared" ca="1" si="20"/>
        <v>0</v>
      </c>
      <c r="BE113" s="9">
        <f t="shared" ca="1" si="15"/>
        <v>214</v>
      </c>
      <c r="BF113" s="7">
        <f t="shared" ca="1" si="15"/>
        <v>374</v>
      </c>
      <c r="BG113" s="7">
        <f t="shared" ca="1" si="16"/>
        <v>1712</v>
      </c>
      <c r="BH113" s="7">
        <f t="shared" ca="1" si="16"/>
        <v>1712</v>
      </c>
      <c r="BI113" s="7">
        <f t="shared" ca="1" si="16"/>
        <v>171</v>
      </c>
      <c r="BJ113" s="7">
        <f t="shared" ca="1" si="16"/>
        <v>171</v>
      </c>
      <c r="BK113" s="8">
        <f t="shared" ca="1" si="21"/>
        <v>214</v>
      </c>
    </row>
    <row r="114" spans="2:63">
      <c r="B114" s="1127" t="s">
        <v>139</v>
      </c>
      <c r="C114" s="1055">
        <f ca="1">VLOOKUP(Myリゾート!$B114,OFFSET(高速化データ!$DD$6,0,0,高速化データ!$A$1,2), 2, FALSE)</f>
        <v>6003</v>
      </c>
      <c r="D114" s="59" t="str">
        <f ca="1">LEFT(VLOOKUP(Myリゾート!$C114,OFFSET(高速化データ!$A$6,0,0,高速化データ!$A$1,106), 3, TRUE),2)</f>
        <v>エン</v>
      </c>
      <c r="E114" s="1063" t="str">
        <f ca="1">VLOOKUP(Myリゾート!$C114,OFFSET(高速化データ!$A$6,0,0,高速化データ!$A$1,106), 4, TRUE)&amp;""</f>
        <v/>
      </c>
      <c r="F114" s="1064" t="str">
        <f ca="1">VLOOKUP(Myリゾート!$C114,OFFSET(高速化データ!$A$6,0,0,高速化データ!$A$1,106), 5, TRUE)&amp;""</f>
        <v>○</v>
      </c>
      <c r="G114" s="1064" t="str">
        <f ca="1">VLOOKUP(Myリゾート!$C114,OFFSET(高速化データ!$A$6,0,0,高速化データ!$A$1,106), 6, TRUE)&amp;""</f>
        <v>○</v>
      </c>
      <c r="H114" s="1065" t="str">
        <f ca="1">VLOOKUP(Myリゾート!$C114,OFFSET(高速化データ!$A$6,0,0,高速化データ!$A$1,106), 7, TRUE)&amp;""</f>
        <v/>
      </c>
      <c r="I114" s="1131">
        <v>5</v>
      </c>
      <c r="J114" s="1134"/>
      <c r="K114" s="1061">
        <f ca="1">VLOOKUP(Myリゾート!$C114,OFFSET(高速化データ!$A$6,0,0,高速化データ!$A$1,106), 10, TRUE)</f>
        <v>7</v>
      </c>
      <c r="L114" s="1062">
        <f ca="1">VLOOKUP(Myリゾート!$C114,OFFSET(高速化データ!$A$6,0,0,高速化データ!$A$1,106), 12, TRUE)</f>
        <v>1.3157894736842106</v>
      </c>
      <c r="M114" s="1066">
        <f ca="1">VLOOKUP(Myリゾート!$C114,OFFSET(高速化データ!$A$6,0,0,高速化データ!$A$1,106), 86, TRUE)</f>
        <v>1000</v>
      </c>
      <c r="N114" s="1058">
        <f ca="1">VLOOKUP(Myリゾート!$C114,OFFSET(高速化データ!$A$6,0,0,高速化データ!$A$1,106), 87, TRUE)</f>
        <v>760</v>
      </c>
      <c r="O114" s="1058">
        <f t="shared" ca="1" si="11"/>
        <v>1335.7</v>
      </c>
      <c r="P114" s="1059">
        <f t="shared" ca="1" si="17"/>
        <v>335.70000000000005</v>
      </c>
      <c r="Q114" s="1061">
        <f ca="1">VLOOKUP(Myリゾート!$C114,OFFSET(高速化データ!$A$6,0,0,高速化データ!$A$1,106), 88, TRUE)</f>
        <v>6</v>
      </c>
      <c r="R114" s="1060">
        <f ca="1">VLOOKUP(Myリゾート!$C114,OFFSET(高速化データ!$A$6,0,0,高速化データ!$A$1,106), 89, TRUE)</f>
        <v>6000</v>
      </c>
      <c r="S114" s="1060">
        <f ca="1">VLOOKUP(Myリゾート!$C114,OFFSET(高速化データ!$A$6,0,0,高速化データ!$A$1,106), 90, TRUE)</f>
        <v>42000</v>
      </c>
      <c r="T114" s="1060">
        <f ca="1">VLOOKUP(Myリゾート!$C114,OFFSET(高速化データ!$A$6,0,0,高速化データ!$A$1,106), 91, TRUE)</f>
        <v>600</v>
      </c>
      <c r="U114" s="1067">
        <f ca="1">VLOOKUP(Myリゾート!$C114,OFFSET(高速化データ!$A$6,0,0,高速化データ!$A$1,106), 92, TRUE)</f>
        <v>4200</v>
      </c>
      <c r="V114" s="1066">
        <f ca="1">VLOOKUP(Myリゾート!$C114,OFFSET(高速化データ!$A$6,0,0,高速化データ!$A$1,106), 30, TRUE)</f>
        <v>500</v>
      </c>
      <c r="W114" s="1058">
        <f ca="1">VLOOKUP(Myリゾート!$C114,OFFSET(高速化データ!$A$6,0,0,高速化データ!$A$1,106), 31, TRUE)</f>
        <v>380</v>
      </c>
      <c r="X114" s="1058">
        <f t="shared" ca="1" si="12"/>
        <v>667.85</v>
      </c>
      <c r="Y114" s="1068">
        <f t="shared" ca="1" si="18"/>
        <v>167.85000000000002</v>
      </c>
      <c r="Z114" s="1061">
        <f ca="1">VLOOKUP(Myリゾート!$C114,OFFSET(高速化データ!$A$6,0,0,高速化データ!$A$1,106), 32, TRUE)</f>
        <v>6</v>
      </c>
      <c r="AA114" s="1060">
        <f ca="1">VLOOKUP(Myリゾート!$C114,OFFSET(高速化データ!$A$6,0,0,高速化データ!$A$1,106), 33, TRUE)</f>
        <v>3000</v>
      </c>
      <c r="AB114" s="1060">
        <f ca="1">VLOOKUP(Myリゾート!$C114,OFFSET(高速化データ!$A$6,0,0,高速化データ!$A$1,106), 34, TRUE)</f>
        <v>21000</v>
      </c>
      <c r="AC114" s="1060">
        <f ca="1">VLOOKUP(Myリゾート!$C114,OFFSET(高速化データ!$A$6,0,0,高速化データ!$A$1,106), 35, TRUE)</f>
        <v>300</v>
      </c>
      <c r="AD114" s="1069">
        <f ca="1">VLOOKUP(Myリゾート!$C114,OFFSET(高速化データ!$A$6,0,0,高速化データ!$A$1,106), 36, TRUE)</f>
        <v>2100</v>
      </c>
      <c r="AE114" s="1066">
        <f ca="1">VLOOKUP(Myリゾート!$C114,OFFSET(高速化データ!$A$6,0,0,高速化データ!$A$1,106), 16+($I114*14), TRUE)</f>
        <v>1000</v>
      </c>
      <c r="AF114" s="1058">
        <f ca="1">VLOOKUP(Myリゾート!$C114,OFFSET(高速化データ!$A$6,0,0,高速化データ!$A$1,106), 17+($I114*14), TRUE)</f>
        <v>760</v>
      </c>
      <c r="AG114" s="1058">
        <f t="shared" ca="1" si="13"/>
        <v>1335.7</v>
      </c>
      <c r="AH114" s="1068">
        <f t="shared" ca="1" si="19"/>
        <v>335.70000000000005</v>
      </c>
      <c r="AI114" s="1061">
        <f ca="1">VLOOKUP(Myリゾート!$C114,OFFSET(高速化データ!$A$6,0,0,高速化データ!$A$1,106), 18+($I114*14), TRUE)</f>
        <v>6</v>
      </c>
      <c r="AJ114" s="1058">
        <f ca="1">VLOOKUP(Myリゾート!$C114,OFFSET(高速化データ!$A$6,0,0,高速化データ!$A$1,106), 19+($I114*14), TRUE)</f>
        <v>6000</v>
      </c>
      <c r="AK114" s="1058">
        <f ca="1">VLOOKUP(Myリゾート!$C114,OFFSET(高速化データ!$A$6,0,0,高速化データ!$A$1,106), 20+($I114*14), TRUE)</f>
        <v>42000</v>
      </c>
      <c r="AL114" s="1058">
        <f ca="1">VLOOKUP(Myリゾート!$C114,OFFSET(高速化データ!$A$6,0,0,高速化データ!$A$1,106), 21+($I114*14), TRUE)</f>
        <v>600</v>
      </c>
      <c r="AM114" s="1070">
        <f ca="1">VLOOKUP(Myリゾート!$C114,OFFSET(高速化データ!$A$6,0,0,高速化データ!$A$1,106), 22+($I114*14), TRUE)</f>
        <v>4200</v>
      </c>
      <c r="AN114" s="1072">
        <f ca="1">VLOOKUP(Myリゾート!$C114,OFFSET(高速化データ!$A$6,0,0,高速化データ!$A$1,106), 11, TRUE)</f>
        <v>0.1</v>
      </c>
      <c r="AO114" s="1110">
        <f ca="1">VLOOKUP(Myリゾート!$C114,OFFSET(高速化データ!$A$6,0,0,高速化データ!$A$1,106), 13, TRUE)</f>
        <v>30</v>
      </c>
      <c r="AP114" s="1073" t="str">
        <f ca="1">VLOOKUP(Myリゾート!$C114,OFFSET(高速化データ!$A$6,0,0,高速化データ!$A$1,106), 15, TRUE)</f>
        <v>A</v>
      </c>
      <c r="AQ114" s="1071" t="str">
        <f ca="1">VLOOKUP(Myリゾート!$C114,OFFSET(高速化データ!$A$6,0,0,高速化データ!$A$1,106), 9, TRUE)</f>
        <v>24限定</v>
      </c>
      <c r="AR114" s="1112">
        <f ca="1">IF($I114=5, 0,VLOOKUP(Myリゾート!$C114,OFFSET(高速化データ!$A$6,0,0,高速化データ!$A$1,106), 23+(($I114+1)*14), TRUE))</f>
        <v>0</v>
      </c>
      <c r="AS114" s="1058">
        <f ca="1">IF($I114=5, 0,VLOOKUP(Myリゾート!$C114,OFFSET(高速化データ!$A$6,0,0,高速化データ!$A$1,106), 24+(($I114+1)*14), TRUE))</f>
        <v>0</v>
      </c>
      <c r="AT114" s="1074">
        <f ca="1">IF($I114=5, 0,VLOOKUP(Myリゾート!$C114,OFFSET(高速化データ!$A$6,0,0,高速化データ!$A$1,106), 25+(($I114+1)*14), TRUE))</f>
        <v>0</v>
      </c>
      <c r="AU114" s="1074">
        <f ca="1">IF($I114=5, 0,VLOOKUP(Myリゾート!$C114,OFFSET(高速化データ!$A$6,0,0,高速化データ!$A$1,106), 26+(($I114+1)*14), TRUE))</f>
        <v>0</v>
      </c>
      <c r="AV114" s="1074">
        <f ca="1">IF($I114=5, 0,VLOOKUP(Myリゾート!$C114,OFFSET(高速化データ!$A$6,0,0,高速化データ!$A$1,106), 27+(($I114+1)*14), TRUE))</f>
        <v>0</v>
      </c>
      <c r="AW114" s="1075">
        <f ca="1">IF($I114=5, 0,VLOOKUP(Myリゾート!$C114,OFFSET(高速化データ!$A$6,0,0,高速化データ!$A$1,106), 28+(($I114+1)*14), TRUE))</f>
        <v>0</v>
      </c>
      <c r="AX114" s="1070">
        <f ca="1">IF($I114=5, 0,VLOOKUP(Myリゾート!$C114,OFFSET(高速化データ!$A$6,0,0,高速化データ!$A$1,106), 29+(($I114+1)*14), TRUE))</f>
        <v>0</v>
      </c>
      <c r="AY114" s="1066">
        <f ca="1">IF($I114=5, 0, VLOOKUP(Myリゾート!$C114,OFFSET(高速化データ!$A$6,0,0,高速化データ!$A$1,106), 19+(($I114+1)*14), TRUE)-AJ114)</f>
        <v>0</v>
      </c>
      <c r="AZ114" s="1058">
        <f ca="1">IF($I114=5, 0, VLOOKUP(Myリゾート!$C114,OFFSET(高速化データ!$A$6,0,0,高速化データ!$A$1,106), 20+(($I114+1)*14), TRUE)-AK114)</f>
        <v>0</v>
      </c>
      <c r="BA114" s="1076">
        <f ca="1">IF($I114=5, 0, VLOOKUP(Myリゾート!$C114,OFFSET(高速化データ!$A$6,0,0,高速化データ!$A$1,106), 17+(($I114+1)*14), TRUE)*$B$1/100-VLOOKUP(Myリゾート!$C114,OFFSET(高速化データ!$A$6,0,0,高速化データ!$A$1,106), 16+(($I114+1)*14),TRUE)-AH114)</f>
        <v>0</v>
      </c>
      <c r="BB114" s="1056">
        <f t="shared" ca="1" si="14"/>
        <v>0</v>
      </c>
      <c r="BC114" s="1057">
        <f t="shared" ca="1" si="14"/>
        <v>0</v>
      </c>
      <c r="BD114" s="1068">
        <f t="shared" ca="1" si="20"/>
        <v>0</v>
      </c>
      <c r="BE114" s="9">
        <f t="shared" ca="1" si="15"/>
        <v>1000</v>
      </c>
      <c r="BF114" s="7">
        <f t="shared" ca="1" si="15"/>
        <v>760</v>
      </c>
      <c r="BG114" s="7">
        <f t="shared" ca="1" si="16"/>
        <v>6000</v>
      </c>
      <c r="BH114" s="7">
        <f t="shared" ca="1" si="16"/>
        <v>42000</v>
      </c>
      <c r="BI114" s="7">
        <f t="shared" ca="1" si="16"/>
        <v>600</v>
      </c>
      <c r="BJ114" s="7">
        <f t="shared" ca="1" si="16"/>
        <v>4200</v>
      </c>
      <c r="BK114" s="8">
        <f t="shared" ca="1" si="21"/>
        <v>1000</v>
      </c>
    </row>
    <row r="115" spans="2:63">
      <c r="B115" s="1127" t="s">
        <v>139</v>
      </c>
      <c r="C115" s="1055">
        <f ca="1">VLOOKUP(Myリゾート!$B115,OFFSET(高速化データ!$DD$6,0,0,高速化データ!$A$1,2), 2, FALSE)</f>
        <v>6003</v>
      </c>
      <c r="D115" s="59" t="str">
        <f ca="1">LEFT(VLOOKUP(Myリゾート!$C115,OFFSET(高速化データ!$A$6,0,0,高速化データ!$A$1,106), 3, TRUE),2)</f>
        <v>エン</v>
      </c>
      <c r="E115" s="1063" t="str">
        <f ca="1">VLOOKUP(Myリゾート!$C115,OFFSET(高速化データ!$A$6,0,0,高速化データ!$A$1,106), 4, TRUE)&amp;""</f>
        <v/>
      </c>
      <c r="F115" s="1064" t="str">
        <f ca="1">VLOOKUP(Myリゾート!$C115,OFFSET(高速化データ!$A$6,0,0,高速化データ!$A$1,106), 5, TRUE)&amp;""</f>
        <v>○</v>
      </c>
      <c r="G115" s="1064" t="str">
        <f ca="1">VLOOKUP(Myリゾート!$C115,OFFSET(高速化データ!$A$6,0,0,高速化データ!$A$1,106), 6, TRUE)&amp;""</f>
        <v>○</v>
      </c>
      <c r="H115" s="1065" t="str">
        <f ca="1">VLOOKUP(Myリゾート!$C115,OFFSET(高速化データ!$A$6,0,0,高速化データ!$A$1,106), 7, TRUE)&amp;""</f>
        <v/>
      </c>
      <c r="I115" s="1131">
        <v>4</v>
      </c>
      <c r="J115" s="1134"/>
      <c r="K115" s="1061">
        <f ca="1">VLOOKUP(Myリゾート!$C115,OFFSET(高速化データ!$A$6,0,0,高速化データ!$A$1,106), 10, TRUE)</f>
        <v>7</v>
      </c>
      <c r="L115" s="1062">
        <f ca="1">VLOOKUP(Myリゾート!$C115,OFFSET(高速化データ!$A$6,0,0,高速化データ!$A$1,106), 12, TRUE)</f>
        <v>1.3157894736842106</v>
      </c>
      <c r="M115" s="1066">
        <f ca="1">VLOOKUP(Myリゾート!$C115,OFFSET(高速化データ!$A$6,0,0,高速化データ!$A$1,106), 86, TRUE)</f>
        <v>1000</v>
      </c>
      <c r="N115" s="1058">
        <f ca="1">VLOOKUP(Myリゾート!$C115,OFFSET(高速化データ!$A$6,0,0,高速化データ!$A$1,106), 87, TRUE)</f>
        <v>760</v>
      </c>
      <c r="O115" s="1058">
        <f t="shared" ca="1" si="11"/>
        <v>1335.7</v>
      </c>
      <c r="P115" s="1059">
        <f t="shared" ca="1" si="17"/>
        <v>335.70000000000005</v>
      </c>
      <c r="Q115" s="1061">
        <f ca="1">VLOOKUP(Myリゾート!$C115,OFFSET(高速化データ!$A$6,0,0,高速化データ!$A$1,106), 88, TRUE)</f>
        <v>6</v>
      </c>
      <c r="R115" s="1060">
        <f ca="1">VLOOKUP(Myリゾート!$C115,OFFSET(高速化データ!$A$6,0,0,高速化データ!$A$1,106), 89, TRUE)</f>
        <v>6000</v>
      </c>
      <c r="S115" s="1060">
        <f ca="1">VLOOKUP(Myリゾート!$C115,OFFSET(高速化データ!$A$6,0,0,高速化データ!$A$1,106), 90, TRUE)</f>
        <v>42000</v>
      </c>
      <c r="T115" s="1060">
        <f ca="1">VLOOKUP(Myリゾート!$C115,OFFSET(高速化データ!$A$6,0,0,高速化データ!$A$1,106), 91, TRUE)</f>
        <v>600</v>
      </c>
      <c r="U115" s="1067">
        <f ca="1">VLOOKUP(Myリゾート!$C115,OFFSET(高速化データ!$A$6,0,0,高速化データ!$A$1,106), 92, TRUE)</f>
        <v>4200</v>
      </c>
      <c r="V115" s="1066">
        <f ca="1">VLOOKUP(Myリゾート!$C115,OFFSET(高速化データ!$A$6,0,0,高速化データ!$A$1,106), 30, TRUE)</f>
        <v>500</v>
      </c>
      <c r="W115" s="1058">
        <f ca="1">VLOOKUP(Myリゾート!$C115,OFFSET(高速化データ!$A$6,0,0,高速化データ!$A$1,106), 31, TRUE)</f>
        <v>380</v>
      </c>
      <c r="X115" s="1058">
        <f t="shared" ca="1" si="12"/>
        <v>667.85</v>
      </c>
      <c r="Y115" s="1068">
        <f t="shared" ca="1" si="18"/>
        <v>167.85000000000002</v>
      </c>
      <c r="Z115" s="1061">
        <f ca="1">VLOOKUP(Myリゾート!$C115,OFFSET(高速化データ!$A$6,0,0,高速化データ!$A$1,106), 32, TRUE)</f>
        <v>6</v>
      </c>
      <c r="AA115" s="1060">
        <f ca="1">VLOOKUP(Myリゾート!$C115,OFFSET(高速化データ!$A$6,0,0,高速化データ!$A$1,106), 33, TRUE)</f>
        <v>3000</v>
      </c>
      <c r="AB115" s="1060">
        <f ca="1">VLOOKUP(Myリゾート!$C115,OFFSET(高速化データ!$A$6,0,0,高速化データ!$A$1,106), 34, TRUE)</f>
        <v>21000</v>
      </c>
      <c r="AC115" s="1060">
        <f ca="1">VLOOKUP(Myリゾート!$C115,OFFSET(高速化データ!$A$6,0,0,高速化データ!$A$1,106), 35, TRUE)</f>
        <v>300</v>
      </c>
      <c r="AD115" s="1069">
        <f ca="1">VLOOKUP(Myリゾート!$C115,OFFSET(高速化データ!$A$6,0,0,高速化データ!$A$1,106), 36, TRUE)</f>
        <v>2100</v>
      </c>
      <c r="AE115" s="1066">
        <f ca="1">VLOOKUP(Myリゾート!$C115,OFFSET(高速化データ!$A$6,0,0,高速化データ!$A$1,106), 16+($I115*14), TRUE)</f>
        <v>950</v>
      </c>
      <c r="AF115" s="1058">
        <f ca="1">VLOOKUP(Myリゾート!$C115,OFFSET(高速化データ!$A$6,0,0,高速化データ!$A$1,106), 17+($I115*14), TRUE)</f>
        <v>722</v>
      </c>
      <c r="AG115" s="1058">
        <f t="shared" ca="1" si="13"/>
        <v>1268.915</v>
      </c>
      <c r="AH115" s="1068">
        <f t="shared" ca="1" si="19"/>
        <v>318.91499999999996</v>
      </c>
      <c r="AI115" s="1061">
        <f ca="1">VLOOKUP(Myリゾート!$C115,OFFSET(高速化データ!$A$6,0,0,高速化データ!$A$1,106), 18+($I115*14), TRUE)</f>
        <v>6</v>
      </c>
      <c r="AJ115" s="1058">
        <f ca="1">VLOOKUP(Myリゾート!$C115,OFFSET(高速化データ!$A$6,0,0,高速化データ!$A$1,106), 19+($I115*14), TRUE)</f>
        <v>5700</v>
      </c>
      <c r="AK115" s="1058">
        <f ca="1">VLOOKUP(Myリゾート!$C115,OFFSET(高速化データ!$A$6,0,0,高速化データ!$A$1,106), 20+($I115*14), TRUE)</f>
        <v>39900</v>
      </c>
      <c r="AL115" s="1058">
        <f ca="1">VLOOKUP(Myリゾート!$C115,OFFSET(高速化データ!$A$6,0,0,高速化データ!$A$1,106), 21+($I115*14), TRUE)</f>
        <v>570</v>
      </c>
      <c r="AM115" s="1070">
        <f ca="1">VLOOKUP(Myリゾート!$C115,OFFSET(高速化データ!$A$6,0,0,高速化データ!$A$1,106), 22+($I115*14), TRUE)</f>
        <v>3990</v>
      </c>
      <c r="AN115" s="1072">
        <f ca="1">VLOOKUP(Myリゾート!$C115,OFFSET(高速化データ!$A$6,0,0,高速化データ!$A$1,106), 11, TRUE)</f>
        <v>0.1</v>
      </c>
      <c r="AO115" s="1110">
        <f ca="1">VLOOKUP(Myリゾート!$C115,OFFSET(高速化データ!$A$6,0,0,高速化データ!$A$1,106), 13, TRUE)</f>
        <v>30</v>
      </c>
      <c r="AP115" s="1073" t="str">
        <f ca="1">VLOOKUP(Myリゾート!$C115,OFFSET(高速化データ!$A$6,0,0,高速化データ!$A$1,106), 15, TRUE)</f>
        <v>A</v>
      </c>
      <c r="AQ115" s="1071" t="str">
        <f ca="1">VLOOKUP(Myリゾート!$C115,OFFSET(高速化データ!$A$6,0,0,高速化データ!$A$1,106), 9, TRUE)</f>
        <v>24限定</v>
      </c>
      <c r="AR115" s="1112">
        <f ca="1">IF($I115=5, 0,VLOOKUP(Myリゾート!$C115,OFFSET(高速化データ!$A$6,0,0,高速化データ!$A$1,106), 23+(($I115+1)*14), TRUE))</f>
        <v>170</v>
      </c>
      <c r="AS115" s="1058">
        <f ca="1">IF($I115=5, 0,VLOOKUP(Myリゾート!$C115,OFFSET(高速化データ!$A$6,0,0,高速化データ!$A$1,106), 24+(($I115+1)*14), TRUE))</f>
        <v>5100000</v>
      </c>
      <c r="AT115" s="1074">
        <f ca="1">IF($I115=5, 0,VLOOKUP(Myリゾート!$C115,OFFSET(高速化データ!$A$6,0,0,高速化データ!$A$1,106), 25+(($I115+1)*14), TRUE))</f>
        <v>0</v>
      </c>
      <c r="AU115" s="1074">
        <f ca="1">IF($I115=5, 0,VLOOKUP(Myリゾート!$C115,OFFSET(高速化データ!$A$6,0,0,高速化データ!$A$1,106), 26+(($I115+1)*14), TRUE))</f>
        <v>10</v>
      </c>
      <c r="AV115" s="1074">
        <f ca="1">IF($I115=5, 0,VLOOKUP(Myリゾート!$C115,OFFSET(高速化データ!$A$6,0,0,高速化データ!$A$1,106), 27+(($I115+1)*14), TRUE))</f>
        <v>0</v>
      </c>
      <c r="AW115" s="1075">
        <f ca="1">IF($I115=5, 0,VLOOKUP(Myリゾート!$C115,OFFSET(高速化データ!$A$6,0,0,高速化データ!$A$1,106), 28+(($I115+1)*14), TRUE))</f>
        <v>42.145833333333336</v>
      </c>
      <c r="AX115" s="1070">
        <f ca="1">IF($I115=5, 0,VLOOKUP(Myリゾート!$C115,OFFSET(高速化データ!$A$6,0,0,高速化データ!$A$1,106), 29+(($I115+1)*14), TRUE))</f>
        <v>30000</v>
      </c>
      <c r="AY115" s="1066">
        <f ca="1">IF($I115=5, 0, VLOOKUP(Myリゾート!$C115,OFFSET(高速化データ!$A$6,0,0,高速化データ!$A$1,106), 19+(($I115+1)*14), TRUE)-AJ115)</f>
        <v>300</v>
      </c>
      <c r="AZ115" s="1058">
        <f ca="1">IF($I115=5, 0, VLOOKUP(Myリゾート!$C115,OFFSET(高速化データ!$A$6,0,0,高速化データ!$A$1,106), 20+(($I115+1)*14), TRUE)-AK115)</f>
        <v>2100</v>
      </c>
      <c r="BA115" s="1076">
        <f ca="1">IF($I115=5, 0, VLOOKUP(Myリゾート!$C115,OFFSET(高速化データ!$A$6,0,0,高速化データ!$A$1,106), 17+(($I115+1)*14), TRUE)*$B$1/100-VLOOKUP(Myリゾート!$C115,OFFSET(高速化データ!$A$6,0,0,高速化データ!$A$1,106), 16+(($I115+1)*14),TRUE)-AH115)</f>
        <v>16.785000000000082</v>
      </c>
      <c r="BB115" s="1056">
        <f t="shared" ca="1" si="14"/>
        <v>300</v>
      </c>
      <c r="BC115" s="1057">
        <f t="shared" ca="1" si="14"/>
        <v>2100</v>
      </c>
      <c r="BD115" s="1068">
        <f t="shared" ca="1" si="20"/>
        <v>16.785000000000082</v>
      </c>
      <c r="BE115" s="9">
        <f t="shared" ca="1" si="15"/>
        <v>950</v>
      </c>
      <c r="BF115" s="7">
        <f t="shared" ca="1" si="15"/>
        <v>722</v>
      </c>
      <c r="BG115" s="7">
        <f t="shared" ca="1" si="16"/>
        <v>5700</v>
      </c>
      <c r="BH115" s="7">
        <f t="shared" ca="1" si="16"/>
        <v>39900</v>
      </c>
      <c r="BI115" s="7">
        <f t="shared" ca="1" si="16"/>
        <v>570</v>
      </c>
      <c r="BJ115" s="7">
        <f t="shared" ca="1" si="16"/>
        <v>3990</v>
      </c>
      <c r="BK115" s="8">
        <f t="shared" ca="1" si="21"/>
        <v>950</v>
      </c>
    </row>
    <row r="116" spans="2:63">
      <c r="B116" s="1127" t="s">
        <v>846</v>
      </c>
      <c r="C116" s="1055">
        <f ca="1">VLOOKUP(Myリゾート!$B116,OFFSET(高速化データ!$DD$6,0,0,高速化データ!$A$1,2), 2, FALSE)</f>
        <v>98</v>
      </c>
      <c r="D116" s="59" t="str">
        <f ca="1">LEFT(VLOOKUP(Myリゾート!$C116,OFFSET(高速化データ!$A$6,0,0,高速化データ!$A$1,106), 3, TRUE),2)</f>
        <v>エン</v>
      </c>
      <c r="E116" s="1063" t="str">
        <f ca="1">VLOOKUP(Myリゾート!$C116,OFFSET(高速化データ!$A$6,0,0,高速化データ!$A$1,106), 4, TRUE)&amp;""</f>
        <v/>
      </c>
      <c r="F116" s="1064" t="str">
        <f ca="1">VLOOKUP(Myリゾート!$C116,OFFSET(高速化データ!$A$6,0,0,高速化データ!$A$1,106), 5, TRUE)&amp;""</f>
        <v/>
      </c>
      <c r="G116" s="1064" t="str">
        <f ca="1">VLOOKUP(Myリゾート!$C116,OFFSET(高速化データ!$A$6,0,0,高速化データ!$A$1,106), 6, TRUE)&amp;""</f>
        <v/>
      </c>
      <c r="H116" s="1065" t="str">
        <f ca="1">VLOOKUP(Myリゾート!$C116,OFFSET(高速化データ!$A$6,0,0,高速化データ!$A$1,106), 7, TRUE)&amp;""</f>
        <v>○</v>
      </c>
      <c r="I116" s="1131">
        <v>4</v>
      </c>
      <c r="J116" s="1134"/>
      <c r="K116" s="1061">
        <f ca="1">VLOOKUP(Myリゾート!$C116,OFFSET(高速化データ!$A$6,0,0,高速化データ!$A$1,106), 10, TRUE)</f>
        <v>9</v>
      </c>
      <c r="L116" s="1062">
        <f ca="1">VLOOKUP(Myリゾート!$C116,OFFSET(高速化データ!$A$6,0,0,高速化データ!$A$1,106), 12, TRUE)</f>
        <v>1.6666666666666667</v>
      </c>
      <c r="M116" s="1066">
        <f ca="1">VLOOKUP(Myリゾート!$C116,OFFSET(高速化データ!$A$6,0,0,高速化データ!$A$1,106), 86, TRUE)</f>
        <v>600</v>
      </c>
      <c r="N116" s="1058">
        <f ca="1">VLOOKUP(Myリゾート!$C116,OFFSET(高速化データ!$A$6,0,0,高速化データ!$A$1,106), 87, TRUE)</f>
        <v>360</v>
      </c>
      <c r="O116" s="1058">
        <f t="shared" ca="1" si="11"/>
        <v>632.70000000000005</v>
      </c>
      <c r="P116" s="1059">
        <f t="shared" ca="1" si="17"/>
        <v>32.700000000000045</v>
      </c>
      <c r="Q116" s="1061">
        <f ca="1">VLOOKUP(Myリゾート!$C116,OFFSET(高速化データ!$A$6,0,0,高速化データ!$A$1,106), 88, TRUE)</f>
        <v>6</v>
      </c>
      <c r="R116" s="1060">
        <f ca="1">VLOOKUP(Myリゾート!$C116,OFFSET(高速化データ!$A$6,0,0,高速化データ!$A$1,106), 89, TRUE)</f>
        <v>3600</v>
      </c>
      <c r="S116" s="1060">
        <f ca="1">VLOOKUP(Myリゾート!$C116,OFFSET(高速化データ!$A$6,0,0,高速化データ!$A$1,106), 90, TRUE)</f>
        <v>32400</v>
      </c>
      <c r="T116" s="1060">
        <f ca="1">VLOOKUP(Myリゾート!$C116,OFFSET(高速化データ!$A$6,0,0,高速化データ!$A$1,106), 91, TRUE)</f>
        <v>360</v>
      </c>
      <c r="U116" s="1067">
        <f ca="1">VLOOKUP(Myリゾート!$C116,OFFSET(高速化データ!$A$6,0,0,高速化データ!$A$1,106), 92, TRUE)</f>
        <v>3240</v>
      </c>
      <c r="V116" s="1066">
        <f ca="1">VLOOKUP(Myリゾート!$C116,OFFSET(高速化データ!$A$6,0,0,高速化データ!$A$1,106), 30, TRUE)</f>
        <v>200</v>
      </c>
      <c r="W116" s="1058">
        <f ca="1">VLOOKUP(Myリゾート!$C116,OFFSET(高速化データ!$A$6,0,0,高速化データ!$A$1,106), 31, TRUE)</f>
        <v>120</v>
      </c>
      <c r="X116" s="1058">
        <f t="shared" ca="1" si="12"/>
        <v>210.9</v>
      </c>
      <c r="Y116" s="1068">
        <f t="shared" ca="1" si="18"/>
        <v>10.900000000000006</v>
      </c>
      <c r="Z116" s="1061">
        <f ca="1">VLOOKUP(Myリゾート!$C116,OFFSET(高速化データ!$A$6,0,0,高速化データ!$A$1,106), 32, TRUE)</f>
        <v>6</v>
      </c>
      <c r="AA116" s="1060">
        <f ca="1">VLOOKUP(Myリゾート!$C116,OFFSET(高速化データ!$A$6,0,0,高速化データ!$A$1,106), 33, TRUE)</f>
        <v>1200</v>
      </c>
      <c r="AB116" s="1060">
        <f ca="1">VLOOKUP(Myリゾート!$C116,OFFSET(高速化データ!$A$6,0,0,高速化データ!$A$1,106), 34, TRUE)</f>
        <v>10800</v>
      </c>
      <c r="AC116" s="1060">
        <f ca="1">VLOOKUP(Myリゾート!$C116,OFFSET(高速化データ!$A$6,0,0,高速化データ!$A$1,106), 35, TRUE)</f>
        <v>120</v>
      </c>
      <c r="AD116" s="1069">
        <f ca="1">VLOOKUP(Myリゾート!$C116,OFFSET(高速化データ!$A$6,0,0,高速化データ!$A$1,106), 36, TRUE)</f>
        <v>1080</v>
      </c>
      <c r="AE116" s="1066">
        <f ca="1">VLOOKUP(Myリゾート!$C116,OFFSET(高速化データ!$A$6,0,0,高速化データ!$A$1,106), 16+($I116*14), TRUE)</f>
        <v>400</v>
      </c>
      <c r="AF116" s="1058">
        <f ca="1">VLOOKUP(Myリゾート!$C116,OFFSET(高速化データ!$A$6,0,0,高速化データ!$A$1,106), 17+($I116*14), TRUE)</f>
        <v>240</v>
      </c>
      <c r="AG116" s="1058">
        <f t="shared" ca="1" si="13"/>
        <v>421.8</v>
      </c>
      <c r="AH116" s="1068">
        <f t="shared" ca="1" si="19"/>
        <v>21.800000000000011</v>
      </c>
      <c r="AI116" s="1061">
        <f ca="1">VLOOKUP(Myリゾート!$C116,OFFSET(高速化データ!$A$6,0,0,高速化データ!$A$1,106), 18+($I116*14), TRUE)</f>
        <v>6</v>
      </c>
      <c r="AJ116" s="1058">
        <f ca="1">VLOOKUP(Myリゾート!$C116,OFFSET(高速化データ!$A$6,0,0,高速化データ!$A$1,106), 19+($I116*14), TRUE)</f>
        <v>2400</v>
      </c>
      <c r="AK116" s="1058">
        <f ca="1">VLOOKUP(Myリゾート!$C116,OFFSET(高速化データ!$A$6,0,0,高速化データ!$A$1,106), 20+($I116*14), TRUE)</f>
        <v>21600</v>
      </c>
      <c r="AL116" s="1058">
        <f ca="1">VLOOKUP(Myリゾート!$C116,OFFSET(高速化データ!$A$6,0,0,高速化データ!$A$1,106), 21+($I116*14), TRUE)</f>
        <v>240</v>
      </c>
      <c r="AM116" s="1070">
        <f ca="1">VLOOKUP(Myリゾート!$C116,OFFSET(高速化データ!$A$6,0,0,高速化データ!$A$1,106), 22+($I116*14), TRUE)</f>
        <v>2160</v>
      </c>
      <c r="AN116" s="1072">
        <f ca="1">VLOOKUP(Myリゾート!$C116,OFFSET(高速化データ!$A$6,0,0,高速化データ!$A$1,106), 11, TRUE)</f>
        <v>0.1</v>
      </c>
      <c r="AO116" s="1110">
        <f ca="1">VLOOKUP(Myリゾート!$C116,OFFSET(高速化データ!$A$6,0,0,高速化データ!$A$1,106), 13, TRUE)</f>
        <v>100</v>
      </c>
      <c r="AP116" s="1073" t="str">
        <f ca="1">VLOOKUP(Myリゾート!$C116,OFFSET(高速化データ!$A$6,0,0,高速化データ!$A$1,106), 15, TRUE)</f>
        <v>B</v>
      </c>
      <c r="AQ116" s="1071" t="str">
        <f ca="1">VLOOKUP(Myリゾート!$C116,OFFSET(高速化データ!$A$6,0,0,高速化データ!$A$1,106), 9, TRUE)</f>
        <v>限定</v>
      </c>
      <c r="AR116" s="1112">
        <f ca="1">IF($I116=5, 0,VLOOKUP(Myリゾート!$C116,OFFSET(高速化データ!$A$6,0,0,高速化データ!$A$1,106), 23+(($I116+1)*14), TRUE))</f>
        <v>120</v>
      </c>
      <c r="AS116" s="1058">
        <f ca="1">IF($I116=5, 0,VLOOKUP(Myリゾート!$C116,OFFSET(高速化データ!$A$6,0,0,高速化データ!$A$1,106), 24+(($I116+1)*14), TRUE))</f>
        <v>2000000</v>
      </c>
      <c r="AT116" s="1074">
        <f ca="1">IF($I116=5, 0,VLOOKUP(Myリゾート!$C116,OFFSET(高速化データ!$A$6,0,0,高速化データ!$A$1,106), 25+(($I116+1)*14), TRUE))</f>
        <v>0</v>
      </c>
      <c r="AU116" s="1074">
        <f ca="1">IF($I116=5, 0,VLOOKUP(Myリゾート!$C116,OFFSET(高速化データ!$A$6,0,0,高速化データ!$A$1,106), 26+(($I116+1)*14), TRUE))</f>
        <v>0</v>
      </c>
      <c r="AV116" s="1074">
        <f ca="1">IF($I116=5, 0,VLOOKUP(Myリゾート!$C116,OFFSET(高速化データ!$A$6,0,0,高速化データ!$A$1,106), 27+(($I116+1)*14), TRUE))</f>
        <v>3</v>
      </c>
      <c r="AW116" s="1075">
        <f ca="1">IF($I116=5, 0,VLOOKUP(Myリゾート!$C116,OFFSET(高速化データ!$A$6,0,0,高速化データ!$A$1,106), 28+(($I116+1)*14), TRUE))</f>
        <v>26.481481481481481</v>
      </c>
      <c r="AX116" s="1070">
        <f ca="1">IF($I116=5, 0,VLOOKUP(Myリゾート!$C116,OFFSET(高速化データ!$A$6,0,0,高速化データ!$A$1,106), 29+(($I116+1)*14), TRUE))</f>
        <v>16666</v>
      </c>
      <c r="AY116" s="1066">
        <f ca="1">IF($I116=5, 0, VLOOKUP(Myリゾート!$C116,OFFSET(高速化データ!$A$6,0,0,高速化データ!$A$1,106), 19+(($I116+1)*14), TRUE)-AJ116)</f>
        <v>1200</v>
      </c>
      <c r="AZ116" s="1058">
        <f ca="1">IF($I116=5, 0, VLOOKUP(Myリゾート!$C116,OFFSET(高速化データ!$A$6,0,0,高速化データ!$A$1,106), 20+(($I116+1)*14), TRUE)-AK116)</f>
        <v>10800</v>
      </c>
      <c r="BA116" s="1076">
        <f ca="1">IF($I116=5, 0, VLOOKUP(Myリゾート!$C116,OFFSET(高速化データ!$A$6,0,0,高速化データ!$A$1,106), 17+(($I116+1)*14), TRUE)*$B$1/100-VLOOKUP(Myリゾート!$C116,OFFSET(高速化データ!$A$6,0,0,高速化データ!$A$1,106), 16+(($I116+1)*14),TRUE)-AH116)</f>
        <v>10.900000000000034</v>
      </c>
      <c r="BB116" s="1056">
        <f t="shared" ca="1" si="14"/>
        <v>1200</v>
      </c>
      <c r="BC116" s="1057">
        <f t="shared" ca="1" si="14"/>
        <v>10800</v>
      </c>
      <c r="BD116" s="1068">
        <f t="shared" ca="1" si="20"/>
        <v>10.900000000000034</v>
      </c>
      <c r="BE116" s="9">
        <f t="shared" ca="1" si="15"/>
        <v>400</v>
      </c>
      <c r="BF116" s="7">
        <f t="shared" ca="1" si="15"/>
        <v>240</v>
      </c>
      <c r="BG116" s="7">
        <f t="shared" ca="1" si="16"/>
        <v>2400</v>
      </c>
      <c r="BH116" s="7">
        <f t="shared" ca="1" si="16"/>
        <v>21600</v>
      </c>
      <c r="BI116" s="7">
        <f t="shared" ca="1" si="16"/>
        <v>240</v>
      </c>
      <c r="BJ116" s="7">
        <f t="shared" ca="1" si="16"/>
        <v>2160</v>
      </c>
      <c r="BK116" s="8">
        <f t="shared" ca="1" si="21"/>
        <v>400</v>
      </c>
    </row>
    <row r="117" spans="2:63">
      <c r="B117" s="100" t="s">
        <v>265</v>
      </c>
      <c r="C117" s="1055">
        <f ca="1">VLOOKUP(Myリゾート!$B117,OFFSET(高速化データ!$DD$6,0,0,高速化データ!$A$1,2), 2, FALSE)</f>
        <v>8013</v>
      </c>
      <c r="D117" s="59" t="str">
        <f ca="1">LEFT(VLOOKUP(Myリゾート!$C117,OFFSET(高速化データ!$A$6,0,0,高速化データ!$A$1,106), 3, TRUE),2)</f>
        <v>スキ</v>
      </c>
      <c r="E117" s="1063" t="str">
        <f ca="1">VLOOKUP(Myリゾート!$C117,OFFSET(高速化データ!$A$6,0,0,高速化データ!$A$1,106), 4, TRUE)&amp;""</f>
        <v/>
      </c>
      <c r="F117" s="1064" t="str">
        <f ca="1">VLOOKUP(Myリゾート!$C117,OFFSET(高速化データ!$A$6,0,0,高速化データ!$A$1,106), 5, TRUE)&amp;""</f>
        <v>○</v>
      </c>
      <c r="G117" s="1064" t="str">
        <f ca="1">VLOOKUP(Myリゾート!$C117,OFFSET(高速化データ!$A$6,0,0,高速化データ!$A$1,106), 6, TRUE)&amp;""</f>
        <v>○</v>
      </c>
      <c r="H117" s="1065" t="str">
        <f ca="1">VLOOKUP(Myリゾート!$C117,OFFSET(高速化データ!$A$6,0,0,高速化データ!$A$1,106), 7, TRUE)&amp;""</f>
        <v/>
      </c>
      <c r="I117" s="1131">
        <v>2</v>
      </c>
      <c r="J117" s="1134"/>
      <c r="K117" s="1061">
        <f ca="1">VLOOKUP(Myリゾート!$C117,OFFSET(高速化データ!$A$6,0,0,高速化データ!$A$1,106), 10, TRUE)</f>
        <v>2</v>
      </c>
      <c r="L117" s="1062">
        <f ca="1">VLOOKUP(Myリゾート!$C117,OFFSET(高速化データ!$A$6,0,0,高速化データ!$A$1,106), 12, TRUE)</f>
        <v>2</v>
      </c>
      <c r="M117" s="1066">
        <f ca="1">VLOOKUP(Myリゾート!$C117,OFFSET(高速化データ!$A$6,0,0,高速化データ!$A$1,106), 86, TRUE)</f>
        <v>200</v>
      </c>
      <c r="N117" s="1058">
        <f ca="1">VLOOKUP(Myリゾート!$C117,OFFSET(高速化データ!$A$6,0,0,高速化データ!$A$1,106), 87, TRUE)</f>
        <v>100</v>
      </c>
      <c r="O117" s="1058">
        <f t="shared" ca="1" si="11"/>
        <v>175.75</v>
      </c>
      <c r="P117" s="1059">
        <f t="shared" ca="1" si="17"/>
        <v>-24.25</v>
      </c>
      <c r="Q117" s="1061">
        <f ca="1">VLOOKUP(Myリゾート!$C117,OFFSET(高速化データ!$A$6,0,0,高速化データ!$A$1,106), 88, TRUE)</f>
        <v>5</v>
      </c>
      <c r="R117" s="1060">
        <f ca="1">VLOOKUP(Myリゾート!$C117,OFFSET(高速化データ!$A$6,0,0,高速化データ!$A$1,106), 89, TRUE)</f>
        <v>1000</v>
      </c>
      <c r="S117" s="1060">
        <f ca="1">VLOOKUP(Myリゾート!$C117,OFFSET(高速化データ!$A$6,0,0,高速化データ!$A$1,106), 90, TRUE)</f>
        <v>2000</v>
      </c>
      <c r="T117" s="1060">
        <f ca="1">VLOOKUP(Myリゾート!$C117,OFFSET(高速化データ!$A$6,0,0,高速化データ!$A$1,106), 91, TRUE)</f>
        <v>50</v>
      </c>
      <c r="U117" s="1067">
        <f ca="1">VLOOKUP(Myリゾート!$C117,OFFSET(高速化データ!$A$6,0,0,高速化データ!$A$1,106), 92, TRUE)</f>
        <v>100</v>
      </c>
      <c r="V117" s="1066">
        <f ca="1">VLOOKUP(Myリゾート!$C117,OFFSET(高速化データ!$A$6,0,0,高速化データ!$A$1,106), 30, TRUE)</f>
        <v>67</v>
      </c>
      <c r="W117" s="1058">
        <f ca="1">VLOOKUP(Myリゾート!$C117,OFFSET(高速化データ!$A$6,0,0,高速化データ!$A$1,106), 31, TRUE)</f>
        <v>34</v>
      </c>
      <c r="X117" s="1058">
        <f t="shared" ca="1" si="12"/>
        <v>59.755000000000003</v>
      </c>
      <c r="Y117" s="1068">
        <f t="shared" ca="1" si="18"/>
        <v>-7.2449999999999974</v>
      </c>
      <c r="Z117" s="1061">
        <f ca="1">VLOOKUP(Myリゾート!$C117,OFFSET(高速化データ!$A$6,0,0,高速化データ!$A$1,106), 32, TRUE)</f>
        <v>5</v>
      </c>
      <c r="AA117" s="1060">
        <f ca="1">VLOOKUP(Myリゾート!$C117,OFFSET(高速化データ!$A$6,0,0,高速化データ!$A$1,106), 33, TRUE)</f>
        <v>335</v>
      </c>
      <c r="AB117" s="1060">
        <f ca="1">VLOOKUP(Myリゾート!$C117,OFFSET(高速化データ!$A$6,0,0,高速化データ!$A$1,106), 34, TRUE)</f>
        <v>670</v>
      </c>
      <c r="AC117" s="1060">
        <f ca="1">VLOOKUP(Myリゾート!$C117,OFFSET(高速化データ!$A$6,0,0,高速化データ!$A$1,106), 35, TRUE)</f>
        <v>16</v>
      </c>
      <c r="AD117" s="1069">
        <f ca="1">VLOOKUP(Myリゾート!$C117,OFFSET(高速化データ!$A$6,0,0,高速化データ!$A$1,106), 36, TRUE)</f>
        <v>33</v>
      </c>
      <c r="AE117" s="1066">
        <f ca="1">VLOOKUP(Myリゾート!$C117,OFFSET(高速化データ!$A$6,0,0,高速化データ!$A$1,106), 16+($I117*14), TRUE)</f>
        <v>84</v>
      </c>
      <c r="AF117" s="1058">
        <f ca="1">VLOOKUP(Myリゾート!$C117,OFFSET(高速化データ!$A$6,0,0,高速化データ!$A$1,106), 17+($I117*14), TRUE)</f>
        <v>42</v>
      </c>
      <c r="AG117" s="1058">
        <f t="shared" ca="1" si="13"/>
        <v>73.814999999999998</v>
      </c>
      <c r="AH117" s="1068">
        <f t="shared" ca="1" si="19"/>
        <v>-10.185000000000002</v>
      </c>
      <c r="AI117" s="1061">
        <f ca="1">VLOOKUP(Myリゾート!$C117,OFFSET(高速化データ!$A$6,0,0,高速化データ!$A$1,106), 18+($I117*14), TRUE)</f>
        <v>5</v>
      </c>
      <c r="AJ117" s="1058">
        <f ca="1">VLOOKUP(Myリゾート!$C117,OFFSET(高速化データ!$A$6,0,0,高速化データ!$A$1,106), 19+($I117*14), TRUE)</f>
        <v>420</v>
      </c>
      <c r="AK117" s="1058">
        <f ca="1">VLOOKUP(Myリゾート!$C117,OFFSET(高速化データ!$A$6,0,0,高速化データ!$A$1,106), 20+($I117*14), TRUE)</f>
        <v>840</v>
      </c>
      <c r="AL117" s="1058">
        <f ca="1">VLOOKUP(Myリゾート!$C117,OFFSET(高速化データ!$A$6,0,0,高速化データ!$A$1,106), 21+($I117*14), TRUE)</f>
        <v>21</v>
      </c>
      <c r="AM117" s="1070">
        <f ca="1">VLOOKUP(Myリゾート!$C117,OFFSET(高速化データ!$A$6,0,0,高速化データ!$A$1,106), 22+($I117*14), TRUE)</f>
        <v>42</v>
      </c>
      <c r="AN117" s="1072">
        <f ca="1">VLOOKUP(Myリゾート!$C117,OFFSET(高速化データ!$A$6,0,0,高速化データ!$A$1,106), 11, TRUE)</f>
        <v>0.05</v>
      </c>
      <c r="AO117" s="1110">
        <f ca="1">VLOOKUP(Myリゾート!$C117,OFFSET(高速化データ!$A$6,0,0,高速化データ!$A$1,106), 13, TRUE)</f>
        <v>1</v>
      </c>
      <c r="AP117" s="1073" t="str">
        <f ca="1">VLOOKUP(Myリゾート!$C117,OFFSET(高速化データ!$A$6,0,0,高速化データ!$A$1,106), 15, TRUE)</f>
        <v>B</v>
      </c>
      <c r="AQ117" s="1071" t="str">
        <f ca="1">VLOOKUP(Myリゾート!$C117,OFFSET(高速化データ!$A$6,0,0,高速化データ!$A$1,106), 9, TRUE)</f>
        <v>スキル</v>
      </c>
      <c r="AR117" s="1112">
        <f ca="1">IF($I117=5, 0,VLOOKUP(Myリゾート!$C117,OFFSET(高速化データ!$A$6,0,0,高速化データ!$A$1,106), 23+(($I117+1)*14), TRUE))</f>
        <v>34</v>
      </c>
      <c r="AS117" s="1058">
        <f ca="1">IF($I117=5, 0,VLOOKUP(Myリゾート!$C117,OFFSET(高速化データ!$A$6,0,0,高速化データ!$A$1,106), 24+(($I117+1)*14), TRUE))</f>
        <v>20</v>
      </c>
      <c r="AT117" s="1074">
        <f ca="1">IF($I117=5, 0,VLOOKUP(Myリゾート!$C117,OFFSET(高速化データ!$A$6,0,0,高速化データ!$A$1,106), 25+(($I117+1)*14), TRUE))</f>
        <v>0</v>
      </c>
      <c r="AU117" s="1074">
        <f ca="1">IF($I117=5, 0,VLOOKUP(Myリゾート!$C117,OFFSET(高速化データ!$A$6,0,0,高速化データ!$A$1,106), 26+(($I117+1)*14), TRUE))</f>
        <v>0</v>
      </c>
      <c r="AV117" s="1074">
        <f ca="1">IF($I117=5, 0,VLOOKUP(Myリゾート!$C117,OFFSET(高速化データ!$A$6,0,0,高速化データ!$A$1,106), 27+(($I117+1)*14), TRUE))</f>
        <v>0</v>
      </c>
      <c r="AW117" s="1075">
        <f ca="1">IF($I117=5, 0,VLOOKUP(Myリゾート!$C117,OFFSET(高速化データ!$A$6,0,0,高速化データ!$A$1,106), 28+(($I117+1)*14), TRUE))</f>
        <v>1.1916666666666667</v>
      </c>
      <c r="AX117" s="1070">
        <f ca="1">IF($I117=5, 0,VLOOKUP(Myリゾート!$C117,OFFSET(高速化データ!$A$6,0,0,高速化データ!$A$1,106), 29+(($I117+1)*14), TRUE))</f>
        <v>0</v>
      </c>
      <c r="AY117" s="1066">
        <f ca="1">IF($I117=5, 0, VLOOKUP(Myリゾート!$C117,OFFSET(高速化データ!$A$6,0,0,高速化データ!$A$1,106), 19+(($I117+1)*14), TRUE)-AJ117)</f>
        <v>80</v>
      </c>
      <c r="AZ117" s="1058">
        <f ca="1">IF($I117=5, 0, VLOOKUP(Myリゾート!$C117,OFFSET(高速化データ!$A$6,0,0,高速化データ!$A$1,106), 20+(($I117+1)*14), TRUE)-AK117)</f>
        <v>160</v>
      </c>
      <c r="BA117" s="1076">
        <f ca="1">IF($I117=5, 0, VLOOKUP(Myリゾート!$C117,OFFSET(高速化データ!$A$6,0,0,高速化データ!$A$1,106), 17+(($I117+1)*14), TRUE)*$B$1/100-VLOOKUP(Myリゾート!$C117,OFFSET(高速化データ!$A$6,0,0,高速化データ!$A$1,106), 16+(($I117+1)*14),TRUE)-AH117)</f>
        <v>-1.9399999999999977</v>
      </c>
      <c r="BB117" s="1056">
        <f t="shared" ca="1" si="14"/>
        <v>580</v>
      </c>
      <c r="BC117" s="1057">
        <f t="shared" ca="1" si="14"/>
        <v>1160</v>
      </c>
      <c r="BD117" s="1068">
        <f t="shared" ca="1" si="20"/>
        <v>-14.064999999999998</v>
      </c>
      <c r="BE117" s="9">
        <f t="shared" ca="1" si="15"/>
        <v>84</v>
      </c>
      <c r="BF117" s="7">
        <f t="shared" ca="1" si="15"/>
        <v>42</v>
      </c>
      <c r="BG117" s="7">
        <f t="shared" ca="1" si="16"/>
        <v>420</v>
      </c>
      <c r="BH117" s="7">
        <f t="shared" ca="1" si="16"/>
        <v>840</v>
      </c>
      <c r="BI117" s="7">
        <f t="shared" ca="1" si="16"/>
        <v>21</v>
      </c>
      <c r="BJ117" s="7">
        <f t="shared" ca="1" si="16"/>
        <v>42</v>
      </c>
      <c r="BK117" s="8">
        <f t="shared" ca="1" si="21"/>
        <v>84</v>
      </c>
    </row>
    <row r="118" spans="2:63">
      <c r="B118" s="100" t="s">
        <v>529</v>
      </c>
      <c r="C118" s="1055">
        <f ca="1">VLOOKUP(Myリゾート!$B118,OFFSET(高速化データ!$DD$6,0,0,高速化データ!$A$1,2), 2, FALSE)</f>
        <v>8014</v>
      </c>
      <c r="D118" s="59" t="str">
        <f ca="1">LEFT(VLOOKUP(Myリゾート!$C118,OFFSET(高速化データ!$A$6,0,0,高速化データ!$A$1,106), 3, TRUE),2)</f>
        <v>スキ</v>
      </c>
      <c r="E118" s="1063" t="str">
        <f ca="1">VLOOKUP(Myリゾート!$C118,OFFSET(高速化データ!$A$6,0,0,高速化データ!$A$1,106), 4, TRUE)&amp;""</f>
        <v/>
      </c>
      <c r="F118" s="1064" t="str">
        <f ca="1">VLOOKUP(Myリゾート!$C118,OFFSET(高速化データ!$A$6,0,0,高速化データ!$A$1,106), 5, TRUE)&amp;""</f>
        <v>○</v>
      </c>
      <c r="G118" s="1064" t="str">
        <f ca="1">VLOOKUP(Myリゾート!$C118,OFFSET(高速化データ!$A$6,0,0,高速化データ!$A$1,106), 6, TRUE)&amp;""</f>
        <v>○</v>
      </c>
      <c r="H118" s="1065" t="str">
        <f ca="1">VLOOKUP(Myリゾート!$C118,OFFSET(高速化データ!$A$6,0,0,高速化データ!$A$1,106), 7, TRUE)&amp;""</f>
        <v/>
      </c>
      <c r="I118" s="1131">
        <v>2</v>
      </c>
      <c r="J118" s="1134" t="s">
        <v>945</v>
      </c>
      <c r="K118" s="1061">
        <f ca="1">VLOOKUP(Myリゾート!$C118,OFFSET(高速化データ!$A$6,0,0,高速化データ!$A$1,106), 10, TRUE)</f>
        <v>2</v>
      </c>
      <c r="L118" s="1062">
        <f ca="1">VLOOKUP(Myリゾート!$C118,OFFSET(高速化データ!$A$6,0,0,高速化データ!$A$1,106), 12, TRUE)</f>
        <v>2</v>
      </c>
      <c r="M118" s="1066">
        <f ca="1">VLOOKUP(Myリゾート!$C118,OFFSET(高速化データ!$A$6,0,0,高速化データ!$A$1,106), 86, TRUE)</f>
        <v>200</v>
      </c>
      <c r="N118" s="1058">
        <f ca="1">VLOOKUP(Myリゾート!$C118,OFFSET(高速化データ!$A$6,0,0,高速化データ!$A$1,106), 87, TRUE)</f>
        <v>100</v>
      </c>
      <c r="O118" s="1058">
        <f t="shared" ca="1" si="11"/>
        <v>175.75</v>
      </c>
      <c r="P118" s="1059">
        <f t="shared" ca="1" si="17"/>
        <v>-24.25</v>
      </c>
      <c r="Q118" s="1061">
        <f ca="1">VLOOKUP(Myリゾート!$C118,OFFSET(高速化データ!$A$6,0,0,高速化データ!$A$1,106), 88, TRUE)</f>
        <v>5</v>
      </c>
      <c r="R118" s="1060">
        <f ca="1">VLOOKUP(Myリゾート!$C118,OFFSET(高速化データ!$A$6,0,0,高速化データ!$A$1,106), 89, TRUE)</f>
        <v>1000</v>
      </c>
      <c r="S118" s="1060">
        <f ca="1">VLOOKUP(Myリゾート!$C118,OFFSET(高速化データ!$A$6,0,0,高速化データ!$A$1,106), 90, TRUE)</f>
        <v>2000</v>
      </c>
      <c r="T118" s="1060">
        <f ca="1">VLOOKUP(Myリゾート!$C118,OFFSET(高速化データ!$A$6,0,0,高速化データ!$A$1,106), 91, TRUE)</f>
        <v>50</v>
      </c>
      <c r="U118" s="1067">
        <f ca="1">VLOOKUP(Myリゾート!$C118,OFFSET(高速化データ!$A$6,0,0,高速化データ!$A$1,106), 92, TRUE)</f>
        <v>100</v>
      </c>
      <c r="V118" s="1066">
        <f ca="1">VLOOKUP(Myリゾート!$C118,OFFSET(高速化データ!$A$6,0,0,高速化データ!$A$1,106), 30, TRUE)</f>
        <v>67</v>
      </c>
      <c r="W118" s="1058">
        <f ca="1">VLOOKUP(Myリゾート!$C118,OFFSET(高速化データ!$A$6,0,0,高速化データ!$A$1,106), 31, TRUE)</f>
        <v>34</v>
      </c>
      <c r="X118" s="1058">
        <f t="shared" ca="1" si="12"/>
        <v>59.755000000000003</v>
      </c>
      <c r="Y118" s="1068">
        <f t="shared" ca="1" si="18"/>
        <v>-7.2449999999999974</v>
      </c>
      <c r="Z118" s="1061">
        <f ca="1">VLOOKUP(Myリゾート!$C118,OFFSET(高速化データ!$A$6,0,0,高速化データ!$A$1,106), 32, TRUE)</f>
        <v>5</v>
      </c>
      <c r="AA118" s="1060">
        <f ca="1">VLOOKUP(Myリゾート!$C118,OFFSET(高速化データ!$A$6,0,0,高速化データ!$A$1,106), 33, TRUE)</f>
        <v>335</v>
      </c>
      <c r="AB118" s="1060">
        <f ca="1">VLOOKUP(Myリゾート!$C118,OFFSET(高速化データ!$A$6,0,0,高速化データ!$A$1,106), 34, TRUE)</f>
        <v>670</v>
      </c>
      <c r="AC118" s="1060">
        <f ca="1">VLOOKUP(Myリゾート!$C118,OFFSET(高速化データ!$A$6,0,0,高速化データ!$A$1,106), 35, TRUE)</f>
        <v>16</v>
      </c>
      <c r="AD118" s="1069">
        <f ca="1">VLOOKUP(Myリゾート!$C118,OFFSET(高速化データ!$A$6,0,0,高速化データ!$A$1,106), 36, TRUE)</f>
        <v>33</v>
      </c>
      <c r="AE118" s="1066">
        <f ca="1">VLOOKUP(Myリゾート!$C118,OFFSET(高速化データ!$A$6,0,0,高速化データ!$A$1,106), 16+($I118*14), TRUE)</f>
        <v>84</v>
      </c>
      <c r="AF118" s="1058">
        <f ca="1">VLOOKUP(Myリゾート!$C118,OFFSET(高速化データ!$A$6,0,0,高速化データ!$A$1,106), 17+($I118*14), TRUE)</f>
        <v>42</v>
      </c>
      <c r="AG118" s="1058">
        <f t="shared" ca="1" si="13"/>
        <v>73.814999999999998</v>
      </c>
      <c r="AH118" s="1068">
        <f t="shared" ca="1" si="19"/>
        <v>-10.185000000000002</v>
      </c>
      <c r="AI118" s="1061">
        <f ca="1">VLOOKUP(Myリゾート!$C118,OFFSET(高速化データ!$A$6,0,0,高速化データ!$A$1,106), 18+($I118*14), TRUE)</f>
        <v>5</v>
      </c>
      <c r="AJ118" s="1058">
        <f ca="1">VLOOKUP(Myリゾート!$C118,OFFSET(高速化データ!$A$6,0,0,高速化データ!$A$1,106), 19+($I118*14), TRUE)</f>
        <v>420</v>
      </c>
      <c r="AK118" s="1058">
        <f ca="1">VLOOKUP(Myリゾート!$C118,OFFSET(高速化データ!$A$6,0,0,高速化データ!$A$1,106), 20+($I118*14), TRUE)</f>
        <v>840</v>
      </c>
      <c r="AL118" s="1058">
        <f ca="1">VLOOKUP(Myリゾート!$C118,OFFSET(高速化データ!$A$6,0,0,高速化データ!$A$1,106), 21+($I118*14), TRUE)</f>
        <v>21</v>
      </c>
      <c r="AM118" s="1070">
        <f ca="1">VLOOKUP(Myリゾート!$C118,OFFSET(高速化データ!$A$6,0,0,高速化データ!$A$1,106), 22+($I118*14), TRUE)</f>
        <v>42</v>
      </c>
      <c r="AN118" s="1072">
        <f ca="1">VLOOKUP(Myリゾート!$C118,OFFSET(高速化データ!$A$6,0,0,高速化データ!$A$1,106), 11, TRUE)</f>
        <v>0.05</v>
      </c>
      <c r="AO118" s="1110">
        <f ca="1">VLOOKUP(Myリゾート!$C118,OFFSET(高速化データ!$A$6,0,0,高速化データ!$A$1,106), 13, TRUE)</f>
        <v>1</v>
      </c>
      <c r="AP118" s="1073" t="str">
        <f ca="1">VLOOKUP(Myリゾート!$C118,OFFSET(高速化データ!$A$6,0,0,高速化データ!$A$1,106), 15, TRUE)</f>
        <v>B</v>
      </c>
      <c r="AQ118" s="1071" t="str">
        <f ca="1">VLOOKUP(Myリゾート!$C118,OFFSET(高速化データ!$A$6,0,0,高速化データ!$A$1,106), 9, TRUE)</f>
        <v>スキル</v>
      </c>
      <c r="AR118" s="1112">
        <f ca="1">IF($I118=5, 0,VLOOKUP(Myリゾート!$C118,OFFSET(高速化データ!$A$6,0,0,高速化データ!$A$1,106), 23+(($I118+1)*14), TRUE))</f>
        <v>18</v>
      </c>
      <c r="AS118" s="1058">
        <f ca="1">IF($I118=5, 0,VLOOKUP(Myリゾート!$C118,OFFSET(高速化データ!$A$6,0,0,高速化データ!$A$1,106), 24+(($I118+1)*14), TRUE))</f>
        <v>20</v>
      </c>
      <c r="AT118" s="1074">
        <f ca="1">IF($I118=5, 0,VLOOKUP(Myリゾート!$C118,OFFSET(高速化データ!$A$6,0,0,高速化データ!$A$1,106), 25+(($I118+1)*14), TRUE))</f>
        <v>0</v>
      </c>
      <c r="AU118" s="1074">
        <f ca="1">IF($I118=5, 0,VLOOKUP(Myリゾート!$C118,OFFSET(高速化データ!$A$6,0,0,高速化データ!$A$1,106), 26+(($I118+1)*14), TRUE))</f>
        <v>0</v>
      </c>
      <c r="AV118" s="1074">
        <f ca="1">IF($I118=5, 0,VLOOKUP(Myリゾート!$C118,OFFSET(高速化データ!$A$6,0,0,高速化データ!$A$1,106), 27+(($I118+1)*14), TRUE))</f>
        <v>0</v>
      </c>
      <c r="AW118" s="1075">
        <f ca="1">IF($I118=5, 0,VLOOKUP(Myリゾート!$C118,OFFSET(高速化データ!$A$6,0,0,高速化データ!$A$1,106), 28+(($I118+1)*14), TRUE))</f>
        <v>0.63166666666666671</v>
      </c>
      <c r="AX118" s="1070">
        <f ca="1">IF($I118=5, 0,VLOOKUP(Myリゾート!$C118,OFFSET(高速化データ!$A$6,0,0,高速化データ!$A$1,106), 29+(($I118+1)*14), TRUE))</f>
        <v>1</v>
      </c>
      <c r="AY118" s="1066">
        <f ca="1">IF($I118=5, 0, VLOOKUP(Myリゾート!$C118,OFFSET(高速化データ!$A$6,0,0,高速化データ!$A$1,106), 19+(($I118+1)*14), TRUE)-AJ118)</f>
        <v>80</v>
      </c>
      <c r="AZ118" s="1058">
        <f ca="1">IF($I118=5, 0, VLOOKUP(Myリゾート!$C118,OFFSET(高速化データ!$A$6,0,0,高速化データ!$A$1,106), 20+(($I118+1)*14), TRUE)-AK118)</f>
        <v>160</v>
      </c>
      <c r="BA118" s="1076">
        <f ca="1">IF($I118=5, 0, VLOOKUP(Myリゾート!$C118,OFFSET(高速化データ!$A$6,0,0,高速化データ!$A$1,106), 17+(($I118+1)*14), TRUE)*$B$1/100-VLOOKUP(Myリゾート!$C118,OFFSET(高速化データ!$A$6,0,0,高速化データ!$A$1,106), 16+(($I118+1)*14),TRUE)-AH118)</f>
        <v>-1.9399999999999977</v>
      </c>
      <c r="BB118" s="1056">
        <f t="shared" ca="1" si="14"/>
        <v>580</v>
      </c>
      <c r="BC118" s="1057">
        <f t="shared" ca="1" si="14"/>
        <v>1160</v>
      </c>
      <c r="BD118" s="1068">
        <f t="shared" ca="1" si="20"/>
        <v>-14.064999999999998</v>
      </c>
      <c r="BE118" s="9">
        <f t="shared" si="15"/>
        <v>0</v>
      </c>
      <c r="BF118" s="7">
        <f t="shared" si="15"/>
        <v>0</v>
      </c>
      <c r="BG118" s="7">
        <f t="shared" si="16"/>
        <v>0</v>
      </c>
      <c r="BH118" s="7">
        <f t="shared" si="16"/>
        <v>0</v>
      </c>
      <c r="BI118" s="7">
        <f t="shared" si="16"/>
        <v>0</v>
      </c>
      <c r="BJ118" s="7">
        <f t="shared" si="16"/>
        <v>0</v>
      </c>
      <c r="BK118" s="8">
        <f t="shared" ca="1" si="21"/>
        <v>84</v>
      </c>
    </row>
    <row r="119" spans="2:63">
      <c r="B119" s="1123" t="s">
        <v>928</v>
      </c>
      <c r="C119" s="1085"/>
      <c r="D119" s="1086"/>
      <c r="E119" s="1087"/>
      <c r="F119" s="1088"/>
      <c r="G119" s="1088"/>
      <c r="H119" s="1089"/>
      <c r="I119" s="1090">
        <v>0</v>
      </c>
      <c r="J119" s="1091"/>
      <c r="K119" s="1092">
        <v>0</v>
      </c>
      <c r="L119" s="1093">
        <v>0</v>
      </c>
      <c r="M119" s="1094">
        <v>0</v>
      </c>
      <c r="N119" s="1095">
        <v>0</v>
      </c>
      <c r="O119" s="1095">
        <v>0</v>
      </c>
      <c r="P119" s="1096">
        <v>0</v>
      </c>
      <c r="Q119" s="1092">
        <v>0</v>
      </c>
      <c r="R119" s="1097">
        <v>0</v>
      </c>
      <c r="S119" s="1097">
        <v>0</v>
      </c>
      <c r="T119" s="1097">
        <v>0</v>
      </c>
      <c r="U119" s="1098">
        <v>0</v>
      </c>
      <c r="V119" s="1094">
        <v>0</v>
      </c>
      <c r="W119" s="1095">
        <v>0</v>
      </c>
      <c r="X119" s="1095">
        <v>0</v>
      </c>
      <c r="Y119" s="1099">
        <v>0</v>
      </c>
      <c r="Z119" s="1092">
        <v>0</v>
      </c>
      <c r="AA119" s="1097">
        <v>0</v>
      </c>
      <c r="AB119" s="1097">
        <v>0</v>
      </c>
      <c r="AC119" s="1097">
        <v>0</v>
      </c>
      <c r="AD119" s="1100">
        <v>0</v>
      </c>
      <c r="AE119" s="1094">
        <v>0</v>
      </c>
      <c r="AF119" s="1095">
        <v>0</v>
      </c>
      <c r="AG119" s="1095">
        <v>0</v>
      </c>
      <c r="AH119" s="1099">
        <v>0</v>
      </c>
      <c r="AI119" s="1092">
        <v>0</v>
      </c>
      <c r="AJ119" s="1095">
        <v>0</v>
      </c>
      <c r="AK119" s="1095">
        <v>0</v>
      </c>
      <c r="AL119" s="1095">
        <v>0</v>
      </c>
      <c r="AM119" s="1101">
        <v>0</v>
      </c>
      <c r="AN119" s="1102">
        <v>0</v>
      </c>
      <c r="AO119" s="1111">
        <v>0</v>
      </c>
      <c r="AP119" s="1103">
        <v>0</v>
      </c>
      <c r="AQ119" s="1104">
        <v>0</v>
      </c>
      <c r="AR119" s="1113">
        <v>0</v>
      </c>
      <c r="AS119" s="1095">
        <v>0</v>
      </c>
      <c r="AT119" s="1105">
        <v>0</v>
      </c>
      <c r="AU119" s="1105">
        <v>0</v>
      </c>
      <c r="AV119" s="1105">
        <v>0</v>
      </c>
      <c r="AW119" s="1106">
        <v>0</v>
      </c>
      <c r="AX119" s="1101">
        <v>0</v>
      </c>
      <c r="AY119" s="1094">
        <v>0</v>
      </c>
      <c r="AZ119" s="1095">
        <v>0</v>
      </c>
      <c r="BA119" s="1107">
        <v>0</v>
      </c>
      <c r="BB119" s="1108">
        <v>0</v>
      </c>
      <c r="BC119" s="1109">
        <v>0</v>
      </c>
      <c r="BD119" s="1099">
        <v>0</v>
      </c>
      <c r="BE119" s="1117">
        <v>0</v>
      </c>
      <c r="BF119" s="1118">
        <v>0</v>
      </c>
      <c r="BG119" s="1118">
        <v>0</v>
      </c>
      <c r="BH119" s="1118">
        <v>0</v>
      </c>
      <c r="BI119" s="1118">
        <v>0</v>
      </c>
      <c r="BJ119" s="1118">
        <v>0</v>
      </c>
      <c r="BK119" s="1119">
        <v>0</v>
      </c>
    </row>
    <row r="121" spans="2:63">
      <c r="N121" s="61"/>
    </row>
    <row r="122" spans="2:63">
      <c r="N122" s="61"/>
    </row>
  </sheetData>
  <mergeCells count="19">
    <mergeCell ref="BE42:BK42"/>
    <mergeCell ref="AE42:AH42"/>
    <mergeCell ref="AI42:AM42"/>
    <mergeCell ref="AN42:AQ42"/>
    <mergeCell ref="AR42:AX42"/>
    <mergeCell ref="AY42:BA42"/>
    <mergeCell ref="BB42:BD42"/>
    <mergeCell ref="Z42:AD42"/>
    <mergeCell ref="B42:B43"/>
    <mergeCell ref="C42:C43"/>
    <mergeCell ref="D42:D43"/>
    <mergeCell ref="E42:H42"/>
    <mergeCell ref="I42:I43"/>
    <mergeCell ref="J42:J43"/>
    <mergeCell ref="K42:K43"/>
    <mergeCell ref="L42:L43"/>
    <mergeCell ref="M42:P42"/>
    <mergeCell ref="Q42:U42"/>
    <mergeCell ref="V42:Y42"/>
  </mergeCells>
  <phoneticPr fontId="15"/>
  <conditionalFormatting sqref="I45:I118">
    <cfRule type="cellIs" dxfId="24" priority="21" operator="equal">
      <formula>0</formula>
    </cfRule>
    <cfRule type="cellIs" dxfId="23" priority="22" operator="equal">
      <formula>2</formula>
    </cfRule>
    <cfRule type="cellIs" dxfId="22" priority="23" operator="equal">
      <formula>3</formula>
    </cfRule>
    <cfRule type="cellIs" dxfId="21" priority="24" operator="equal">
      <formula>4</formula>
    </cfRule>
    <cfRule type="cellIs" dxfId="20" priority="25" operator="equal">
      <formula>5</formula>
    </cfRule>
  </conditionalFormatting>
  <conditionalFormatting sqref="AP45:AP118">
    <cfRule type="cellIs" dxfId="19" priority="20" operator="equal">
      <formula>"B"</formula>
    </cfRule>
  </conditionalFormatting>
  <conditionalFormatting sqref="AO45:AO118">
    <cfRule type="cellIs" dxfId="18" priority="19" operator="equal">
      <formula>100</formula>
    </cfRule>
  </conditionalFormatting>
  <conditionalFormatting sqref="AN45:AN118">
    <cfRule type="cellIs" dxfId="17" priority="16" operator="equal">
      <formula>0.1</formula>
    </cfRule>
    <cfRule type="cellIs" dxfId="16" priority="17" operator="between">
      <formula>0.11</formula>
      <formula>0.19</formula>
    </cfRule>
    <cfRule type="cellIs" dxfId="15" priority="18" operator="greaterThanOrEqual">
      <formula>0.2</formula>
    </cfRule>
  </conditionalFormatting>
  <conditionalFormatting sqref="P45:P118">
    <cfRule type="cellIs" dxfId="14" priority="15" operator="lessThanOrEqual">
      <formula>0</formula>
    </cfRule>
  </conditionalFormatting>
  <conditionalFormatting sqref="R45:R118">
    <cfRule type="top10" dxfId="13" priority="12" percent="1" rank="25"/>
    <cfRule type="top10" dxfId="12" priority="13" percent="1" rank="50"/>
    <cfRule type="top10" dxfId="11" priority="14" percent="1" rank="75"/>
  </conditionalFormatting>
  <conditionalFormatting sqref="S45:S118">
    <cfRule type="top10" dxfId="10" priority="9" percent="1" rank="25"/>
    <cfRule type="top10" dxfId="9" priority="10" percent="1" rank="50"/>
    <cfRule type="top10" dxfId="8" priority="11" percent="1" rank="75"/>
  </conditionalFormatting>
  <conditionalFormatting sqref="AY45:AY118">
    <cfRule type="top10" dxfId="7" priority="7" rank="6"/>
    <cfRule type="top10" dxfId="6" priority="8" rank="12"/>
  </conditionalFormatting>
  <conditionalFormatting sqref="AZ45:AZ118">
    <cfRule type="top10" dxfId="5" priority="5" rank="6"/>
    <cfRule type="top10" dxfId="4" priority="6" rank="12"/>
  </conditionalFormatting>
  <conditionalFormatting sqref="BB45:BB118">
    <cfRule type="top10" dxfId="3" priority="3" rank="6"/>
    <cfRule type="top10" dxfId="2" priority="4" rank="12"/>
  </conditionalFormatting>
  <conditionalFormatting sqref="BC45:BC118">
    <cfRule type="top10" dxfId="1" priority="1" rank="6"/>
    <cfRule type="top10" dxfId="0" priority="2" rank="12"/>
  </conditionalFormatting>
  <pageMargins left="0.7" right="0.7" top="0.75" bottom="0.75" header="0.3" footer="0.3"/>
  <pageSetup paperSize="1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5505" r:id="rId4" name="Button 1">
              <controlPr defaultSize="0" print="0" autoFill="0" autoPict="0" macro="[0]!Myリゾート行追加">
                <anchor>
                  <from>
                    <xdr:col>12</xdr:col>
                    <xdr:colOff>68580</xdr:colOff>
                    <xdr:row>0</xdr:row>
                    <xdr:rowOff>83820</xdr:rowOff>
                  </from>
                  <to>
                    <xdr:col>14</xdr:col>
                    <xdr:colOff>53340</xdr:colOff>
                    <xdr:row>1</xdr:row>
                    <xdr:rowOff>129540</xdr:rowOff>
                  </to>
                </anchor>
              </controlPr>
            </control>
          </mc:Choice>
        </mc:AlternateContent>
        <mc:AlternateContent xmlns:mc="http://schemas.openxmlformats.org/markup-compatibility/2006">
          <mc:Choice Requires="x14">
            <control shapeId="1045506" r:id="rId5" name="Button 2">
              <controlPr defaultSize="0" print="0" autoFill="0" autoPict="0" macro="[0]!フィルタ用ページ作成">
                <anchor>
                  <from>
                    <xdr:col>12</xdr:col>
                    <xdr:colOff>68580</xdr:colOff>
                    <xdr:row>2</xdr:row>
                    <xdr:rowOff>106680</xdr:rowOff>
                  </from>
                  <to>
                    <xdr:col>15</xdr:col>
                    <xdr:colOff>167640</xdr:colOff>
                    <xdr:row>4</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6</vt:i4>
      </vt:variant>
    </vt:vector>
  </HeadingPairs>
  <TitlesOfParts>
    <vt:vector size="12" baseType="lpstr">
      <vt:lpstr>使い方</vt:lpstr>
      <vt:lpstr>元データ</vt:lpstr>
      <vt:lpstr>出力設定</vt:lpstr>
      <vt:lpstr>全一覧</vt:lpstr>
      <vt:lpstr>高速化データ</vt:lpstr>
      <vt:lpstr>Myリゾート</vt:lpstr>
      <vt:lpstr>「Myリゾート」の使い方</vt:lpstr>
      <vt:lpstr>「元データ」の使い方</vt:lpstr>
      <vt:lpstr>「全一覧」の使い方</vt:lpstr>
      <vt:lpstr>その他</vt:lpstr>
      <vt:lpstr>はじめに</vt:lpstr>
      <vt:lpstr>動作環境</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terms:modified xsi:type="dcterms:W3CDTF">2016-02-20T08:51:29Z</dcterms:modified>
</cp:coreProperties>
</file>